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14505" yWindow="-15" windowWidth="14310" windowHeight="6750"/>
  </bookViews>
  <sheets>
    <sheet name="ImportantDisclosures" sheetId="68" r:id="rId1"/>
    <sheet name="Model" sheetId="1" r:id="rId2"/>
    <sheet name="IndexInformation" sheetId="69" r:id="rId3"/>
    <sheet name="ModPubIndex" sheetId="70" r:id="rId4"/>
    <sheet name="MW-Cache" sheetId="8" state="veryHidden" r:id="rId5"/>
  </sheets>
  <definedNames>
    <definedName name="__FDS_HYPERLINK_TOGGLE_STATE__" hidden="1">"ON"</definedName>
    <definedName name="_xlnm._FilterDatabase" localSheetId="1" hidden="1">Model!$AY$69:$BJ$69</definedName>
    <definedName name="_Order1">255</definedName>
    <definedName name="AdditionalInstructions">IndexInformation!$B$42</definedName>
    <definedName name="Address" localSheetId="0">ImportantDisclosures!$A$2:$A$2</definedName>
    <definedName name="ANA" localSheetId="3">ModPubIndex!$A$7</definedName>
    <definedName name="Authors" localSheetId="0">ImportantDisclosures!$A$7</definedName>
    <definedName name="Authors" localSheetId="2">IndexInformation!$B$18</definedName>
    <definedName name="BRO" localSheetId="3">ModPubIndex!$A$1</definedName>
    <definedName name="CopyrightStamp">ImportantDisclosures!$A$27</definedName>
    <definedName name="COU" localSheetId="3">ModPubIndex!$A$5</definedName>
    <definedName name="CQEnd" localSheetId="2">IndexInformation!$B$31</definedName>
    <definedName name="Currency" localSheetId="2">IndexInformation!$B$24</definedName>
    <definedName name="CurrentStockPrice" localSheetId="2">IndexInformation!$B$23</definedName>
    <definedName name="CurrQtrEPS" localSheetId="2">IndexInformation!$B$29</definedName>
    <definedName name="CurrYearEPS" localSheetId="2">IndexInformation!$B$11</definedName>
    <definedName name="CurrYearTotalRevenue" localSheetId="2">IndexInformation!$B$10</definedName>
    <definedName name="CurrYearTotalRevenueActual" localSheetId="2">IndexInformation!$B$32</definedName>
    <definedName name="CUSIP" localSheetId="2">IndexInformation!$B$20</definedName>
    <definedName name="CYEnd" localSheetId="2">IndexInformation!$B$30</definedName>
    <definedName name="Date" localSheetId="0">ImportantDisclosures!$A$8</definedName>
    <definedName name="Deleted" localSheetId="2">IndexInformation!$B$27</definedName>
    <definedName name="Description" localSheetId="2">IndexInformation!$B$7</definedName>
    <definedName name="Discipline" localSheetId="2">IndexInformation!$B$3</definedName>
    <definedName name="DISCIPLINE" localSheetId="3">ModPubIndex!$A$12</definedName>
    <definedName name="DisclosuresText">ImportantDisclosures!$A$22</definedName>
    <definedName name="Distribution" localSheetId="2">IndexInformation!$B$26</definedName>
    <definedName name="DistTable" localSheetId="0">ImportantDisclosures!#REF!</definedName>
    <definedName name="DistTablePreamble" localSheetId="0">ImportantDisclosures!#REF!</definedName>
    <definedName name="DOCDAT" localSheetId="3">ModPubIndex!$A$2</definedName>
    <definedName name="DOCTIME" localSheetId="3">ModPubIndex!$A$3</definedName>
    <definedName name="DocType" localSheetId="2">IndexInformation!$B$5</definedName>
    <definedName name="EMAIL_ALERT" localSheetId="3">ModPubIndex!$A$10</definedName>
    <definedName name="EmailAlert" localSheetId="2">IndexInformation!$B$28</definedName>
    <definedName name="ev.Calculation">-4105</definedName>
    <definedName name="ev.Initialized">FALSE</definedName>
    <definedName name="FiveYearGrowthRate" localSheetId="2">IndexInformation!$B$16</definedName>
    <definedName name="FollowingYearEPS" localSheetId="2">IndexInformation!$B$15</definedName>
    <definedName name="FollowingYearTotalRevenue" localSheetId="2">IndexInformation!$B$14</definedName>
    <definedName name="FollowingYearTotalRevenueActual" localSheetId="2">IndexInformation!$B$34</definedName>
    <definedName name="HL" localSheetId="3">ModPubIndex!$A$8</definedName>
    <definedName name="hn.ExtDb">FALSE</definedName>
    <definedName name="hn.ModelType">"DEAL"</definedName>
    <definedName name="hn.ModelVersion">1</definedName>
    <definedName name="hn.NoUpload">0</definedName>
    <definedName name="IND" localSheetId="3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sColHidden">FALSE</definedName>
    <definedName name="IsLTMColHidden">FALSE</definedName>
    <definedName name="KeepVersions" localSheetId="2">IndexInformation!$B$8</definedName>
    <definedName name="LanguageCode">IndexInformation!$B$38</definedName>
    <definedName name="LastCell" localSheetId="0">ImportantDisclosures!$A$22</definedName>
    <definedName name="Linking_1">Model!$B$9:$Q$39</definedName>
    <definedName name="Linking_2">Model!$B$41:$Q$197</definedName>
    <definedName name="Linking_3">Model!$B$219:$Q$246</definedName>
    <definedName name="Linking_4">Model!$B$250:$Q$305</definedName>
    <definedName name="MacroVersion" localSheetId="2">IndexInformation!$B$1</definedName>
    <definedName name="model">Model!$B$7:$BL$423</definedName>
    <definedName name="ModelPrice" localSheetId="0">ImportantDisclosures!$A$14</definedName>
    <definedName name="Multiplier" localSheetId="2">IndexInformation!$B$35</definedName>
    <definedName name="NextYearEPS" localSheetId="2">IndexInformation!$B$13</definedName>
    <definedName name="NextYearTotalRevenue" localSheetId="2">IndexInformation!$B$12</definedName>
    <definedName name="NextYearTotalRevenueActual" localSheetId="2">IndexInformation!$B$33</definedName>
    <definedName name="NM">"NM"</definedName>
    <definedName name="ObjectType">IndexInformation!$B$37</definedName>
    <definedName name="PANA" localSheetId="3">ModPubIndex!$A$11</definedName>
    <definedName name="PathName" localSheetId="2">IndexInformation!$B$25</definedName>
    <definedName name="_xlnm.Print_Area" localSheetId="1">Model!$B$8:$Q$202,Model!$AU$8:$BB$202,Model!$B$218:$Q$246,Model!$AU$218:$BB$246,Model!$B$249:$Q$305,Model!$AU$249:$BB$305</definedName>
    <definedName name="_xlnm.Print_Titles" localSheetId="1">Model!$B:$B</definedName>
    <definedName name="PRODUCT" localSheetId="3">ModPubIndex!$A$6</definedName>
    <definedName name="ProjectName">{"Cereva Networks, Inc"}</definedName>
    <definedName name="PSYM" localSheetId="3">ModPubIndex!$A$4</definedName>
    <definedName name="PublishDate" localSheetId="2">IndexInformation!$B$2</definedName>
    <definedName name="Rating" localSheetId="2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searchTopic" localSheetId="2">IndexInformation!$B$4</definedName>
    <definedName name="RIC" localSheetId="2">IndexInformation!$B$21</definedName>
    <definedName name="SECSettlement" localSheetId="0">ImportantDisclosures!#REF!</definedName>
    <definedName name="SEDOL" localSheetId="2">IndexInformation!$B$22</definedName>
    <definedName name="SourceDefined" localSheetId="0">ImportantDisclosures!$A$19</definedName>
    <definedName name="StockRating" localSheetId="0">ImportantDisclosures!$A$11</definedName>
    <definedName name="SubjectCode" localSheetId="2">IndexInformation!$B$6</definedName>
    <definedName name="SubmitterUserId">IndexInformation!$B$39</definedName>
    <definedName name="SUPPRESSED" localSheetId="3">ModPubIndex!$A$13</definedName>
    <definedName name="TargetPrice" localSheetId="0">ImportantDisclosures!$A$15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2">IndexInformation!$B$19</definedName>
    <definedName name="UpdateReason" localSheetId="2">IndexInformation!$B$17</definedName>
    <definedName name="USRegDisclosures" localSheetId="0">ImportantDisclosures!#REF!</definedName>
  </definedNames>
  <calcPr calcId="145621" calcMode="manual"/>
</workbook>
</file>

<file path=xl/calcChain.xml><?xml version="1.0" encoding="utf-8"?>
<calcChain xmlns="http://schemas.openxmlformats.org/spreadsheetml/2006/main">
  <c r="BM8" i="1" l="1"/>
  <c r="BM9" i="1" s="1"/>
  <c r="BM10" i="1" s="1"/>
  <c r="BM11" i="1" s="1"/>
  <c r="BM12" i="1" s="1"/>
  <c r="BM13" i="1" s="1"/>
  <c r="BM14" i="1" s="1"/>
  <c r="AX421" i="1"/>
  <c r="AW421" i="1"/>
  <c r="AT421" i="1"/>
  <c r="AS421" i="1"/>
  <c r="AR421" i="1"/>
  <c r="AQ421" i="1"/>
  <c r="AP421" i="1"/>
  <c r="AO421" i="1"/>
  <c r="AN421" i="1"/>
  <c r="AM421" i="1"/>
  <c r="AL421" i="1"/>
  <c r="AK421" i="1"/>
  <c r="AJ421" i="1"/>
  <c r="AI421" i="1"/>
  <c r="AH421" i="1"/>
  <c r="AG421" i="1"/>
  <c r="AA421" i="1"/>
  <c r="Z421" i="1"/>
  <c r="AJ420" i="1"/>
  <c r="AI420" i="1"/>
  <c r="AH420" i="1"/>
  <c r="AG420" i="1"/>
  <c r="AF420" i="1"/>
  <c r="AE420" i="1"/>
  <c r="AD420" i="1"/>
  <c r="AC420" i="1"/>
  <c r="AB420" i="1"/>
  <c r="AA420" i="1"/>
  <c r="Z420" i="1"/>
  <c r="AU419" i="1"/>
  <c r="AQ419" i="1"/>
  <c r="AM419" i="1"/>
  <c r="AI419" i="1"/>
  <c r="AG419" i="1"/>
  <c r="AF419" i="1"/>
  <c r="AE419" i="1"/>
  <c r="AC419" i="1"/>
  <c r="AB419" i="1"/>
  <c r="AA419" i="1"/>
  <c r="Z419" i="1"/>
  <c r="Y419" i="1"/>
  <c r="X419" i="1"/>
  <c r="W419" i="1"/>
  <c r="G417" i="1"/>
  <c r="T411" i="1"/>
  <c r="U411" i="1" s="1"/>
  <c r="V411" i="1" s="1"/>
  <c r="W411" i="1" s="1"/>
  <c r="X411" i="1" s="1"/>
  <c r="Y411" i="1" s="1"/>
  <c r="Z411" i="1" s="1"/>
  <c r="AA411" i="1" s="1"/>
  <c r="AB411" i="1" s="1"/>
  <c r="AC411" i="1" s="1"/>
  <c r="AD411" i="1" s="1"/>
  <c r="AE411" i="1" s="1"/>
  <c r="AF411" i="1" s="1"/>
  <c r="AG411" i="1" s="1"/>
  <c r="AH411" i="1" s="1"/>
  <c r="AI411" i="1" s="1"/>
  <c r="AJ411" i="1" s="1"/>
  <c r="AK411" i="1" s="1"/>
  <c r="AL411" i="1" s="1"/>
  <c r="AM411" i="1" s="1"/>
  <c r="AN411" i="1" s="1"/>
  <c r="AO411" i="1" s="1"/>
  <c r="AP411" i="1" s="1"/>
  <c r="AQ411" i="1" s="1"/>
  <c r="AR411" i="1" s="1"/>
  <c r="AS411" i="1" s="1"/>
  <c r="AT411" i="1" s="1"/>
  <c r="AU411" i="1" s="1"/>
  <c r="AV411" i="1" s="1"/>
  <c r="AW411" i="1" s="1"/>
  <c r="AX411" i="1" s="1"/>
  <c r="AZ411" i="1" s="1"/>
  <c r="BA411" i="1" s="1"/>
  <c r="BB411" i="1" s="1"/>
  <c r="BC411" i="1" s="1"/>
  <c r="BD411" i="1" s="1"/>
  <c r="BE411" i="1" s="1"/>
  <c r="BF411" i="1" s="1"/>
  <c r="BG411" i="1" s="1"/>
  <c r="BH411" i="1" s="1"/>
  <c r="BI411" i="1" s="1"/>
  <c r="BJ411" i="1" s="1"/>
  <c r="F384" i="1"/>
  <c r="F383" i="1"/>
  <c r="F382" i="1"/>
  <c r="AX383" i="1"/>
  <c r="AX385" i="1" s="1"/>
  <c r="AW383" i="1"/>
  <c r="AW385" i="1" s="1"/>
  <c r="AV383" i="1"/>
  <c r="AV385" i="1" s="1"/>
  <c r="AU383" i="1"/>
  <c r="AU385" i="1" s="1"/>
  <c r="AT383" i="1"/>
  <c r="AT385" i="1" s="1"/>
  <c r="AS383" i="1"/>
  <c r="AS385" i="1" s="1"/>
  <c r="AR383" i="1"/>
  <c r="AR385" i="1" s="1"/>
  <c r="AQ383" i="1"/>
  <c r="AQ385" i="1" s="1"/>
  <c r="AP383" i="1"/>
  <c r="AP385" i="1" s="1"/>
  <c r="AO383" i="1"/>
  <c r="AO385" i="1" s="1"/>
  <c r="AN383" i="1"/>
  <c r="AN385" i="1" s="1"/>
  <c r="AM383" i="1"/>
  <c r="AM385" i="1" s="1"/>
  <c r="AL383" i="1"/>
  <c r="AL385" i="1" s="1"/>
  <c r="AK383" i="1"/>
  <c r="AK385" i="1" s="1"/>
  <c r="AJ383" i="1"/>
  <c r="AJ385" i="1" s="1"/>
  <c r="AI383" i="1"/>
  <c r="AI385" i="1" s="1"/>
  <c r="AH383" i="1"/>
  <c r="AH385" i="1" s="1"/>
  <c r="AG383" i="1"/>
  <c r="AG385" i="1" s="1"/>
  <c r="AF383" i="1"/>
  <c r="AF385" i="1" s="1"/>
  <c r="AE383" i="1"/>
  <c r="AE385" i="1" s="1"/>
  <c r="AD383" i="1"/>
  <c r="AD385" i="1" s="1"/>
  <c r="AC383" i="1"/>
  <c r="AC385" i="1" s="1"/>
  <c r="AB383" i="1"/>
  <c r="AB385" i="1" s="1"/>
  <c r="AA383" i="1"/>
  <c r="AA385" i="1" s="1"/>
  <c r="Z383" i="1"/>
  <c r="Z385" i="1" s="1"/>
  <c r="H383" i="1"/>
  <c r="H385" i="1" s="1"/>
  <c r="G383" i="1"/>
  <c r="G385" i="1" s="1"/>
  <c r="AY384" i="1"/>
  <c r="AY382" i="1" s="1"/>
  <c r="AU375" i="1"/>
  <c r="AQ375" i="1"/>
  <c r="AM375" i="1"/>
  <c r="AI375" i="1"/>
  <c r="AG375" i="1"/>
  <c r="AE375" i="1"/>
  <c r="AA375" i="1"/>
  <c r="Y375" i="1"/>
  <c r="Y371" i="1"/>
  <c r="G375" i="1"/>
  <c r="F375" i="1"/>
  <c r="G371" i="1"/>
  <c r="G374" i="1" s="1"/>
  <c r="G305" i="1" s="1"/>
  <c r="F371" i="1"/>
  <c r="F374" i="1" s="1"/>
  <c r="F305" i="1" s="1"/>
  <c r="AW368" i="1"/>
  <c r="AV368" i="1"/>
  <c r="AU368" i="1"/>
  <c r="AR368" i="1"/>
  <c r="AS368" i="1" s="1"/>
  <c r="BJ368" i="1"/>
  <c r="BI368" i="1"/>
  <c r="BH368" i="1"/>
  <c r="BG368" i="1"/>
  <c r="BF368" i="1"/>
  <c r="BE368" i="1"/>
  <c r="BD368" i="1"/>
  <c r="BC368" i="1"/>
  <c r="BB368" i="1"/>
  <c r="BA368" i="1"/>
  <c r="AZ368" i="1"/>
  <c r="AY368" i="1"/>
  <c r="BJ367" i="1"/>
  <c r="BI367" i="1"/>
  <c r="BH367" i="1"/>
  <c r="BG367" i="1"/>
  <c r="BF367" i="1"/>
  <c r="BE367" i="1"/>
  <c r="BD367" i="1"/>
  <c r="BC367" i="1"/>
  <c r="BB367" i="1"/>
  <c r="BA367" i="1"/>
  <c r="AZ367" i="1"/>
  <c r="AY367" i="1"/>
  <c r="AX367" i="1"/>
  <c r="AP367" i="1"/>
  <c r="AL367" i="1"/>
  <c r="AX364" i="1"/>
  <c r="AW364" i="1"/>
  <c r="AV364" i="1"/>
  <c r="AU364" i="1"/>
  <c r="AT364" i="1"/>
  <c r="AS364" i="1"/>
  <c r="AR364" i="1"/>
  <c r="AQ364" i="1"/>
  <c r="AP364" i="1"/>
  <c r="AO364" i="1"/>
  <c r="AN364" i="1"/>
  <c r="AM364" i="1"/>
  <c r="AL364" i="1"/>
  <c r="AK364" i="1"/>
  <c r="AJ364" i="1"/>
  <c r="AI364" i="1"/>
  <c r="AH364" i="1"/>
  <c r="AG364" i="1"/>
  <c r="AF364" i="1"/>
  <c r="AE364" i="1"/>
  <c r="AD364" i="1"/>
  <c r="AC364" i="1"/>
  <c r="AB364" i="1"/>
  <c r="AA364" i="1"/>
  <c r="Z364" i="1"/>
  <c r="Y364" i="1"/>
  <c r="X364" i="1"/>
  <c r="W364" i="1"/>
  <c r="V364" i="1"/>
  <c r="U364" i="1"/>
  <c r="T364" i="1"/>
  <c r="S364" i="1"/>
  <c r="H364" i="1"/>
  <c r="AZ361" i="1"/>
  <c r="AY361" i="1"/>
  <c r="AX361" i="1"/>
  <c r="AW361" i="1"/>
  <c r="AV361" i="1"/>
  <c r="AU361" i="1"/>
  <c r="AT361" i="1"/>
  <c r="AS361" i="1"/>
  <c r="AR361" i="1"/>
  <c r="AQ361" i="1"/>
  <c r="AP361" i="1"/>
  <c r="AO361" i="1"/>
  <c r="AN361" i="1"/>
  <c r="AM361" i="1"/>
  <c r="AL361" i="1"/>
  <c r="AK361" i="1"/>
  <c r="AJ361" i="1"/>
  <c r="AI361" i="1"/>
  <c r="AX357" i="1"/>
  <c r="AW357" i="1"/>
  <c r="AV357" i="1"/>
  <c r="AU357" i="1"/>
  <c r="AT357" i="1"/>
  <c r="AS357" i="1"/>
  <c r="AR357" i="1"/>
  <c r="AQ357" i="1"/>
  <c r="AP357" i="1"/>
  <c r="AO357" i="1"/>
  <c r="AN357" i="1"/>
  <c r="AM357" i="1"/>
  <c r="AL357" i="1"/>
  <c r="AK357" i="1"/>
  <c r="AJ357" i="1"/>
  <c r="AI357" i="1"/>
  <c r="AH357" i="1"/>
  <c r="AG357" i="1"/>
  <c r="AF357" i="1"/>
  <c r="AE357" i="1"/>
  <c r="AD357" i="1"/>
  <c r="AC357" i="1"/>
  <c r="AB357" i="1"/>
  <c r="AA357" i="1"/>
  <c r="Z357" i="1"/>
  <c r="BJ355" i="1"/>
  <c r="BI355" i="1"/>
  <c r="BH355" i="1"/>
  <c r="BG355" i="1"/>
  <c r="BF355" i="1"/>
  <c r="BE355" i="1"/>
  <c r="BD355" i="1"/>
  <c r="BC355" i="1"/>
  <c r="BB355" i="1"/>
  <c r="BA355" i="1"/>
  <c r="AZ355" i="1"/>
  <c r="AY355" i="1"/>
  <c r="AX355" i="1"/>
  <c r="AW355" i="1"/>
  <c r="AV355" i="1"/>
  <c r="AU355" i="1"/>
  <c r="AT355" i="1"/>
  <c r="AS355" i="1"/>
  <c r="AR355" i="1"/>
  <c r="AQ355" i="1"/>
  <c r="AP355" i="1"/>
  <c r="AO355" i="1"/>
  <c r="AN355" i="1"/>
  <c r="AM355" i="1"/>
  <c r="AL355" i="1"/>
  <c r="AK355" i="1"/>
  <c r="AJ355" i="1"/>
  <c r="AI355" i="1"/>
  <c r="AH355" i="1"/>
  <c r="AG355" i="1"/>
  <c r="AF355" i="1"/>
  <c r="AE355" i="1"/>
  <c r="AD355" i="1"/>
  <c r="AC355" i="1"/>
  <c r="AB355" i="1"/>
  <c r="AA355" i="1"/>
  <c r="Z355" i="1"/>
  <c r="AX354" i="1"/>
  <c r="AW354" i="1"/>
  <c r="AV354" i="1"/>
  <c r="AU354" i="1"/>
  <c r="AT354" i="1"/>
  <c r="AS354" i="1"/>
  <c r="AR354" i="1"/>
  <c r="AQ354" i="1"/>
  <c r="AP354" i="1"/>
  <c r="AO354" i="1"/>
  <c r="AN354" i="1"/>
  <c r="AH354" i="1"/>
  <c r="AG354" i="1"/>
  <c r="AF354" i="1"/>
  <c r="AE354" i="1"/>
  <c r="AD354" i="1"/>
  <c r="AC354" i="1"/>
  <c r="AB354" i="1"/>
  <c r="AA354" i="1"/>
  <c r="Z354" i="1"/>
  <c r="AX349" i="1"/>
  <c r="AX350" i="1" s="1"/>
  <c r="AX351" i="1" s="1"/>
  <c r="AW349" i="1"/>
  <c r="AW350" i="1" s="1"/>
  <c r="AW351" i="1" s="1"/>
  <c r="AV349" i="1"/>
  <c r="AV350" i="1" s="1"/>
  <c r="AV351" i="1" s="1"/>
  <c r="AU349" i="1"/>
  <c r="AU350" i="1" s="1"/>
  <c r="AU351" i="1" s="1"/>
  <c r="AT349" i="1"/>
  <c r="AT350" i="1" s="1"/>
  <c r="AT351" i="1" s="1"/>
  <c r="AS349" i="1"/>
  <c r="AS350" i="1" s="1"/>
  <c r="AS351" i="1" s="1"/>
  <c r="AR349" i="1"/>
  <c r="AR350" i="1" s="1"/>
  <c r="AR351" i="1" s="1"/>
  <c r="AQ349" i="1"/>
  <c r="AQ350" i="1" s="1"/>
  <c r="AP349" i="1"/>
  <c r="AP350" i="1" s="1"/>
  <c r="AO349" i="1"/>
  <c r="AO350" i="1" s="1"/>
  <c r="AN349" i="1"/>
  <c r="AN350" i="1" s="1"/>
  <c r="AM349" i="1"/>
  <c r="AM350" i="1" s="1"/>
  <c r="AL349" i="1"/>
  <c r="AL350" i="1" s="1"/>
  <c r="AK349" i="1"/>
  <c r="AK350" i="1" s="1"/>
  <c r="AJ349" i="1"/>
  <c r="AJ350" i="1" s="1"/>
  <c r="AI349" i="1"/>
  <c r="AI350" i="1" s="1"/>
  <c r="AY348" i="1"/>
  <c r="AY349" i="1" s="1"/>
  <c r="BA347" i="1"/>
  <c r="BA361" i="1" s="1"/>
  <c r="AX345" i="1"/>
  <c r="AT345" i="1"/>
  <c r="AS345" i="1"/>
  <c r="AR345" i="1"/>
  <c r="AQ345" i="1"/>
  <c r="AP345" i="1"/>
  <c r="AO345" i="1"/>
  <c r="AN345" i="1"/>
  <c r="AM345" i="1"/>
  <c r="AL345" i="1"/>
  <c r="AK345" i="1"/>
  <c r="AJ345" i="1"/>
  <c r="AI345" i="1"/>
  <c r="AX344" i="1"/>
  <c r="AS344" i="1"/>
  <c r="AR344" i="1"/>
  <c r="AQ344" i="1"/>
  <c r="AP344" i="1"/>
  <c r="AO344" i="1"/>
  <c r="AN344" i="1"/>
  <c r="AM344" i="1"/>
  <c r="AL344" i="1"/>
  <c r="AK344" i="1"/>
  <c r="AJ344" i="1"/>
  <c r="AI344" i="1"/>
  <c r="Y342" i="1"/>
  <c r="X342" i="1"/>
  <c r="W342" i="1"/>
  <c r="AW340" i="1"/>
  <c r="AS340" i="1"/>
  <c r="AR340" i="1"/>
  <c r="AO340" i="1"/>
  <c r="AN340" i="1"/>
  <c r="AM340" i="1"/>
  <c r="AI340" i="1"/>
  <c r="AH340" i="1"/>
  <c r="AH342" i="1" s="1"/>
  <c r="AG340" i="1"/>
  <c r="AF340" i="1"/>
  <c r="AF342" i="1" s="1"/>
  <c r="AE340" i="1"/>
  <c r="AD340" i="1"/>
  <c r="AD342" i="1" s="1"/>
  <c r="AC340" i="1"/>
  <c r="AB340" i="1"/>
  <c r="AA340" i="1"/>
  <c r="AA342" i="1" s="1"/>
  <c r="Z340" i="1"/>
  <c r="Z356" i="1" s="1"/>
  <c r="V340" i="1"/>
  <c r="V342" i="1" s="1"/>
  <c r="AX339" i="1"/>
  <c r="AY339" i="1" s="1"/>
  <c r="AZ339" i="1" s="1"/>
  <c r="BA339" i="1" s="1"/>
  <c r="BB339" i="1" s="1"/>
  <c r="BC339" i="1" s="1"/>
  <c r="BD339" i="1" s="1"/>
  <c r="BE339" i="1" s="1"/>
  <c r="BF339" i="1" s="1"/>
  <c r="BG339" i="1" s="1"/>
  <c r="BH339" i="1" s="1"/>
  <c r="BI339" i="1" s="1"/>
  <c r="BJ339" i="1" s="1"/>
  <c r="AW339" i="1"/>
  <c r="AV339" i="1"/>
  <c r="AU339" i="1"/>
  <c r="AT339" i="1"/>
  <c r="AS339" i="1"/>
  <c r="AR339" i="1"/>
  <c r="AQ339" i="1"/>
  <c r="AQ340" i="1" s="1"/>
  <c r="AP339" i="1"/>
  <c r="AP340" i="1" s="1"/>
  <c r="AP356" i="1" s="1"/>
  <c r="AO339" i="1"/>
  <c r="AN339" i="1"/>
  <c r="AM339" i="1"/>
  <c r="AX338" i="1"/>
  <c r="AX340" i="1" s="1"/>
  <c r="AX331" i="1" s="1"/>
  <c r="AW338" i="1"/>
  <c r="AV338" i="1"/>
  <c r="AU338" i="1"/>
  <c r="AU340" i="1" s="1"/>
  <c r="BJ338" i="1"/>
  <c r="BI338" i="1"/>
  <c r="BH338" i="1"/>
  <c r="BG338" i="1"/>
  <c r="BF338" i="1"/>
  <c r="BE338" i="1"/>
  <c r="BD338" i="1"/>
  <c r="BC338" i="1"/>
  <c r="BB338" i="1"/>
  <c r="BA338" i="1"/>
  <c r="AZ338" i="1"/>
  <c r="AY338" i="1"/>
  <c r="AY337" i="1"/>
  <c r="AZ337" i="1" s="1"/>
  <c r="AV337" i="1"/>
  <c r="AV340" i="1" s="1"/>
  <c r="AU337" i="1"/>
  <c r="AT337" i="1"/>
  <c r="AS337" i="1"/>
  <c r="BA335" i="1"/>
  <c r="AY335" i="1"/>
  <c r="AL335" i="1"/>
  <c r="AM354" i="1" s="1"/>
  <c r="AK335" i="1"/>
  <c r="AL354" i="1" s="1"/>
  <c r="AJ335" i="1"/>
  <c r="AJ354" i="1" s="1"/>
  <c r="AI335" i="1"/>
  <c r="AI354" i="1" s="1"/>
  <c r="AF331" i="1"/>
  <c r="AE331" i="1"/>
  <c r="AD331" i="1"/>
  <c r="Y331" i="1"/>
  <c r="X331" i="1"/>
  <c r="W331" i="1"/>
  <c r="V331" i="1"/>
  <c r="AX329" i="1"/>
  <c r="AW329" i="1"/>
  <c r="AV329" i="1"/>
  <c r="AU329" i="1"/>
  <c r="AT329" i="1"/>
  <c r="AS329" i="1"/>
  <c r="AR329" i="1"/>
  <c r="AQ329" i="1"/>
  <c r="AP329" i="1"/>
  <c r="AO329" i="1"/>
  <c r="AN329" i="1"/>
  <c r="AM329" i="1"/>
  <c r="AL329" i="1"/>
  <c r="AK329" i="1"/>
  <c r="AJ329" i="1"/>
  <c r="AI329" i="1"/>
  <c r="AH329" i="1"/>
  <c r="AG329" i="1"/>
  <c r="AF329" i="1"/>
  <c r="AE329" i="1"/>
  <c r="AD329" i="1"/>
  <c r="AC329" i="1"/>
  <c r="AB329" i="1"/>
  <c r="AA329" i="1"/>
  <c r="Z329" i="1"/>
  <c r="Y329" i="1"/>
  <c r="V329" i="1"/>
  <c r="AX328" i="1"/>
  <c r="AW328" i="1"/>
  <c r="AV328" i="1"/>
  <c r="AU328" i="1"/>
  <c r="AT328" i="1"/>
  <c r="AS328" i="1"/>
  <c r="AR328" i="1"/>
  <c r="AQ328" i="1"/>
  <c r="AP328" i="1"/>
  <c r="AO328" i="1"/>
  <c r="AN328" i="1"/>
  <c r="AM328" i="1"/>
  <c r="AL328" i="1"/>
  <c r="AK328" i="1"/>
  <c r="AJ328" i="1"/>
  <c r="AI328" i="1"/>
  <c r="AH328" i="1"/>
  <c r="AG328" i="1"/>
  <c r="AF328" i="1"/>
  <c r="AE328" i="1"/>
  <c r="AD328" i="1"/>
  <c r="AC328" i="1"/>
  <c r="AB328" i="1"/>
  <c r="AA328" i="1"/>
  <c r="Z328" i="1"/>
  <c r="Y328" i="1"/>
  <c r="V328" i="1"/>
  <c r="AX323" i="1"/>
  <c r="AW323" i="1"/>
  <c r="AV323" i="1"/>
  <c r="AU323" i="1"/>
  <c r="AT323" i="1"/>
  <c r="AS323" i="1"/>
  <c r="AR323" i="1"/>
  <c r="AF323" i="1"/>
  <c r="AE323" i="1"/>
  <c r="AD323" i="1"/>
  <c r="AC323" i="1"/>
  <c r="AB323" i="1"/>
  <c r="AA323" i="1"/>
  <c r="Z323" i="1"/>
  <c r="V323" i="1"/>
  <c r="AY315" i="1"/>
  <c r="AY312" i="1"/>
  <c r="AZ314" i="1"/>
  <c r="BA314" i="1" s="1"/>
  <c r="BB314" i="1" s="1"/>
  <c r="BC314" i="1" s="1"/>
  <c r="BD314" i="1" s="1"/>
  <c r="BE314" i="1" s="1"/>
  <c r="BF314" i="1" s="1"/>
  <c r="BG314" i="1" s="1"/>
  <c r="BH314" i="1" s="1"/>
  <c r="BI314" i="1" s="1"/>
  <c r="BJ314" i="1" s="1"/>
  <c r="AZ313" i="1"/>
  <c r="BA313" i="1" s="1"/>
  <c r="AZ312" i="1"/>
  <c r="AZ311" i="1"/>
  <c r="AZ310" i="1" s="1"/>
  <c r="AY310" i="1"/>
  <c r="AF309" i="1"/>
  <c r="AD292" i="1"/>
  <c r="AX291" i="1"/>
  <c r="AS291" i="1"/>
  <c r="AS292" i="1" s="1"/>
  <c r="AR291" i="1"/>
  <c r="AQ291" i="1"/>
  <c r="AQ196" i="1" s="1"/>
  <c r="AP291" i="1"/>
  <c r="AO291" i="1"/>
  <c r="AN291" i="1"/>
  <c r="AM291" i="1"/>
  <c r="AM196" i="1" s="1"/>
  <c r="AL291" i="1"/>
  <c r="AK291" i="1"/>
  <c r="AJ291" i="1"/>
  <c r="AI291" i="1"/>
  <c r="AI196" i="1" s="1"/>
  <c r="AH291" i="1"/>
  <c r="AG291" i="1"/>
  <c r="AD291" i="1"/>
  <c r="AC291" i="1"/>
  <c r="AC292" i="1" s="1"/>
  <c r="AB291" i="1"/>
  <c r="AA291" i="1"/>
  <c r="BJ288" i="1"/>
  <c r="BI288" i="1"/>
  <c r="BH288" i="1"/>
  <c r="BG288" i="1"/>
  <c r="BF288" i="1"/>
  <c r="BE288" i="1"/>
  <c r="BD288" i="1"/>
  <c r="BC288" i="1"/>
  <c r="BB288" i="1"/>
  <c r="BA288" i="1"/>
  <c r="AZ288" i="1"/>
  <c r="AY288" i="1"/>
  <c r="AX288" i="1"/>
  <c r="AW288" i="1"/>
  <c r="AV288" i="1"/>
  <c r="AU288" i="1"/>
  <c r="AT288" i="1"/>
  <c r="AS288" i="1"/>
  <c r="AR288" i="1"/>
  <c r="AQ288" i="1"/>
  <c r="AP288" i="1"/>
  <c r="AO288" i="1"/>
  <c r="AN288" i="1"/>
  <c r="AM288" i="1"/>
  <c r="AL288" i="1"/>
  <c r="AK288" i="1"/>
  <c r="AJ288" i="1"/>
  <c r="AI288" i="1"/>
  <c r="AH288" i="1"/>
  <c r="AG288" i="1"/>
  <c r="AF288" i="1"/>
  <c r="AE288" i="1"/>
  <c r="AD288" i="1"/>
  <c r="AC288" i="1"/>
  <c r="AB288" i="1"/>
  <c r="AA288" i="1"/>
  <c r="Z288" i="1"/>
  <c r="Y288" i="1"/>
  <c r="X288" i="1"/>
  <c r="W288" i="1"/>
  <c r="V288" i="1"/>
  <c r="U288" i="1"/>
  <c r="T288" i="1"/>
  <c r="S288" i="1"/>
  <c r="Q288" i="1"/>
  <c r="P288" i="1"/>
  <c r="O288" i="1"/>
  <c r="N288" i="1"/>
  <c r="M288" i="1"/>
  <c r="L288" i="1"/>
  <c r="K288" i="1"/>
  <c r="J288" i="1"/>
  <c r="I288" i="1"/>
  <c r="H288" i="1"/>
  <c r="G288" i="1"/>
  <c r="F288" i="1"/>
  <c r="E288" i="1"/>
  <c r="D288" i="1"/>
  <c r="C288" i="1"/>
  <c r="AX284" i="1"/>
  <c r="AX290" i="1" s="1"/>
  <c r="AV284" i="1"/>
  <c r="AS284" i="1"/>
  <c r="AS290" i="1" s="1"/>
  <c r="AS293" i="1" s="1"/>
  <c r="AP284" i="1"/>
  <c r="AO284" i="1"/>
  <c r="AO290" i="1" s="1"/>
  <c r="AJ284" i="1"/>
  <c r="AI284" i="1"/>
  <c r="AI290" i="1" s="1"/>
  <c r="AH284" i="1"/>
  <c r="AG284" i="1"/>
  <c r="AF284" i="1"/>
  <c r="AD284" i="1"/>
  <c r="AC284" i="1"/>
  <c r="AB284" i="1"/>
  <c r="AA284" i="1"/>
  <c r="AA290" i="1" s="1"/>
  <c r="Z284" i="1"/>
  <c r="Y284" i="1"/>
  <c r="V284" i="1"/>
  <c r="AU283" i="1"/>
  <c r="AE283" i="1"/>
  <c r="AD283" i="1"/>
  <c r="AC283" i="1"/>
  <c r="AB283" i="1"/>
  <c r="AB421" i="1" s="1"/>
  <c r="W283" i="1"/>
  <c r="W421" i="1" s="1"/>
  <c r="AV280" i="1"/>
  <c r="AU280" i="1"/>
  <c r="AT280" i="1"/>
  <c r="AS280" i="1"/>
  <c r="AR280" i="1"/>
  <c r="AQ280" i="1"/>
  <c r="AP280" i="1"/>
  <c r="AP420" i="1" s="1"/>
  <c r="AO280" i="1"/>
  <c r="AN280" i="1"/>
  <c r="AM280" i="1"/>
  <c r="AL280" i="1"/>
  <c r="AL284" i="1" s="1"/>
  <c r="AK280" i="1"/>
  <c r="AW279" i="1"/>
  <c r="AW284" i="1" s="1"/>
  <c r="AW290" i="1" s="1"/>
  <c r="AK279" i="1"/>
  <c r="AK420" i="1" s="1"/>
  <c r="W281" i="1"/>
  <c r="X280" i="1"/>
  <c r="W280" i="1"/>
  <c r="W279" i="1"/>
  <c r="AH278" i="1"/>
  <c r="AG278" i="1"/>
  <c r="AF278" i="1"/>
  <c r="AT277" i="1"/>
  <c r="AS277" i="1"/>
  <c r="AJ277" i="1"/>
  <c r="Z277" i="1"/>
  <c r="Y277" i="1"/>
  <c r="V277" i="1"/>
  <c r="W277" i="1" s="1"/>
  <c r="X277" i="1" s="1"/>
  <c r="U276" i="1"/>
  <c r="W275" i="1"/>
  <c r="X275" i="1" s="1"/>
  <c r="W274" i="1"/>
  <c r="X274" i="1" s="1"/>
  <c r="AW273" i="1"/>
  <c r="AV273" i="1"/>
  <c r="AV345" i="1" s="1"/>
  <c r="AU273" i="1"/>
  <c r="AE273" i="1"/>
  <c r="AE271" i="1"/>
  <c r="AE270" i="1"/>
  <c r="AA273" i="1"/>
  <c r="Z273" i="1"/>
  <c r="Y273" i="1"/>
  <c r="Y291" i="1" s="1"/>
  <c r="V273" i="1"/>
  <c r="W273" i="1" s="1"/>
  <c r="X273" i="1" s="1"/>
  <c r="AW272" i="1"/>
  <c r="AW278" i="1" s="1"/>
  <c r="AS272" i="1"/>
  <c r="AS278" i="1" s="1"/>
  <c r="AR272" i="1"/>
  <c r="AR278" i="1" s="1"/>
  <c r="AQ272" i="1"/>
  <c r="AQ278" i="1" s="1"/>
  <c r="AO272" i="1"/>
  <c r="AO278" i="1" s="1"/>
  <c r="AO285" i="1" s="1"/>
  <c r="AM272" i="1"/>
  <c r="AM278" i="1" s="1"/>
  <c r="AK272" i="1"/>
  <c r="AK278" i="1" s="1"/>
  <c r="AI272" i="1"/>
  <c r="AI278" i="1" s="1"/>
  <c r="AX271" i="1"/>
  <c r="AW271" i="1"/>
  <c r="AV271" i="1"/>
  <c r="AT271" i="1"/>
  <c r="AS271" i="1"/>
  <c r="AR271" i="1"/>
  <c r="AQ271" i="1"/>
  <c r="AP271" i="1"/>
  <c r="AO271" i="1"/>
  <c r="AN271" i="1"/>
  <c r="AM271" i="1"/>
  <c r="AL271" i="1"/>
  <c r="AK271" i="1"/>
  <c r="AJ271" i="1"/>
  <c r="AJ272" i="1" s="1"/>
  <c r="AJ278" i="1" s="1"/>
  <c r="AI271" i="1"/>
  <c r="AH271" i="1"/>
  <c r="AF271" i="1"/>
  <c r="AC272" i="1"/>
  <c r="AC278" i="1" s="1"/>
  <c r="Y272" i="1"/>
  <c r="Y278" i="1" s="1"/>
  <c r="AD271" i="1"/>
  <c r="AD272" i="1" s="1"/>
  <c r="AD278" i="1" s="1"/>
  <c r="AC271" i="1"/>
  <c r="AB271" i="1"/>
  <c r="AA271" i="1"/>
  <c r="Z271" i="1"/>
  <c r="Y271" i="1"/>
  <c r="V271" i="1"/>
  <c r="V272" i="1" s="1"/>
  <c r="V278" i="1" s="1"/>
  <c r="AW270" i="1"/>
  <c r="AV270" i="1"/>
  <c r="AU270" i="1"/>
  <c r="AU272" i="1" s="1"/>
  <c r="AU278" i="1" s="1"/>
  <c r="AT270" i="1"/>
  <c r="AG270" i="1"/>
  <c r="AG271" i="1" s="1"/>
  <c r="AF270" i="1"/>
  <c r="Y270" i="1"/>
  <c r="W270" i="1"/>
  <c r="X270" i="1" s="1"/>
  <c r="AX269" i="1"/>
  <c r="AW269" i="1"/>
  <c r="AV269" i="1"/>
  <c r="AV272" i="1" s="1"/>
  <c r="AV278" i="1" s="1"/>
  <c r="AU269" i="1"/>
  <c r="W269" i="1"/>
  <c r="X269" i="1" s="1"/>
  <c r="W268" i="1"/>
  <c r="X268" i="1" s="1"/>
  <c r="W267" i="1"/>
  <c r="W328" i="1" s="1"/>
  <c r="AY283" i="1"/>
  <c r="AY282" i="1"/>
  <c r="AZ282" i="1" s="1"/>
  <c r="BA282" i="1" s="1"/>
  <c r="BB282" i="1" s="1"/>
  <c r="BC282" i="1" s="1"/>
  <c r="BD282" i="1" s="1"/>
  <c r="BE282" i="1" s="1"/>
  <c r="BF282" i="1" s="1"/>
  <c r="BG282" i="1" s="1"/>
  <c r="BH282" i="1" s="1"/>
  <c r="BI282" i="1" s="1"/>
  <c r="BJ282" i="1" s="1"/>
  <c r="AY279" i="1"/>
  <c r="AY277" i="1"/>
  <c r="AZ277" i="1" s="1"/>
  <c r="BA277" i="1" s="1"/>
  <c r="BB277" i="1" s="1"/>
  <c r="BC277" i="1" s="1"/>
  <c r="BD277" i="1" s="1"/>
  <c r="BE277" i="1" s="1"/>
  <c r="BF277" i="1" s="1"/>
  <c r="BG277" i="1" s="1"/>
  <c r="BH277" i="1" s="1"/>
  <c r="BI277" i="1" s="1"/>
  <c r="BJ277" i="1" s="1"/>
  <c r="AY276" i="1"/>
  <c r="AY275" i="1"/>
  <c r="AZ275" i="1" s="1"/>
  <c r="BA275" i="1" s="1"/>
  <c r="AY274" i="1"/>
  <c r="AZ274" i="1" s="1"/>
  <c r="BA274" i="1" s="1"/>
  <c r="BB274" i="1" s="1"/>
  <c r="BC274" i="1" s="1"/>
  <c r="AY271" i="1"/>
  <c r="AY234" i="1" s="1"/>
  <c r="AY270" i="1"/>
  <c r="AY267" i="1"/>
  <c r="AR263" i="1"/>
  <c r="AR262" i="1"/>
  <c r="AL263" i="1"/>
  <c r="AK263" i="1"/>
  <c r="AJ263" i="1"/>
  <c r="AI263" i="1"/>
  <c r="AH263" i="1"/>
  <c r="AG263" i="1"/>
  <c r="AF263" i="1"/>
  <c r="AE263" i="1"/>
  <c r="AD263" i="1"/>
  <c r="AC263" i="1"/>
  <c r="AB263" i="1"/>
  <c r="AA263" i="1"/>
  <c r="Z263" i="1"/>
  <c r="Y263" i="1"/>
  <c r="V263" i="1"/>
  <c r="W263" i="1" s="1"/>
  <c r="X263" i="1" s="1"/>
  <c r="AX262" i="1"/>
  <c r="AW262" i="1"/>
  <c r="AW396" i="1" s="1"/>
  <c r="AV262" i="1"/>
  <c r="AU262" i="1"/>
  <c r="AT262" i="1"/>
  <c r="AS262" i="1"/>
  <c r="AQ262" i="1"/>
  <c r="AP262" i="1"/>
  <c r="AO262" i="1"/>
  <c r="AN262" i="1"/>
  <c r="AM262" i="1"/>
  <c r="AL262" i="1"/>
  <c r="AK262" i="1"/>
  <c r="AJ262" i="1"/>
  <c r="AI262" i="1"/>
  <c r="AI396" i="1" s="1"/>
  <c r="AH262" i="1"/>
  <c r="AG262" i="1"/>
  <c r="AF262" i="1"/>
  <c r="AF264" i="1" s="1"/>
  <c r="AE262" i="1"/>
  <c r="AE396" i="1" s="1"/>
  <c r="AD262" i="1"/>
  <c r="AD396" i="1" s="1"/>
  <c r="AC262" i="1"/>
  <c r="AC396" i="1" s="1"/>
  <c r="AB262" i="1"/>
  <c r="AB396" i="1" s="1"/>
  <c r="AA262" i="1"/>
  <c r="Z262" i="1"/>
  <c r="Y262" i="1"/>
  <c r="V262" i="1"/>
  <c r="W262" i="1" s="1"/>
  <c r="X262" i="1" s="1"/>
  <c r="AM261" i="1"/>
  <c r="X261" i="1"/>
  <c r="W261" i="1"/>
  <c r="Y260" i="1"/>
  <c r="Z194" i="1" s="1"/>
  <c r="V260" i="1"/>
  <c r="W260" i="1" s="1"/>
  <c r="AX259" i="1"/>
  <c r="AX257" i="1"/>
  <c r="Z259" i="1"/>
  <c r="Z258" i="1" s="1"/>
  <c r="W259" i="1"/>
  <c r="X259" i="1" s="1"/>
  <c r="W258" i="1"/>
  <c r="X258" i="1" s="1"/>
  <c r="AW257" i="1"/>
  <c r="AW264" i="1" s="1"/>
  <c r="AT257" i="1"/>
  <c r="AR257" i="1"/>
  <c r="AN257" i="1"/>
  <c r="AE257" i="1"/>
  <c r="AD257" i="1"/>
  <c r="AC257" i="1"/>
  <c r="AB257" i="1"/>
  <c r="AB264" i="1" s="1"/>
  <c r="AA257" i="1"/>
  <c r="AA264" i="1" s="1"/>
  <c r="Z257" i="1"/>
  <c r="Y257" i="1"/>
  <c r="AU256" i="1"/>
  <c r="AT256" i="1"/>
  <c r="AS256" i="1"/>
  <c r="AR256" i="1"/>
  <c r="AQ256" i="1"/>
  <c r="AP256" i="1"/>
  <c r="AO256" i="1"/>
  <c r="AN256" i="1"/>
  <c r="AL256" i="1"/>
  <c r="AK256" i="1"/>
  <c r="AJ256" i="1"/>
  <c r="AG256" i="1"/>
  <c r="AF256" i="1"/>
  <c r="Z256" i="1"/>
  <c r="Y256" i="1"/>
  <c r="W256" i="1"/>
  <c r="X256" i="1" s="1"/>
  <c r="V256" i="1"/>
  <c r="W255" i="1"/>
  <c r="X255" i="1" s="1"/>
  <c r="W254" i="1"/>
  <c r="X254" i="1" s="1"/>
  <c r="U254" i="1"/>
  <c r="Y253" i="1"/>
  <c r="V253" i="1"/>
  <c r="V257" i="1" s="1"/>
  <c r="AY263" i="1"/>
  <c r="AZ263" i="1" s="1"/>
  <c r="BA263" i="1" s="1"/>
  <c r="BB263" i="1" s="1"/>
  <c r="BC263" i="1" s="1"/>
  <c r="BD263" i="1" s="1"/>
  <c r="BE263" i="1" s="1"/>
  <c r="BF263" i="1" s="1"/>
  <c r="BG263" i="1" s="1"/>
  <c r="BH263" i="1" s="1"/>
  <c r="BI263" i="1" s="1"/>
  <c r="BJ263" i="1" s="1"/>
  <c r="AY262" i="1"/>
  <c r="AZ262" i="1" s="1"/>
  <c r="BA262" i="1" s="1"/>
  <c r="BB262" i="1" s="1"/>
  <c r="BC262" i="1" s="1"/>
  <c r="BD262" i="1" s="1"/>
  <c r="BE262" i="1" s="1"/>
  <c r="BF262" i="1" s="1"/>
  <c r="BG262" i="1" s="1"/>
  <c r="BH262" i="1" s="1"/>
  <c r="BI262" i="1" s="1"/>
  <c r="BJ262" i="1" s="1"/>
  <c r="AY261" i="1"/>
  <c r="AZ261" i="1" s="1"/>
  <c r="BA261" i="1" s="1"/>
  <c r="BB261" i="1" s="1"/>
  <c r="BC261" i="1" s="1"/>
  <c r="BD261" i="1" s="1"/>
  <c r="BE261" i="1" s="1"/>
  <c r="BF261" i="1" s="1"/>
  <c r="BG261" i="1" s="1"/>
  <c r="BH261" i="1" s="1"/>
  <c r="BI261" i="1" s="1"/>
  <c r="BJ261" i="1" s="1"/>
  <c r="AY256" i="1"/>
  <c r="AY231" i="1" s="1"/>
  <c r="AQ252" i="1"/>
  <c r="AQ257" i="1" s="1"/>
  <c r="AP252" i="1"/>
  <c r="AO252" i="1"/>
  <c r="AN252" i="1"/>
  <c r="AM252" i="1"/>
  <c r="AM257" i="1" s="1"/>
  <c r="AL252" i="1"/>
  <c r="AL257" i="1" s="1"/>
  <c r="AK252" i="1"/>
  <c r="AJ252" i="1"/>
  <c r="AI252" i="1"/>
  <c r="AH252" i="1"/>
  <c r="AG252" i="1"/>
  <c r="Y252" i="1"/>
  <c r="BJ250" i="1"/>
  <c r="BI250" i="1"/>
  <c r="BH250" i="1"/>
  <c r="BG250" i="1"/>
  <c r="BF250" i="1"/>
  <c r="BE250" i="1"/>
  <c r="BD250" i="1"/>
  <c r="BC250" i="1"/>
  <c r="BB250" i="1"/>
  <c r="BA250" i="1"/>
  <c r="AZ250" i="1"/>
  <c r="AY250" i="1"/>
  <c r="AX250" i="1"/>
  <c r="AW250" i="1"/>
  <c r="AV250" i="1"/>
  <c r="AU250" i="1"/>
  <c r="AT250" i="1"/>
  <c r="AS250" i="1"/>
  <c r="AR250" i="1"/>
  <c r="AQ250" i="1"/>
  <c r="AP250" i="1"/>
  <c r="AO250" i="1"/>
  <c r="AN250" i="1"/>
  <c r="AM250" i="1"/>
  <c r="AL250" i="1"/>
  <c r="AK250" i="1"/>
  <c r="AJ250" i="1"/>
  <c r="AI250" i="1"/>
  <c r="AH250" i="1"/>
  <c r="AG250" i="1"/>
  <c r="AF250" i="1"/>
  <c r="AE250" i="1"/>
  <c r="AD250" i="1"/>
  <c r="AC250" i="1"/>
  <c r="AB250" i="1"/>
  <c r="AA250" i="1"/>
  <c r="Z250" i="1"/>
  <c r="Y250" i="1"/>
  <c r="X250" i="1"/>
  <c r="W250" i="1"/>
  <c r="V250" i="1"/>
  <c r="U250" i="1"/>
  <c r="T250" i="1"/>
  <c r="S250" i="1"/>
  <c r="Q250" i="1"/>
  <c r="P250" i="1"/>
  <c r="O250" i="1"/>
  <c r="N250" i="1"/>
  <c r="M250" i="1"/>
  <c r="L250" i="1"/>
  <c r="K250" i="1"/>
  <c r="J250" i="1"/>
  <c r="I250" i="1"/>
  <c r="H250" i="1"/>
  <c r="G250" i="1"/>
  <c r="F250" i="1"/>
  <c r="E250" i="1"/>
  <c r="D250" i="1"/>
  <c r="C250" i="1"/>
  <c r="AV244" i="1"/>
  <c r="AW244" i="1" s="1"/>
  <c r="AX244" i="1" s="1"/>
  <c r="AU244" i="1"/>
  <c r="AR244" i="1"/>
  <c r="AS244" i="1" s="1"/>
  <c r="AT244" i="1" s="1"/>
  <c r="AM244" i="1"/>
  <c r="AN244" i="1" s="1"/>
  <c r="AO244" i="1" s="1"/>
  <c r="AP244" i="1" s="1"/>
  <c r="AI244" i="1"/>
  <c r="AE244" i="1"/>
  <c r="AG244" i="1" s="1"/>
  <c r="AH244" i="1" s="1"/>
  <c r="AA244" i="1"/>
  <c r="AB244" i="1" s="1"/>
  <c r="AC244" i="1" s="1"/>
  <c r="AD244" i="1" s="1"/>
  <c r="Z244" i="1"/>
  <c r="AU243" i="1"/>
  <c r="AV243" i="1" s="1"/>
  <c r="AW243" i="1" s="1"/>
  <c r="AX243" i="1" s="1"/>
  <c r="AR243" i="1"/>
  <c r="AS243" i="1" s="1"/>
  <c r="AT243" i="1" s="1"/>
  <c r="AM243" i="1"/>
  <c r="AL243" i="1"/>
  <c r="G244" i="1"/>
  <c r="F244" i="1"/>
  <c r="E244" i="1"/>
  <c r="G243" i="1"/>
  <c r="F243" i="1"/>
  <c r="E243" i="1"/>
  <c r="AX242" i="1"/>
  <c r="AN242" i="1"/>
  <c r="AO242" i="1" s="1"/>
  <c r="AP242" i="1" s="1"/>
  <c r="AL242" i="1"/>
  <c r="AL239" i="1"/>
  <c r="AQ241" i="1"/>
  <c r="AR241" i="1" s="1"/>
  <c r="AS241" i="1" s="1"/>
  <c r="AT241" i="1" s="1"/>
  <c r="AM241" i="1"/>
  <c r="AN241" i="1" s="1"/>
  <c r="AO241" i="1" s="1"/>
  <c r="AP241" i="1" s="1"/>
  <c r="AF241" i="1"/>
  <c r="AG241" i="1" s="1"/>
  <c r="AH241" i="1" s="1"/>
  <c r="AC242" i="1"/>
  <c r="AD242" i="1" s="1"/>
  <c r="AA241" i="1"/>
  <c r="AB241" i="1" s="1"/>
  <c r="AC241" i="1" s="1"/>
  <c r="AD241" i="1" s="1"/>
  <c r="E241" i="1"/>
  <c r="AJ241" i="1"/>
  <c r="AK241" i="1" s="1"/>
  <c r="AL241" i="1" s="1"/>
  <c r="AJ240" i="1"/>
  <c r="AJ419" i="1" s="1"/>
  <c r="AH240" i="1"/>
  <c r="AH419" i="1" s="1"/>
  <c r="AD240" i="1"/>
  <c r="AD419" i="1" s="1"/>
  <c r="AR240" i="1"/>
  <c r="AR419" i="1" s="1"/>
  <c r="AR239" i="1"/>
  <c r="AS239" i="1" s="1"/>
  <c r="AT239" i="1" s="1"/>
  <c r="AN240" i="1"/>
  <c r="AN419" i="1" s="1"/>
  <c r="AN239" i="1"/>
  <c r="AO239" i="1" s="1"/>
  <c r="AP239" i="1" s="1"/>
  <c r="AG239" i="1"/>
  <c r="AH239" i="1" s="1"/>
  <c r="AB239" i="1"/>
  <c r="AC239" i="1" s="1"/>
  <c r="AD239" i="1" s="1"/>
  <c r="AS238" i="1"/>
  <c r="AT238" i="1" s="1"/>
  <c r="AK238" i="1"/>
  <c r="AL238" i="1" s="1"/>
  <c r="E238" i="1"/>
  <c r="E236" i="1"/>
  <c r="E234" i="1"/>
  <c r="E233" i="1"/>
  <c r="E232" i="1"/>
  <c r="E231" i="1"/>
  <c r="E230" i="1"/>
  <c r="E229" i="1"/>
  <c r="AU237" i="1"/>
  <c r="AQ237" i="1"/>
  <c r="AQ246" i="1" s="1"/>
  <c r="AM237" i="1"/>
  <c r="AI237" i="1"/>
  <c r="AI246" i="1" s="1"/>
  <c r="AJ236" i="1"/>
  <c r="AK236" i="1" s="1"/>
  <c r="AJ235" i="1"/>
  <c r="AK235" i="1" s="1"/>
  <c r="AJ234" i="1"/>
  <c r="AK234" i="1" s="1"/>
  <c r="AL234" i="1" s="1"/>
  <c r="AJ233" i="1"/>
  <c r="AK233" i="1" s="1"/>
  <c r="AL233" i="1" s="1"/>
  <c r="AJ232" i="1"/>
  <c r="AL232" i="1" s="1"/>
  <c r="AJ231" i="1"/>
  <c r="AK231" i="1" s="1"/>
  <c r="AL231" i="1" s="1"/>
  <c r="AJ230" i="1"/>
  <c r="AK230" i="1" s="1"/>
  <c r="AL230" i="1" s="1"/>
  <c r="AJ229" i="1"/>
  <c r="AF236" i="1"/>
  <c r="AF209" i="1" s="1"/>
  <c r="AF234" i="1"/>
  <c r="AG234" i="1" s="1"/>
  <c r="AH234" i="1" s="1"/>
  <c r="AF233" i="1"/>
  <c r="AF232" i="1"/>
  <c r="AF231" i="1"/>
  <c r="AG231" i="1" s="1"/>
  <c r="AH231" i="1" s="1"/>
  <c r="AF230" i="1"/>
  <c r="AG230" i="1" s="1"/>
  <c r="AH230" i="1" s="1"/>
  <c r="AF229" i="1"/>
  <c r="AB236" i="1"/>
  <c r="Z236" i="1"/>
  <c r="Z209" i="1" s="1"/>
  <c r="Z234" i="1"/>
  <c r="Z233" i="1"/>
  <c r="Z232" i="1"/>
  <c r="Z230" i="1"/>
  <c r="AN236" i="1"/>
  <c r="AO236" i="1" s="1"/>
  <c r="AO210" i="1" s="1"/>
  <c r="AN235" i="1"/>
  <c r="AG233" i="1"/>
  <c r="AH233" i="1" s="1"/>
  <c r="AG232" i="1"/>
  <c r="AH232" i="1" s="1"/>
  <c r="AG229" i="1"/>
  <c r="AH229" i="1" s="1"/>
  <c r="W235" i="1"/>
  <c r="W237" i="1" s="1"/>
  <c r="W246" i="1" s="1"/>
  <c r="W252" i="1" s="1"/>
  <c r="W2" i="1" s="1"/>
  <c r="V235" i="1"/>
  <c r="V237" i="1" s="1"/>
  <c r="V246" i="1" s="1"/>
  <c r="V247" i="1" s="1"/>
  <c r="U235" i="1"/>
  <c r="U237" i="1" s="1"/>
  <c r="U246" i="1" s="1"/>
  <c r="U247" i="1" s="1"/>
  <c r="F235" i="1"/>
  <c r="F237" i="1" s="1"/>
  <c r="F246" i="1" s="1"/>
  <c r="F252" i="1" s="1"/>
  <c r="F253" i="1" s="1"/>
  <c r="AQ234" i="1"/>
  <c r="AN234" i="1"/>
  <c r="AO234" i="1" s="1"/>
  <c r="AP234" i="1" s="1"/>
  <c r="AB234" i="1"/>
  <c r="AC234" i="1" s="1"/>
  <c r="AA234" i="1"/>
  <c r="W234" i="1"/>
  <c r="AK229" i="1"/>
  <c r="AL229" i="1" s="1"/>
  <c r="Y231" i="1"/>
  <c r="Z231" i="1" s="1"/>
  <c r="X231" i="1"/>
  <c r="AV241" i="1"/>
  <c r="AW241" i="1" s="1"/>
  <c r="AX241" i="1" s="1"/>
  <c r="AV240" i="1"/>
  <c r="AV419" i="1" s="1"/>
  <c r="AV239" i="1"/>
  <c r="AW239" i="1" s="1"/>
  <c r="AX239" i="1" s="1"/>
  <c r="AV238" i="1"/>
  <c r="AW238" i="1" s="1"/>
  <c r="AX238" i="1" s="1"/>
  <c r="AV236" i="1"/>
  <c r="AW236" i="1" s="1"/>
  <c r="AW209" i="1" s="1"/>
  <c r="AV235" i="1"/>
  <c r="AW235" i="1" s="1"/>
  <c r="AX235" i="1" s="1"/>
  <c r="AV234" i="1"/>
  <c r="AW234" i="1" s="1"/>
  <c r="AX234" i="1" s="1"/>
  <c r="AV233" i="1"/>
  <c r="AW233" i="1" s="1"/>
  <c r="AX233" i="1" s="1"/>
  <c r="AV232" i="1"/>
  <c r="AW232" i="1" s="1"/>
  <c r="AX232" i="1" s="1"/>
  <c r="AV231" i="1"/>
  <c r="AW231" i="1" s="1"/>
  <c r="AX231" i="1" s="1"/>
  <c r="AV230" i="1"/>
  <c r="AW230" i="1" s="1"/>
  <c r="AV229" i="1"/>
  <c r="AW229" i="1" s="1"/>
  <c r="AX229" i="1" s="1"/>
  <c r="AR236" i="1"/>
  <c r="AR210" i="1" s="1"/>
  <c r="AR235" i="1"/>
  <c r="AR234" i="1"/>
  <c r="AS234" i="1" s="1"/>
  <c r="AT234" i="1" s="1"/>
  <c r="AS233" i="1"/>
  <c r="AT233" i="1" s="1"/>
  <c r="AR233" i="1"/>
  <c r="AR232" i="1"/>
  <c r="AS232" i="1" s="1"/>
  <c r="AT232" i="1" s="1"/>
  <c r="AR231" i="1"/>
  <c r="AS231" i="1" s="1"/>
  <c r="AT231" i="1" s="1"/>
  <c r="AR230" i="1"/>
  <c r="AS230" i="1" s="1"/>
  <c r="AT230" i="1" s="1"/>
  <c r="AR229" i="1"/>
  <c r="AS229" i="1" s="1"/>
  <c r="AT229" i="1" s="1"/>
  <c r="AN233" i="1"/>
  <c r="AO233" i="1" s="1"/>
  <c r="AP233" i="1" s="1"/>
  <c r="AN232" i="1"/>
  <c r="AO232" i="1" s="1"/>
  <c r="AP232" i="1" s="1"/>
  <c r="AN231" i="1"/>
  <c r="AO231" i="1" s="1"/>
  <c r="AP231" i="1" s="1"/>
  <c r="AO230" i="1"/>
  <c r="AP230" i="1" s="1"/>
  <c r="AN230" i="1"/>
  <c r="AN229" i="1"/>
  <c r="AO229" i="1" s="1"/>
  <c r="AB233" i="1"/>
  <c r="AC233" i="1" s="1"/>
  <c r="AD233" i="1" s="1"/>
  <c r="AB232" i="1"/>
  <c r="AC232" i="1" s="1"/>
  <c r="AB231" i="1"/>
  <c r="AC231" i="1" s="1"/>
  <c r="AB230" i="1"/>
  <c r="AC230" i="1" s="1"/>
  <c r="AB229" i="1"/>
  <c r="AC229" i="1" s="1"/>
  <c r="AD229" i="1" s="1"/>
  <c r="Y229" i="1"/>
  <c r="Z229" i="1" s="1"/>
  <c r="X229" i="1"/>
  <c r="W229" i="1"/>
  <c r="G229" i="1"/>
  <c r="F229" i="1"/>
  <c r="AE227" i="1"/>
  <c r="AB227" i="1"/>
  <c r="AA227" i="1"/>
  <c r="Y227" i="1"/>
  <c r="Y235" i="1" s="1"/>
  <c r="Y237" i="1" s="1"/>
  <c r="Y246" i="1" s="1"/>
  <c r="X227" i="1"/>
  <c r="X235" i="1" s="1"/>
  <c r="X237" i="1" s="1"/>
  <c r="X246" i="1" s="1"/>
  <c r="W227" i="1"/>
  <c r="G227" i="1"/>
  <c r="G235" i="1" s="1"/>
  <c r="G237" i="1" s="1"/>
  <c r="G246" i="1" s="1"/>
  <c r="F227" i="1"/>
  <c r="E227" i="1"/>
  <c r="AW226" i="1"/>
  <c r="AX226" i="1" s="1"/>
  <c r="AY226" i="1" s="1"/>
  <c r="AV226" i="1"/>
  <c r="AJ226" i="1"/>
  <c r="AK226" i="1" s="1"/>
  <c r="AL226" i="1" s="1"/>
  <c r="AF226" i="1"/>
  <c r="AG226" i="1" s="1"/>
  <c r="AH226" i="1" s="1"/>
  <c r="AB226" i="1"/>
  <c r="AC226" i="1" s="1"/>
  <c r="AD226" i="1" s="1"/>
  <c r="Z226" i="1"/>
  <c r="AV225" i="1"/>
  <c r="AW225" i="1" s="1"/>
  <c r="AX225" i="1" s="1"/>
  <c r="AL225" i="1"/>
  <c r="AL222" i="1"/>
  <c r="AL371" i="1" s="1"/>
  <c r="E225" i="1"/>
  <c r="AK224" i="1"/>
  <c r="AL224" i="1" s="1"/>
  <c r="AK222" i="1"/>
  <c r="AK371" i="1" s="1"/>
  <c r="Z224" i="1"/>
  <c r="Z223" i="1"/>
  <c r="Z222" i="1"/>
  <c r="Z371" i="1" s="1"/>
  <c r="AR226" i="1"/>
  <c r="AS226" i="1" s="1"/>
  <c r="AT226" i="1" s="1"/>
  <c r="AR225" i="1"/>
  <c r="AS225" i="1" s="1"/>
  <c r="AT225" i="1" s="1"/>
  <c r="AS224" i="1"/>
  <c r="AT224" i="1" s="1"/>
  <c r="AR224" i="1"/>
  <c r="AR223" i="1"/>
  <c r="AS223" i="1" s="1"/>
  <c r="AT223" i="1" s="1"/>
  <c r="AN226" i="1"/>
  <c r="AO226" i="1" s="1"/>
  <c r="AP226" i="1" s="1"/>
  <c r="AN225" i="1"/>
  <c r="AO225" i="1" s="1"/>
  <c r="AP225" i="1" s="1"/>
  <c r="AN224" i="1"/>
  <c r="AO224" i="1" s="1"/>
  <c r="AP224" i="1" s="1"/>
  <c r="AN223" i="1"/>
  <c r="AO223" i="1" s="1"/>
  <c r="AP223" i="1" s="1"/>
  <c r="AJ223" i="1"/>
  <c r="AK223" i="1" s="1"/>
  <c r="AL223" i="1" s="1"/>
  <c r="AJ222" i="1"/>
  <c r="AJ371" i="1" s="1"/>
  <c r="AF224" i="1"/>
  <c r="AG224" i="1" s="1"/>
  <c r="AH224" i="1" s="1"/>
  <c r="AG223" i="1"/>
  <c r="AH223" i="1" s="1"/>
  <c r="AF223" i="1"/>
  <c r="AB224" i="1"/>
  <c r="AB223" i="1"/>
  <c r="E223" i="1"/>
  <c r="E222" i="1"/>
  <c r="E371" i="1" s="1"/>
  <c r="E221" i="1"/>
  <c r="E235" i="1" s="1"/>
  <c r="E237" i="1" s="1"/>
  <c r="E246" i="1" s="1"/>
  <c r="AV224" i="1"/>
  <c r="AW224" i="1" s="1"/>
  <c r="AX224" i="1" s="1"/>
  <c r="AW223" i="1"/>
  <c r="AX223" i="1" s="1"/>
  <c r="AV223" i="1"/>
  <c r="AX222" i="1"/>
  <c r="AX371" i="1" s="1"/>
  <c r="AW222" i="1"/>
  <c r="AW371" i="1" s="1"/>
  <c r="AV222" i="1"/>
  <c r="AV371" i="1" s="1"/>
  <c r="AU222" i="1"/>
  <c r="AU371" i="1" s="1"/>
  <c r="AT222" i="1"/>
  <c r="AT371" i="1" s="1"/>
  <c r="AS222" i="1"/>
  <c r="AS371" i="1" s="1"/>
  <c r="AR222" i="1"/>
  <c r="AR371" i="1" s="1"/>
  <c r="AQ222" i="1"/>
  <c r="AQ371" i="1" s="1"/>
  <c r="AO222" i="1"/>
  <c r="AO371" i="1" s="1"/>
  <c r="AN222" i="1"/>
  <c r="AN371" i="1" s="1"/>
  <c r="AM222" i="1"/>
  <c r="AM371" i="1" s="1"/>
  <c r="AI222" i="1"/>
  <c r="AI371" i="1" s="1"/>
  <c r="AH222" i="1"/>
  <c r="AH371" i="1" s="1"/>
  <c r="AG222" i="1"/>
  <c r="AG371" i="1" s="1"/>
  <c r="AF222" i="1"/>
  <c r="AF371" i="1" s="1"/>
  <c r="AE222" i="1"/>
  <c r="AE371" i="1" s="1"/>
  <c r="AD222" i="1"/>
  <c r="AD371" i="1" s="1"/>
  <c r="AC222" i="1"/>
  <c r="AC371" i="1" s="1"/>
  <c r="AB222" i="1"/>
  <c r="AB371" i="1" s="1"/>
  <c r="AA222" i="1"/>
  <c r="AA371" i="1" s="1"/>
  <c r="BJ219" i="1"/>
  <c r="BI219" i="1"/>
  <c r="BH219" i="1"/>
  <c r="BG219" i="1"/>
  <c r="BF219" i="1"/>
  <c r="BE219" i="1"/>
  <c r="BD219" i="1"/>
  <c r="BC219" i="1"/>
  <c r="BB219" i="1"/>
  <c r="BA219" i="1"/>
  <c r="AZ219" i="1"/>
  <c r="AY219" i="1"/>
  <c r="AX219" i="1"/>
  <c r="AW219" i="1"/>
  <c r="AV219" i="1"/>
  <c r="AU219" i="1"/>
  <c r="AT219" i="1"/>
  <c r="AS219" i="1"/>
  <c r="AR219" i="1"/>
  <c r="AQ219" i="1"/>
  <c r="AP219" i="1"/>
  <c r="AO219" i="1"/>
  <c r="AN219" i="1"/>
  <c r="AM219" i="1"/>
  <c r="AL219" i="1"/>
  <c r="AK219" i="1"/>
  <c r="AJ219" i="1"/>
  <c r="AI219" i="1"/>
  <c r="AH219" i="1"/>
  <c r="AG219" i="1"/>
  <c r="AF219" i="1"/>
  <c r="AE219" i="1"/>
  <c r="AD219" i="1"/>
  <c r="AC219" i="1"/>
  <c r="AB219" i="1"/>
  <c r="AA219" i="1"/>
  <c r="Z219" i="1"/>
  <c r="Y219" i="1"/>
  <c r="X219" i="1"/>
  <c r="W219" i="1"/>
  <c r="V219" i="1"/>
  <c r="U219" i="1"/>
  <c r="T219" i="1"/>
  <c r="S219" i="1"/>
  <c r="Q219" i="1"/>
  <c r="P219" i="1"/>
  <c r="O219" i="1"/>
  <c r="N219" i="1"/>
  <c r="M219" i="1"/>
  <c r="L219" i="1"/>
  <c r="K219" i="1"/>
  <c r="J219" i="1"/>
  <c r="I219" i="1"/>
  <c r="H219" i="1"/>
  <c r="G219" i="1"/>
  <c r="F219" i="1"/>
  <c r="E219" i="1"/>
  <c r="D219" i="1"/>
  <c r="C219" i="1"/>
  <c r="AY215" i="1"/>
  <c r="AY206" i="1" s="1"/>
  <c r="AW210" i="1"/>
  <c r="AV210" i="1"/>
  <c r="AU210" i="1"/>
  <c r="AQ210" i="1"/>
  <c r="AN210" i="1"/>
  <c r="AM210" i="1"/>
  <c r="AI210" i="1"/>
  <c r="AG210" i="1"/>
  <c r="AE210" i="1"/>
  <c r="AB210" i="1"/>
  <c r="AA210" i="1"/>
  <c r="Y210" i="1"/>
  <c r="X210" i="1"/>
  <c r="W210" i="1"/>
  <c r="V210" i="1"/>
  <c r="U210" i="1"/>
  <c r="T210" i="1"/>
  <c r="S210" i="1"/>
  <c r="AV209" i="1"/>
  <c r="AU209" i="1"/>
  <c r="AQ209" i="1"/>
  <c r="AM209" i="1"/>
  <c r="AJ209" i="1"/>
  <c r="AI209" i="1"/>
  <c r="AG209" i="1"/>
  <c r="AE209" i="1"/>
  <c r="AB209" i="1"/>
  <c r="AA209" i="1"/>
  <c r="Y209" i="1"/>
  <c r="X209" i="1"/>
  <c r="W209" i="1"/>
  <c r="V209" i="1"/>
  <c r="U209" i="1"/>
  <c r="T209" i="1"/>
  <c r="S209" i="1"/>
  <c r="BG207" i="1"/>
  <c r="BF207" i="1"/>
  <c r="BE207" i="1"/>
  <c r="BD207" i="1"/>
  <c r="BC207" i="1"/>
  <c r="BB207" i="1"/>
  <c r="BA207" i="1"/>
  <c r="AZ207" i="1"/>
  <c r="AY207" i="1"/>
  <c r="AX207" i="1"/>
  <c r="AW207" i="1"/>
  <c r="AV207" i="1"/>
  <c r="AU207" i="1"/>
  <c r="AU206" i="1" s="1"/>
  <c r="AT207" i="1"/>
  <c r="BB205" i="1"/>
  <c r="BA205" i="1"/>
  <c r="BA202" i="1"/>
  <c r="BB202" i="1" s="1"/>
  <c r="BC202" i="1" s="1"/>
  <c r="AS196" i="1"/>
  <c r="AR196" i="1"/>
  <c r="AP196" i="1"/>
  <c r="AO196" i="1"/>
  <c r="AN196" i="1"/>
  <c r="AL196" i="1"/>
  <c r="AK196" i="1"/>
  <c r="AJ196" i="1"/>
  <c r="AH196" i="1"/>
  <c r="AC196" i="1"/>
  <c r="AB196" i="1"/>
  <c r="AX194" i="1"/>
  <c r="AW194" i="1"/>
  <c r="AV194" i="1"/>
  <c r="AU194" i="1"/>
  <c r="AT194" i="1"/>
  <c r="AS194" i="1"/>
  <c r="AR194" i="1"/>
  <c r="AQ194" i="1"/>
  <c r="AO194" i="1"/>
  <c r="AN194" i="1"/>
  <c r="AM194" i="1"/>
  <c r="AL194" i="1"/>
  <c r="AK194" i="1"/>
  <c r="AJ194" i="1"/>
  <c r="AI194" i="1"/>
  <c r="AH194" i="1"/>
  <c r="AG194" i="1"/>
  <c r="AF194" i="1"/>
  <c r="AE194" i="1"/>
  <c r="AD194" i="1"/>
  <c r="AC194" i="1"/>
  <c r="AB194" i="1"/>
  <c r="AA194" i="1"/>
  <c r="BA188" i="1"/>
  <c r="AX187" i="1"/>
  <c r="AW187" i="1"/>
  <c r="AV187" i="1"/>
  <c r="AU187" i="1"/>
  <c r="AT187" i="1"/>
  <c r="AS187" i="1"/>
  <c r="AR187" i="1"/>
  <c r="AQ187" i="1"/>
  <c r="AP187" i="1"/>
  <c r="AO187" i="1"/>
  <c r="AN187" i="1"/>
  <c r="AM187" i="1"/>
  <c r="AL187" i="1"/>
  <c r="AK187" i="1"/>
  <c r="AJ187" i="1"/>
  <c r="AI187" i="1"/>
  <c r="AH187" i="1"/>
  <c r="AG187" i="1"/>
  <c r="AF187" i="1"/>
  <c r="AE187" i="1"/>
  <c r="AD187" i="1"/>
  <c r="AC187" i="1"/>
  <c r="AB187" i="1"/>
  <c r="AA187" i="1"/>
  <c r="AX186" i="1"/>
  <c r="AW186" i="1"/>
  <c r="AV186" i="1"/>
  <c r="AU186" i="1"/>
  <c r="AT186" i="1"/>
  <c r="AS186" i="1"/>
  <c r="AR186" i="1"/>
  <c r="AQ186" i="1"/>
  <c r="AP186" i="1"/>
  <c r="AO186" i="1"/>
  <c r="AN186" i="1"/>
  <c r="AM186" i="1"/>
  <c r="AL186" i="1"/>
  <c r="AK186" i="1"/>
  <c r="AJ186" i="1"/>
  <c r="AI186" i="1"/>
  <c r="AH186" i="1"/>
  <c r="AG186" i="1"/>
  <c r="AF186" i="1"/>
  <c r="AE186" i="1"/>
  <c r="AD186" i="1"/>
  <c r="AC186" i="1"/>
  <c r="AB186" i="1"/>
  <c r="AA186" i="1"/>
  <c r="G187" i="1"/>
  <c r="F187" i="1"/>
  <c r="G186" i="1"/>
  <c r="F186" i="1"/>
  <c r="BB194" i="1"/>
  <c r="BC194" i="1" s="1"/>
  <c r="BD194" i="1" s="1"/>
  <c r="BE194" i="1" s="1"/>
  <c r="BF194" i="1" s="1"/>
  <c r="BG194" i="1" s="1"/>
  <c r="BH194" i="1" s="1"/>
  <c r="BI194" i="1" s="1"/>
  <c r="BJ194" i="1" s="1"/>
  <c r="BJ180" i="1"/>
  <c r="BI180" i="1"/>
  <c r="BH180" i="1"/>
  <c r="BG180" i="1"/>
  <c r="BF180" i="1"/>
  <c r="BE180" i="1"/>
  <c r="BD180" i="1"/>
  <c r="BC180" i="1"/>
  <c r="BB180" i="1"/>
  <c r="AX183" i="1"/>
  <c r="AW183" i="1"/>
  <c r="AV183" i="1"/>
  <c r="AU183" i="1"/>
  <c r="AT183" i="1"/>
  <c r="AS183" i="1"/>
  <c r="AR183" i="1"/>
  <c r="AQ183" i="1"/>
  <c r="AP183" i="1"/>
  <c r="AO183" i="1"/>
  <c r="AN183" i="1"/>
  <c r="AM183" i="1"/>
  <c r="AL183" i="1"/>
  <c r="AK183" i="1"/>
  <c r="AJ183" i="1"/>
  <c r="AI183" i="1"/>
  <c r="AH183" i="1"/>
  <c r="AG183" i="1"/>
  <c r="AF183" i="1"/>
  <c r="AE183" i="1"/>
  <c r="AD183" i="1"/>
  <c r="AC183" i="1"/>
  <c r="AB183" i="1"/>
  <c r="AX182" i="1"/>
  <c r="AW182" i="1"/>
  <c r="AV182" i="1"/>
  <c r="AU182" i="1"/>
  <c r="AT182" i="1"/>
  <c r="AS182" i="1"/>
  <c r="AR182" i="1"/>
  <c r="AQ182" i="1"/>
  <c r="AP182" i="1"/>
  <c r="AO182" i="1"/>
  <c r="AN182" i="1"/>
  <c r="AM182" i="1"/>
  <c r="AL182" i="1"/>
  <c r="AK182" i="1"/>
  <c r="AJ182" i="1"/>
  <c r="AI182" i="1"/>
  <c r="AH182" i="1"/>
  <c r="AG182" i="1"/>
  <c r="AF182" i="1"/>
  <c r="AE182" i="1"/>
  <c r="AD182" i="1"/>
  <c r="AC182" i="1"/>
  <c r="AB182" i="1"/>
  <c r="BA180" i="1"/>
  <c r="AZ180" i="1"/>
  <c r="AY180" i="1"/>
  <c r="AX180" i="1"/>
  <c r="AW180" i="1"/>
  <c r="AV180" i="1"/>
  <c r="AU180" i="1"/>
  <c r="AT180" i="1"/>
  <c r="AS180" i="1"/>
  <c r="AR180" i="1"/>
  <c r="AQ180" i="1"/>
  <c r="AP180" i="1"/>
  <c r="AO180" i="1"/>
  <c r="AN180" i="1"/>
  <c r="AM180" i="1"/>
  <c r="AL180" i="1"/>
  <c r="AK180" i="1"/>
  <c r="AJ180" i="1"/>
  <c r="AI180" i="1"/>
  <c r="AH180" i="1"/>
  <c r="AG180" i="1"/>
  <c r="AF180" i="1"/>
  <c r="AE180" i="1"/>
  <c r="AD180" i="1"/>
  <c r="AC180" i="1"/>
  <c r="AB180" i="1"/>
  <c r="AA180" i="1"/>
  <c r="Z180" i="1"/>
  <c r="Y180" i="1"/>
  <c r="X180" i="1"/>
  <c r="W180" i="1"/>
  <c r="V180" i="1"/>
  <c r="U180" i="1"/>
  <c r="T180" i="1"/>
  <c r="S180" i="1"/>
  <c r="Q180" i="1"/>
  <c r="P180" i="1"/>
  <c r="G183" i="1"/>
  <c r="D183" i="1"/>
  <c r="G182" i="1"/>
  <c r="D182" i="1"/>
  <c r="O180" i="1"/>
  <c r="N180" i="1"/>
  <c r="M180" i="1"/>
  <c r="L180" i="1"/>
  <c r="K180" i="1"/>
  <c r="J180" i="1"/>
  <c r="I180" i="1"/>
  <c r="H180" i="1"/>
  <c r="G180" i="1"/>
  <c r="F180" i="1"/>
  <c r="E180" i="1"/>
  <c r="D180" i="1"/>
  <c r="C180" i="1"/>
  <c r="AX175" i="1"/>
  <c r="AW175" i="1"/>
  <c r="AV175" i="1"/>
  <c r="AU175" i="1"/>
  <c r="AS175" i="1"/>
  <c r="AR175" i="1"/>
  <c r="AQ175" i="1"/>
  <c r="AO175" i="1"/>
  <c r="AN175" i="1"/>
  <c r="AM175" i="1"/>
  <c r="AK175" i="1"/>
  <c r="AJ175" i="1"/>
  <c r="AI175" i="1"/>
  <c r="AH175" i="1"/>
  <c r="AG175" i="1"/>
  <c r="AF175" i="1"/>
  <c r="AE175" i="1"/>
  <c r="AD175" i="1"/>
  <c r="AC175" i="1"/>
  <c r="AB175" i="1"/>
  <c r="AA175" i="1"/>
  <c r="Z175" i="1"/>
  <c r="Y175" i="1"/>
  <c r="X175" i="1"/>
  <c r="W175" i="1"/>
  <c r="V175" i="1"/>
  <c r="U175" i="1"/>
  <c r="T175" i="1"/>
  <c r="S175" i="1"/>
  <c r="BD172" i="1"/>
  <c r="BE172" i="1" s="1"/>
  <c r="BF172" i="1" s="1"/>
  <c r="BG172" i="1" s="1"/>
  <c r="BH172" i="1" s="1"/>
  <c r="BI172" i="1" s="1"/>
  <c r="BJ172" i="1" s="1"/>
  <c r="BA172" i="1"/>
  <c r="AZ172" i="1"/>
  <c r="AY172" i="1"/>
  <c r="AX172" i="1"/>
  <c r="AW172" i="1"/>
  <c r="AV172" i="1"/>
  <c r="AU172" i="1"/>
  <c r="BA171" i="1"/>
  <c r="AZ171" i="1"/>
  <c r="AY171" i="1"/>
  <c r="AX171" i="1"/>
  <c r="AW171" i="1"/>
  <c r="AV171" i="1"/>
  <c r="AU171" i="1"/>
  <c r="Z166" i="1"/>
  <c r="Y166" i="1"/>
  <c r="X166" i="1"/>
  <c r="W166" i="1"/>
  <c r="AX163" i="1"/>
  <c r="AW163" i="1"/>
  <c r="AV163" i="1"/>
  <c r="AU163" i="1"/>
  <c r="AS163" i="1"/>
  <c r="AR163" i="1"/>
  <c r="AQ163" i="1"/>
  <c r="AO163" i="1"/>
  <c r="AN163" i="1"/>
  <c r="AM163" i="1"/>
  <c r="AK163" i="1"/>
  <c r="AJ163" i="1"/>
  <c r="AI163" i="1"/>
  <c r="AH163" i="1"/>
  <c r="AG163" i="1"/>
  <c r="AF163" i="1"/>
  <c r="AE163" i="1"/>
  <c r="AD163" i="1"/>
  <c r="AC163" i="1"/>
  <c r="AB163" i="1"/>
  <c r="AA163" i="1"/>
  <c r="AX162" i="1"/>
  <c r="AW162" i="1"/>
  <c r="AV162" i="1"/>
  <c r="AU162" i="1"/>
  <c r="AS162" i="1"/>
  <c r="AR162" i="1"/>
  <c r="AQ162" i="1"/>
  <c r="AO162" i="1"/>
  <c r="AN162" i="1"/>
  <c r="AM162" i="1"/>
  <c r="AK162" i="1"/>
  <c r="AJ162" i="1"/>
  <c r="AI162" i="1"/>
  <c r="AH162" i="1"/>
  <c r="AG162" i="1"/>
  <c r="AF162" i="1"/>
  <c r="AE162" i="1"/>
  <c r="AD162" i="1"/>
  <c r="AC162" i="1"/>
  <c r="AB162" i="1"/>
  <c r="AA162" i="1"/>
  <c r="G163" i="1"/>
  <c r="F163" i="1"/>
  <c r="G162" i="1"/>
  <c r="F162" i="1"/>
  <c r="AW160" i="1"/>
  <c r="AV160" i="1"/>
  <c r="AU160" i="1"/>
  <c r="AS160" i="1"/>
  <c r="AR160" i="1"/>
  <c r="AQ160" i="1"/>
  <c r="AO160" i="1"/>
  <c r="AN160" i="1"/>
  <c r="AM160" i="1"/>
  <c r="AK160" i="1"/>
  <c r="AJ160" i="1"/>
  <c r="AI160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AX159" i="1"/>
  <c r="AW159" i="1"/>
  <c r="AV159" i="1"/>
  <c r="AS159" i="1"/>
  <c r="AR159" i="1"/>
  <c r="AO159" i="1"/>
  <c r="AN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G159" i="1"/>
  <c r="G160" i="1" s="1"/>
  <c r="F159" i="1"/>
  <c r="F160" i="1" s="1"/>
  <c r="BB158" i="1"/>
  <c r="BA158" i="1"/>
  <c r="AZ158" i="1"/>
  <c r="AY158" i="1"/>
  <c r="AT158" i="1"/>
  <c r="AT162" i="1" s="1"/>
  <c r="AP158" i="1"/>
  <c r="AL158" i="1"/>
  <c r="E158" i="1"/>
  <c r="S155" i="1"/>
  <c r="D154" i="1"/>
  <c r="BI154" i="1"/>
  <c r="BG154" i="1"/>
  <c r="BF154" i="1"/>
  <c r="BE154" i="1"/>
  <c r="BC154" i="1"/>
  <c r="BB154" i="1"/>
  <c r="BA154" i="1"/>
  <c r="AY154" i="1"/>
  <c r="AX155" i="1"/>
  <c r="AX154" i="1"/>
  <c r="AW154" i="1"/>
  <c r="AU155" i="1"/>
  <c r="AT155" i="1"/>
  <c r="AT154" i="1"/>
  <c r="AS154" i="1"/>
  <c r="AQ155" i="1"/>
  <c r="AP155" i="1"/>
  <c r="AP154" i="1"/>
  <c r="AO154" i="1"/>
  <c r="AM155" i="1"/>
  <c r="AL154" i="1"/>
  <c r="AI155" i="1"/>
  <c r="AH155" i="1"/>
  <c r="AH154" i="1"/>
  <c r="AE155" i="1"/>
  <c r="AD155" i="1"/>
  <c r="AD154" i="1"/>
  <c r="AA155" i="1"/>
  <c r="Z155" i="1"/>
  <c r="Z154" i="1"/>
  <c r="W155" i="1"/>
  <c r="V155" i="1"/>
  <c r="V154" i="1"/>
  <c r="BH151" i="1"/>
  <c r="BG151" i="1"/>
  <c r="BD151" i="1"/>
  <c r="BC151" i="1"/>
  <c r="AZ152" i="1"/>
  <c r="AY151" i="1"/>
  <c r="AV152" i="1"/>
  <c r="AU152" i="1"/>
  <c r="AU151" i="1"/>
  <c r="AR152" i="1"/>
  <c r="AQ152" i="1"/>
  <c r="AQ151" i="1"/>
  <c r="AN152" i="1"/>
  <c r="AM152" i="1"/>
  <c r="AM151" i="1"/>
  <c r="AJ152" i="1"/>
  <c r="AI152" i="1"/>
  <c r="AI151" i="1"/>
  <c r="AF152" i="1"/>
  <c r="AE152" i="1"/>
  <c r="AE151" i="1"/>
  <c r="AB152" i="1"/>
  <c r="AA152" i="1"/>
  <c r="AA151" i="1"/>
  <c r="X152" i="1"/>
  <c r="W152" i="1"/>
  <c r="W151" i="1"/>
  <c r="T152" i="1"/>
  <c r="S152" i="1"/>
  <c r="Q154" i="1"/>
  <c r="O154" i="1"/>
  <c r="M154" i="1"/>
  <c r="K154" i="1"/>
  <c r="I154" i="1"/>
  <c r="G154" i="1"/>
  <c r="E154" i="1"/>
  <c r="P151" i="1"/>
  <c r="N151" i="1"/>
  <c r="L151" i="1"/>
  <c r="J151" i="1"/>
  <c r="H151" i="1"/>
  <c r="G152" i="1"/>
  <c r="F151" i="1"/>
  <c r="E151" i="1"/>
  <c r="D151" i="1"/>
  <c r="AZ149" i="1"/>
  <c r="AV149" i="1"/>
  <c r="AN149" i="1"/>
  <c r="AJ149" i="1"/>
  <c r="AF149" i="1"/>
  <c r="X149" i="1"/>
  <c r="AX149" i="1"/>
  <c r="AW149" i="1"/>
  <c r="AU149" i="1"/>
  <c r="AT149" i="1"/>
  <c r="AS149" i="1"/>
  <c r="AR149" i="1"/>
  <c r="AQ149" i="1"/>
  <c r="AP149" i="1"/>
  <c r="AO149" i="1"/>
  <c r="AM149" i="1"/>
  <c r="AK149" i="1"/>
  <c r="AI149" i="1"/>
  <c r="AH149" i="1"/>
  <c r="AG149" i="1"/>
  <c r="AE149" i="1"/>
  <c r="AD149" i="1"/>
  <c r="AC149" i="1"/>
  <c r="AB149" i="1"/>
  <c r="AA149" i="1"/>
  <c r="Z149" i="1"/>
  <c r="Y149" i="1"/>
  <c r="W149" i="1"/>
  <c r="AQ145" i="1"/>
  <c r="AQ48" i="1" s="1"/>
  <c r="AP145" i="1"/>
  <c r="AO145" i="1"/>
  <c r="AN145" i="1"/>
  <c r="AN48" i="1" s="1"/>
  <c r="AM145" i="1"/>
  <c r="AM48" i="1" s="1"/>
  <c r="AK145" i="1"/>
  <c r="AJ145" i="1"/>
  <c r="AJ48" i="1" s="1"/>
  <c r="AI145" i="1"/>
  <c r="AW143" i="1"/>
  <c r="AV143" i="1"/>
  <c r="AU143" i="1"/>
  <c r="AT143" i="1"/>
  <c r="AS143" i="1"/>
  <c r="AR143" i="1"/>
  <c r="AY141" i="1"/>
  <c r="AZ141" i="1" s="1"/>
  <c r="BA141" i="1" s="1"/>
  <c r="BB141" i="1" s="1"/>
  <c r="BC141" i="1" s="1"/>
  <c r="BD141" i="1" s="1"/>
  <c r="BE141" i="1" s="1"/>
  <c r="BF141" i="1" s="1"/>
  <c r="BG141" i="1" s="1"/>
  <c r="BH141" i="1" s="1"/>
  <c r="BI141" i="1" s="1"/>
  <c r="BJ141" i="1" s="1"/>
  <c r="AZ140" i="1"/>
  <c r="BA140" i="1" s="1"/>
  <c r="BB140" i="1" s="1"/>
  <c r="BC140" i="1" s="1"/>
  <c r="BD140" i="1" s="1"/>
  <c r="BE140" i="1" s="1"/>
  <c r="BF140" i="1" s="1"/>
  <c r="BG140" i="1" s="1"/>
  <c r="BH140" i="1" s="1"/>
  <c r="BI140" i="1" s="1"/>
  <c r="BJ140" i="1" s="1"/>
  <c r="AY140" i="1"/>
  <c r="AY139" i="1"/>
  <c r="AZ139" i="1" s="1"/>
  <c r="AX137" i="1"/>
  <c r="BC138" i="1"/>
  <c r="BD138" i="1" s="1"/>
  <c r="BE138" i="1" s="1"/>
  <c r="BF138" i="1" s="1"/>
  <c r="BG138" i="1" s="1"/>
  <c r="BH138" i="1" s="1"/>
  <c r="BI138" i="1" s="1"/>
  <c r="BJ138" i="1" s="1"/>
  <c r="BB138" i="1"/>
  <c r="BB136" i="1"/>
  <c r="BC136" i="1" s="1"/>
  <c r="BD136" i="1" s="1"/>
  <c r="BE136" i="1" s="1"/>
  <c r="BF136" i="1" s="1"/>
  <c r="BG136" i="1" s="1"/>
  <c r="BH136" i="1" s="1"/>
  <c r="BI136" i="1" s="1"/>
  <c r="BJ136" i="1" s="1"/>
  <c r="AZ136" i="1"/>
  <c r="AY136" i="1"/>
  <c r="AX134" i="1"/>
  <c r="AY134" i="1" s="1"/>
  <c r="AZ133" i="1"/>
  <c r="AY133" i="1"/>
  <c r="AY132" i="1"/>
  <c r="AZ132" i="1" s="1"/>
  <c r="BA132" i="1" s="1"/>
  <c r="BB132" i="1" s="1"/>
  <c r="AY131" i="1"/>
  <c r="AZ131" i="1" s="1"/>
  <c r="BC126" i="1"/>
  <c r="BD126" i="1" s="1"/>
  <c r="BE126" i="1" s="1"/>
  <c r="BF126" i="1" s="1"/>
  <c r="BG126" i="1" s="1"/>
  <c r="BH126" i="1" s="1"/>
  <c r="BI126" i="1" s="1"/>
  <c r="BJ126" i="1" s="1"/>
  <c r="BB125" i="1"/>
  <c r="BC125" i="1" s="1"/>
  <c r="BD125" i="1" s="1"/>
  <c r="BE125" i="1" s="1"/>
  <c r="BF125" i="1" s="1"/>
  <c r="BG125" i="1" s="1"/>
  <c r="BH125" i="1" s="1"/>
  <c r="BI125" i="1" s="1"/>
  <c r="BJ125" i="1" s="1"/>
  <c r="BA125" i="1"/>
  <c r="AZ125" i="1"/>
  <c r="AY125" i="1"/>
  <c r="AX125" i="1"/>
  <c r="AW125" i="1"/>
  <c r="AV125" i="1"/>
  <c r="AU125" i="1"/>
  <c r="AT125" i="1"/>
  <c r="AS125" i="1"/>
  <c r="AR125" i="1"/>
  <c r="AQ125" i="1"/>
  <c r="AP125" i="1"/>
  <c r="AO125" i="1"/>
  <c r="AN125" i="1"/>
  <c r="AM125" i="1"/>
  <c r="AL125" i="1"/>
  <c r="AK125" i="1"/>
  <c r="AJ125" i="1"/>
  <c r="AI125" i="1"/>
  <c r="BA119" i="1"/>
  <c r="BA124" i="1" s="1"/>
  <c r="AY119" i="1"/>
  <c r="AY124" i="1" s="1"/>
  <c r="BB118" i="1"/>
  <c r="BA118" i="1"/>
  <c r="AZ118" i="1"/>
  <c r="AY118" i="1"/>
  <c r="AY120" i="1" s="1"/>
  <c r="AY123" i="1" s="1"/>
  <c r="BE109" i="1"/>
  <c r="BF109" i="1" s="1"/>
  <c r="BG109" i="1" s="1"/>
  <c r="BH109" i="1" s="1"/>
  <c r="BA109" i="1"/>
  <c r="AZ109" i="1"/>
  <c r="BG108" i="1"/>
  <c r="BH108" i="1" s="1"/>
  <c r="BI108" i="1" s="1"/>
  <c r="BJ108" i="1" s="1"/>
  <c r="BA99" i="1"/>
  <c r="BA60" i="1" s="1"/>
  <c r="BA43" i="1" s="1"/>
  <c r="AZ99" i="1"/>
  <c r="AY99" i="1"/>
  <c r="AY105" i="1" s="1"/>
  <c r="AX99" i="1"/>
  <c r="AX105" i="1" s="1"/>
  <c r="AW99" i="1"/>
  <c r="AW105" i="1" s="1"/>
  <c r="AW103" i="1" s="1"/>
  <c r="AW113" i="1" s="1"/>
  <c r="AV99" i="1"/>
  <c r="AU99" i="1"/>
  <c r="AT99" i="1"/>
  <c r="AS99" i="1"/>
  <c r="AR99" i="1"/>
  <c r="AQ99" i="1"/>
  <c r="AP99" i="1"/>
  <c r="AO99" i="1"/>
  <c r="AN99" i="1"/>
  <c r="AM99" i="1"/>
  <c r="AK99" i="1"/>
  <c r="AJ99" i="1"/>
  <c r="AI99" i="1"/>
  <c r="BC98" i="1"/>
  <c r="BC118" i="1" s="1"/>
  <c r="BC97" i="1"/>
  <c r="BC99" i="1" s="1"/>
  <c r="BC60" i="1" s="1"/>
  <c r="BC43" i="1" s="1"/>
  <c r="BB97" i="1"/>
  <c r="BB119" i="1" s="1"/>
  <c r="BB124" i="1" s="1"/>
  <c r="AZ97" i="1"/>
  <c r="AZ119" i="1" s="1"/>
  <c r="AZ124" i="1" s="1"/>
  <c r="AQ96" i="1"/>
  <c r="AP96" i="1"/>
  <c r="AO96" i="1"/>
  <c r="AN96" i="1"/>
  <c r="AM96" i="1"/>
  <c r="AL96" i="1"/>
  <c r="AK96" i="1"/>
  <c r="AJ96" i="1"/>
  <c r="AI96" i="1"/>
  <c r="AQ90" i="1"/>
  <c r="AP90" i="1"/>
  <c r="AO90" i="1"/>
  <c r="AN90" i="1"/>
  <c r="AM90" i="1"/>
  <c r="AL90" i="1"/>
  <c r="AK90" i="1"/>
  <c r="AJ90" i="1"/>
  <c r="AI90" i="1"/>
  <c r="AW89" i="1"/>
  <c r="AV89" i="1"/>
  <c r="AU89" i="1"/>
  <c r="AU90" i="1" s="1"/>
  <c r="AT89" i="1"/>
  <c r="AS89" i="1"/>
  <c r="AR89" i="1"/>
  <c r="BC87" i="1"/>
  <c r="BA87" i="1"/>
  <c r="AY87" i="1"/>
  <c r="AW87" i="1"/>
  <c r="AV87" i="1"/>
  <c r="AU87" i="1"/>
  <c r="AT87" i="1"/>
  <c r="AS87" i="1"/>
  <c r="AR87" i="1"/>
  <c r="AQ87" i="1"/>
  <c r="AP87" i="1"/>
  <c r="AO87" i="1"/>
  <c r="AO97" i="1" s="1"/>
  <c r="AN87" i="1"/>
  <c r="AN97" i="1" s="1"/>
  <c r="AN119" i="1" s="1"/>
  <c r="AN124" i="1" s="1"/>
  <c r="AM87" i="1"/>
  <c r="AK87" i="1"/>
  <c r="AJ87" i="1"/>
  <c r="AJ97" i="1" s="1"/>
  <c r="AJ119" i="1" s="1"/>
  <c r="AJ124" i="1" s="1"/>
  <c r="AI87" i="1"/>
  <c r="AX86" i="1"/>
  <c r="AX87" i="1" s="1"/>
  <c r="G79" i="1"/>
  <c r="F79" i="1"/>
  <c r="G77" i="1"/>
  <c r="F77" i="1"/>
  <c r="AW69" i="1"/>
  <c r="AV69" i="1"/>
  <c r="AU69" i="1"/>
  <c r="AT69" i="1" s="1"/>
  <c r="AT65" i="1" s="1"/>
  <c r="BC67" i="1"/>
  <c r="BB67" i="1"/>
  <c r="BA67" i="1"/>
  <c r="AZ67" i="1"/>
  <c r="AY67" i="1"/>
  <c r="AW67" i="1"/>
  <c r="AW68" i="1" s="1"/>
  <c r="AV67" i="1"/>
  <c r="AV70" i="1" s="1"/>
  <c r="AU67" i="1"/>
  <c r="AU70" i="1" s="1"/>
  <c r="AT70" i="1" s="1"/>
  <c r="AT67" i="1" s="1"/>
  <c r="BH71" i="1"/>
  <c r="BH207" i="1" s="1"/>
  <c r="BD70" i="1"/>
  <c r="BE70" i="1" s="1"/>
  <c r="BE69" i="1"/>
  <c r="BF69" i="1" s="1"/>
  <c r="BD69" i="1"/>
  <c r="BD65" i="1" s="1"/>
  <c r="AX66" i="1"/>
  <c r="BC65" i="1"/>
  <c r="BC68" i="1" s="1"/>
  <c r="BB65" i="1"/>
  <c r="BA65" i="1"/>
  <c r="AZ65" i="1"/>
  <c r="AZ66" i="1" s="1"/>
  <c r="AY65" i="1"/>
  <c r="AX65" i="1"/>
  <c r="AY60" i="1"/>
  <c r="AY43" i="1" s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G60" i="1"/>
  <c r="F60" i="1"/>
  <c r="D60" i="1"/>
  <c r="C60" i="1"/>
  <c r="AX58" i="1"/>
  <c r="AW58" i="1"/>
  <c r="AV58" i="1"/>
  <c r="AU58" i="1"/>
  <c r="AT58" i="1"/>
  <c r="AS58" i="1"/>
  <c r="AR58" i="1"/>
  <c r="AQ58" i="1"/>
  <c r="AQ75" i="1" s="1"/>
  <c r="AQ79" i="1" s="1"/>
  <c r="AP58" i="1"/>
  <c r="AO58" i="1"/>
  <c r="AN58" i="1"/>
  <c r="AM58" i="1"/>
  <c r="AM75" i="1" s="1"/>
  <c r="AM79" i="1" s="1"/>
  <c r="AL58" i="1"/>
  <c r="AK58" i="1"/>
  <c r="AK63" i="1" s="1"/>
  <c r="AJ58" i="1"/>
  <c r="AJ63" i="1" s="1"/>
  <c r="AI58" i="1"/>
  <c r="AI75" i="1" s="1"/>
  <c r="AI79" i="1" s="1"/>
  <c r="AH58" i="1"/>
  <c r="AH63" i="1" s="1"/>
  <c r="AG58" i="1"/>
  <c r="AG63" i="1" s="1"/>
  <c r="AF58" i="1"/>
  <c r="AF63" i="1" s="1"/>
  <c r="AE58" i="1"/>
  <c r="AE75" i="1" s="1"/>
  <c r="AE79" i="1" s="1"/>
  <c r="AD58" i="1"/>
  <c r="AD63" i="1" s="1"/>
  <c r="AC58" i="1"/>
  <c r="AC63" i="1" s="1"/>
  <c r="AB58" i="1"/>
  <c r="AB63" i="1" s="1"/>
  <c r="AA58" i="1"/>
  <c r="AA75" i="1" s="1"/>
  <c r="AA79" i="1" s="1"/>
  <c r="Y58" i="1"/>
  <c r="X58" i="1"/>
  <c r="T58" i="1"/>
  <c r="AX56" i="1"/>
  <c r="AW56" i="1"/>
  <c r="AV56" i="1"/>
  <c r="AU56" i="1"/>
  <c r="AU73" i="1" s="1"/>
  <c r="AU77" i="1" s="1"/>
  <c r="AT56" i="1"/>
  <c r="AS56" i="1"/>
  <c r="AR56" i="1"/>
  <c r="AQ56" i="1"/>
  <c r="AQ73" i="1" s="1"/>
  <c r="AQ77" i="1" s="1"/>
  <c r="AP56" i="1"/>
  <c r="AO56" i="1"/>
  <c r="AN56" i="1"/>
  <c r="AM56" i="1"/>
  <c r="AM73" i="1" s="1"/>
  <c r="AM77" i="1" s="1"/>
  <c r="AL56" i="1"/>
  <c r="AK56" i="1"/>
  <c r="AJ56" i="1"/>
  <c r="AI56" i="1"/>
  <c r="AI73" i="1" s="1"/>
  <c r="AI77" i="1" s="1"/>
  <c r="AH56" i="1"/>
  <c r="AG56" i="1"/>
  <c r="AF56" i="1"/>
  <c r="AE56" i="1"/>
  <c r="AE73" i="1" s="1"/>
  <c r="AE77" i="1" s="1"/>
  <c r="AD56" i="1"/>
  <c r="AC56" i="1"/>
  <c r="AB56" i="1"/>
  <c r="AA56" i="1"/>
  <c r="AA73" i="1" s="1"/>
  <c r="AA77" i="1" s="1"/>
  <c r="G58" i="1"/>
  <c r="F58" i="1"/>
  <c r="D58" i="1"/>
  <c r="C58" i="1"/>
  <c r="G56" i="1"/>
  <c r="F56" i="1"/>
  <c r="D56" i="1"/>
  <c r="D57" i="1" s="1"/>
  <c r="C56" i="1"/>
  <c r="G49" i="1"/>
  <c r="AZ49" i="1"/>
  <c r="AX49" i="1"/>
  <c r="AW49" i="1"/>
  <c r="AV49" i="1"/>
  <c r="AU49" i="1"/>
  <c r="AA51" i="1"/>
  <c r="Z51" i="1"/>
  <c r="Y51" i="1"/>
  <c r="X51" i="1"/>
  <c r="W51" i="1"/>
  <c r="V51" i="1"/>
  <c r="U51" i="1"/>
  <c r="T51" i="1"/>
  <c r="Z50" i="1"/>
  <c r="Y50" i="1"/>
  <c r="X50" i="1"/>
  <c r="W50" i="1"/>
  <c r="V50" i="1"/>
  <c r="U50" i="1"/>
  <c r="T50" i="1"/>
  <c r="AT49" i="1"/>
  <c r="AS49" i="1"/>
  <c r="AR49" i="1"/>
  <c r="AQ49" i="1"/>
  <c r="AP49" i="1"/>
  <c r="AO49" i="1"/>
  <c r="AN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AP48" i="1"/>
  <c r="AO48" i="1"/>
  <c r="AK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J48" i="1"/>
  <c r="I48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K46" i="1"/>
  <c r="AJ46" i="1"/>
  <c r="AI46" i="1"/>
  <c r="AH46" i="1"/>
  <c r="AG46" i="1"/>
  <c r="AF46" i="1"/>
  <c r="AE46" i="1"/>
  <c r="AD46" i="1"/>
  <c r="AC46" i="1"/>
  <c r="AB46" i="1"/>
  <c r="Z46" i="1"/>
  <c r="Y46" i="1"/>
  <c r="X46" i="1"/>
  <c r="W46" i="1"/>
  <c r="V46" i="1"/>
  <c r="U46" i="1"/>
  <c r="T46" i="1"/>
  <c r="S46" i="1"/>
  <c r="AX44" i="1"/>
  <c r="AX45" i="1" s="1"/>
  <c r="AW44" i="1"/>
  <c r="AV44" i="1"/>
  <c r="AU44" i="1"/>
  <c r="AT44" i="1"/>
  <c r="AT45" i="1" s="1"/>
  <c r="AS44" i="1"/>
  <c r="AS45" i="1" s="1"/>
  <c r="AR44" i="1"/>
  <c r="AQ44" i="1"/>
  <c r="AP44" i="1"/>
  <c r="AP45" i="1" s="1"/>
  <c r="AO44" i="1"/>
  <c r="AN44" i="1"/>
  <c r="AM44" i="1"/>
  <c r="AK44" i="1"/>
  <c r="AJ44" i="1"/>
  <c r="AI44" i="1"/>
  <c r="AH44" i="1"/>
  <c r="AG44" i="1"/>
  <c r="AF44" i="1"/>
  <c r="AE44" i="1"/>
  <c r="AD44" i="1"/>
  <c r="AC44" i="1"/>
  <c r="AB44" i="1"/>
  <c r="AA44" i="1"/>
  <c r="AA50" i="1" s="1"/>
  <c r="G46" i="1"/>
  <c r="F46" i="1"/>
  <c r="G45" i="1"/>
  <c r="G51" i="1" s="1"/>
  <c r="F45" i="1"/>
  <c r="G44" i="1"/>
  <c r="F44" i="1"/>
  <c r="E44" i="1"/>
  <c r="AL43" i="1"/>
  <c r="E43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Q41" i="1"/>
  <c r="P41" i="1"/>
  <c r="O41" i="1"/>
  <c r="N41" i="1"/>
  <c r="M41" i="1"/>
  <c r="L41" i="1"/>
  <c r="K41" i="1"/>
  <c r="J41" i="1"/>
  <c r="I41" i="1"/>
  <c r="H41" i="1"/>
  <c r="G41" i="1"/>
  <c r="F41" i="1"/>
  <c r="E41" i="1"/>
  <c r="D41" i="1"/>
  <c r="C41" i="1"/>
  <c r="AY38" i="1"/>
  <c r="AX38" i="1"/>
  <c r="AY240" i="1" s="1"/>
  <c r="AY419" i="1" s="1"/>
  <c r="AW38" i="1"/>
  <c r="AV38" i="1"/>
  <c r="AU38" i="1"/>
  <c r="AT38" i="1"/>
  <c r="AS38" i="1"/>
  <c r="AR38" i="1"/>
  <c r="AQ38" i="1"/>
  <c r="AP38" i="1"/>
  <c r="Y37" i="1"/>
  <c r="X37" i="1" s="1"/>
  <c r="W37" i="1" s="1"/>
  <c r="V37" i="1" s="1"/>
  <c r="U37" i="1" s="1"/>
  <c r="T37" i="1" s="1"/>
  <c r="S37" i="1" s="1"/>
  <c r="AX31" i="1"/>
  <c r="AX29" i="1"/>
  <c r="AU31" i="1"/>
  <c r="AT31" i="1"/>
  <c r="AS31" i="1"/>
  <c r="AR31" i="1"/>
  <c r="AQ31" i="1"/>
  <c r="AP31" i="1"/>
  <c r="AO31" i="1"/>
  <c r="AN31" i="1"/>
  <c r="AM31" i="1"/>
  <c r="AM29" i="1" s="1"/>
  <c r="AH31" i="1"/>
  <c r="AG31" i="1"/>
  <c r="AE31" i="1"/>
  <c r="AD31" i="1"/>
  <c r="Z31" i="1"/>
  <c r="Y31" i="1"/>
  <c r="X31" i="1"/>
  <c r="W31" i="1"/>
  <c r="AU29" i="1"/>
  <c r="AT29" i="1"/>
  <c r="AS29" i="1"/>
  <c r="AR29" i="1"/>
  <c r="AQ29" i="1"/>
  <c r="AP29" i="1"/>
  <c r="AO29" i="1"/>
  <c r="AN29" i="1"/>
  <c r="AL29" i="1"/>
  <c r="AK29" i="1"/>
  <c r="AJ29" i="1"/>
  <c r="AI29" i="1"/>
  <c r="AH29" i="1"/>
  <c r="AG29" i="1"/>
  <c r="AE29" i="1"/>
  <c r="AD29" i="1"/>
  <c r="Z29" i="1"/>
  <c r="Y29" i="1"/>
  <c r="X29" i="1"/>
  <c r="W29" i="1"/>
  <c r="E29" i="1"/>
  <c r="E27" i="1"/>
  <c r="E26" i="1"/>
  <c r="E24" i="1"/>
  <c r="E22" i="1"/>
  <c r="E21" i="1"/>
  <c r="F27" i="1"/>
  <c r="AU27" i="1"/>
  <c r="AQ27" i="1"/>
  <c r="AG27" i="1"/>
  <c r="AE27" i="1"/>
  <c r="AD27" i="1"/>
  <c r="AP24" i="1"/>
  <c r="AP22" i="1"/>
  <c r="AY26" i="1"/>
  <c r="AY24" i="1"/>
  <c r="AT22" i="1"/>
  <c r="AS22" i="1"/>
  <c r="AR22" i="1"/>
  <c r="AQ22" i="1"/>
  <c r="AO22" i="1"/>
  <c r="AN22" i="1"/>
  <c r="AM22" i="1"/>
  <c r="AL22" i="1"/>
  <c r="AK22" i="1"/>
  <c r="AJ22" i="1"/>
  <c r="AI22" i="1"/>
  <c r="AH22" i="1"/>
  <c r="AG22" i="1"/>
  <c r="G31" i="1"/>
  <c r="G29" i="1"/>
  <c r="G27" i="1"/>
  <c r="G26" i="1"/>
  <c r="G24" i="1"/>
  <c r="G22" i="1"/>
  <c r="AX21" i="1"/>
  <c r="AX20" i="1"/>
  <c r="AX23" i="1" s="1"/>
  <c r="AB20" i="1"/>
  <c r="W21" i="1"/>
  <c r="Z21" i="1" s="1"/>
  <c r="S21" i="1"/>
  <c r="BA22" i="1"/>
  <c r="BA21" i="1"/>
  <c r="BB21" i="1" s="1"/>
  <c r="BC21" i="1" s="1"/>
  <c r="BD21" i="1" s="1"/>
  <c r="BE21" i="1" s="1"/>
  <c r="BF21" i="1" s="1"/>
  <c r="BG21" i="1" s="1"/>
  <c r="BH21" i="1" s="1"/>
  <c r="BI21" i="1" s="1"/>
  <c r="BJ21" i="1" s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L23" i="1" s="1"/>
  <c r="AK20" i="1"/>
  <c r="AJ20" i="1"/>
  <c r="AI20" i="1"/>
  <c r="AH20" i="1"/>
  <c r="AG20" i="1"/>
  <c r="AF20" i="1"/>
  <c r="AE20" i="1"/>
  <c r="AD20" i="1"/>
  <c r="AD23" i="1" s="1"/>
  <c r="AC20" i="1"/>
  <c r="AC23" i="1" s="1"/>
  <c r="AA20" i="1"/>
  <c r="Y20" i="1"/>
  <c r="X20" i="1"/>
  <c r="T20" i="1"/>
  <c r="F20" i="1"/>
  <c r="F23" i="1" s="1"/>
  <c r="F25" i="1" s="1"/>
  <c r="D20" i="1"/>
  <c r="C20" i="1"/>
  <c r="S18" i="1"/>
  <c r="S17" i="1"/>
  <c r="S58" i="1" s="1"/>
  <c r="S75" i="1" s="1"/>
  <c r="S79" i="1" s="1"/>
  <c r="E18" i="1"/>
  <c r="E17" i="1"/>
  <c r="W18" i="1"/>
  <c r="Z18" i="1" s="1"/>
  <c r="U18" i="1"/>
  <c r="V18" i="1" s="1"/>
  <c r="W17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F14" i="1"/>
  <c r="D14" i="1"/>
  <c r="C14" i="1"/>
  <c r="E12" i="1"/>
  <c r="E14" i="1" s="1"/>
  <c r="E11" i="1"/>
  <c r="BE13" i="1"/>
  <c r="BB13" i="1"/>
  <c r="Z12" i="1"/>
  <c r="Y12" i="1"/>
  <c r="X12" i="1"/>
  <c r="W12" i="1"/>
  <c r="V12" i="1"/>
  <c r="U12" i="1"/>
  <c r="T12" i="1"/>
  <c r="S12" i="1"/>
  <c r="Z11" i="1"/>
  <c r="Z14" i="1" s="1"/>
  <c r="Y11" i="1"/>
  <c r="Y14" i="1" s="1"/>
  <c r="X11" i="1"/>
  <c r="X14" i="1" s="1"/>
  <c r="W11" i="1"/>
  <c r="W56" i="1" s="1"/>
  <c r="V11" i="1"/>
  <c r="U11" i="1"/>
  <c r="T11" i="1"/>
  <c r="T14" i="1" s="1"/>
  <c r="S11" i="1"/>
  <c r="S56" i="1" s="1"/>
  <c r="BJ9" i="1"/>
  <c r="BI9" i="1"/>
  <c r="BH9" i="1"/>
  <c r="BG9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H6" i="1"/>
  <c r="G6" i="1"/>
  <c r="G13" i="1" s="1"/>
  <c r="G14" i="1" s="1"/>
  <c r="T6" i="1"/>
  <c r="U6" i="1" s="1"/>
  <c r="V6" i="1" s="1"/>
  <c r="W6" i="1" s="1"/>
  <c r="X6" i="1" s="1"/>
  <c r="Y6" i="1" s="1"/>
  <c r="Z6" i="1" s="1"/>
  <c r="AA6" i="1" s="1"/>
  <c r="AB6" i="1" s="1"/>
  <c r="AC6" i="1" s="1"/>
  <c r="AD6" i="1" s="1"/>
  <c r="AE6" i="1" s="1"/>
  <c r="AF6" i="1" s="1"/>
  <c r="AG6" i="1" s="1"/>
  <c r="AH6" i="1" s="1"/>
  <c r="AI6" i="1" s="1"/>
  <c r="AJ6" i="1" s="1"/>
  <c r="AK6" i="1" s="1"/>
  <c r="AL6" i="1" s="1"/>
  <c r="AM6" i="1" s="1"/>
  <c r="AN6" i="1" s="1"/>
  <c r="AO6" i="1" s="1"/>
  <c r="AP6" i="1" s="1"/>
  <c r="AQ6" i="1" s="1"/>
  <c r="AR6" i="1" s="1"/>
  <c r="AS6" i="1" s="1"/>
  <c r="AT6" i="1" s="1"/>
  <c r="AU6" i="1" s="1"/>
  <c r="AV6" i="1" s="1"/>
  <c r="AW6" i="1" s="1"/>
  <c r="AX6" i="1" s="1"/>
  <c r="AY6" i="1" s="1"/>
  <c r="AZ6" i="1" s="1"/>
  <c r="BA6" i="1" s="1"/>
  <c r="BB6" i="1" s="1"/>
  <c r="BC6" i="1" s="1"/>
  <c r="BD6" i="1" s="1"/>
  <c r="BE6" i="1" s="1"/>
  <c r="BF6" i="1" s="1"/>
  <c r="BG6" i="1" s="1"/>
  <c r="BH6" i="1" s="1"/>
  <c r="BI6" i="1" s="1"/>
  <c r="BJ6" i="1" s="1"/>
  <c r="T5" i="1"/>
  <c r="U5" i="1" s="1"/>
  <c r="V5" i="1" s="1"/>
  <c r="W5" i="1" s="1"/>
  <c r="X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AN5" i="1" s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I5" i="1"/>
  <c r="BF4" i="1"/>
  <c r="BJ4" i="1" s="1"/>
  <c r="BE4" i="1"/>
  <c r="BI4" i="1" s="1"/>
  <c r="BD4" i="1"/>
  <c r="BH4" i="1" s="1"/>
  <c r="BC4" i="1"/>
  <c r="P4" i="1"/>
  <c r="Q4" i="1" s="1"/>
  <c r="F2" i="1"/>
  <c r="E2" i="1"/>
  <c r="D2" i="1"/>
  <c r="C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V2" i="1"/>
  <c r="U2" i="1"/>
  <c r="T2" i="1"/>
  <c r="S2" i="1"/>
  <c r="F1" i="1"/>
  <c r="E1" i="1"/>
  <c r="D1" i="1"/>
  <c r="C1" i="1"/>
  <c r="AK154" i="1" l="1"/>
  <c r="G151" i="1"/>
  <c r="O151" i="1"/>
  <c r="L154" i="1"/>
  <c r="G155" i="1"/>
  <c r="AT152" i="1"/>
  <c r="BJ154" i="1"/>
  <c r="U155" i="1"/>
  <c r="AC155" i="1"/>
  <c r="AK155" i="1"/>
  <c r="J154" i="1"/>
  <c r="N154" i="1"/>
  <c r="V152" i="1"/>
  <c r="AD152" i="1"/>
  <c r="AO155" i="1"/>
  <c r="AW155" i="1"/>
  <c r="K151" i="1"/>
  <c r="F152" i="1"/>
  <c r="H154" i="1"/>
  <c r="P154" i="1"/>
  <c r="AP152" i="1"/>
  <c r="AX152" i="1"/>
  <c r="Y155" i="1"/>
  <c r="AG155" i="1"/>
  <c r="I151" i="1"/>
  <c r="M151" i="1"/>
  <c r="Q151" i="1"/>
  <c r="Z152" i="1"/>
  <c r="AH152" i="1"/>
  <c r="U154" i="1"/>
  <c r="Y154" i="1"/>
  <c r="AC154" i="1"/>
  <c r="AG154" i="1"/>
  <c r="AS155" i="1"/>
  <c r="BB275" i="1"/>
  <c r="BA224" i="1"/>
  <c r="D62" i="1"/>
  <c r="AB61" i="1"/>
  <c r="AO63" i="1"/>
  <c r="BA120" i="1"/>
  <c r="BA123" i="1" s="1"/>
  <c r="AY137" i="1"/>
  <c r="AP162" i="1"/>
  <c r="AD196" i="1"/>
  <c r="AR209" i="1"/>
  <c r="AH45" i="1"/>
  <c r="S163" i="1"/>
  <c r="S164" i="1" s="1"/>
  <c r="W20" i="1"/>
  <c r="AT90" i="1"/>
  <c r="AX89" i="1"/>
  <c r="AY127" i="1"/>
  <c r="AY128" i="1" s="1"/>
  <c r="AP163" i="1"/>
  <c r="AN209" i="1"/>
  <c r="AV206" i="1"/>
  <c r="Z210" i="1"/>
  <c r="H210" i="1" s="1"/>
  <c r="AF210" i="1"/>
  <c r="AZ224" i="1"/>
  <c r="AR237" i="1"/>
  <c r="AW206" i="1"/>
  <c r="AN237" i="1"/>
  <c r="AN246" i="1" s="1"/>
  <c r="Y264" i="1"/>
  <c r="AH396" i="1"/>
  <c r="AA397" i="1"/>
  <c r="AJ61" i="1"/>
  <c r="AW63" i="1"/>
  <c r="V264" i="1"/>
  <c r="AA259" i="1"/>
  <c r="AB259" i="1" s="1"/>
  <c r="AB258" i="1" s="1"/>
  <c r="AC377" i="1" s="1"/>
  <c r="D63" i="1"/>
  <c r="AF61" i="1"/>
  <c r="X63" i="1"/>
  <c r="AS63" i="1"/>
  <c r="F61" i="1"/>
  <c r="AC61" i="1"/>
  <c r="AG61" i="1"/>
  <c r="AK61" i="1"/>
  <c r="AO61" i="1"/>
  <c r="AS61" i="1"/>
  <c r="AW61" i="1"/>
  <c r="Y63" i="1"/>
  <c r="AP63" i="1"/>
  <c r="AT63" i="1"/>
  <c r="AX63" i="1"/>
  <c r="AX69" i="1"/>
  <c r="G83" i="1"/>
  <c r="BD98" i="1"/>
  <c r="BD118" i="1" s="1"/>
  <c r="AT159" i="1"/>
  <c r="BA160" i="1"/>
  <c r="W194" i="1"/>
  <c r="AJ210" i="1"/>
  <c r="AY224" i="1"/>
  <c r="AJ285" i="1"/>
  <c r="Z331" i="1"/>
  <c r="AH331" i="1"/>
  <c r="AN356" i="1"/>
  <c r="AY383" i="1"/>
  <c r="AY37" i="1" s="1"/>
  <c r="AK210" i="1"/>
  <c r="AK209" i="1"/>
  <c r="AE50" i="1"/>
  <c r="C61" i="1"/>
  <c r="C63" i="1"/>
  <c r="AV75" i="1"/>
  <c r="BD67" i="1"/>
  <c r="BD68" i="1" s="1"/>
  <c r="AY68" i="1"/>
  <c r="AI97" i="1"/>
  <c r="AI119" i="1" s="1"/>
  <c r="AI124" i="1" s="1"/>
  <c r="BA86" i="1"/>
  <c r="AX90" i="1"/>
  <c r="BA105" i="1"/>
  <c r="AT163" i="1"/>
  <c r="AV237" i="1"/>
  <c r="AV246" i="1" s="1"/>
  <c r="AV247" i="1" s="1"/>
  <c r="AJ237" i="1"/>
  <c r="AV68" i="1"/>
  <c r="AX160" i="1"/>
  <c r="AI285" i="1"/>
  <c r="AC285" i="1"/>
  <c r="AO356" i="1"/>
  <c r="G50" i="1"/>
  <c r="G61" i="1"/>
  <c r="G63" i="1"/>
  <c r="AD61" i="1"/>
  <c r="AH61" i="1"/>
  <c r="AP61" i="1"/>
  <c r="AT61" i="1"/>
  <c r="AX61" i="1"/>
  <c r="AM97" i="1"/>
  <c r="AQ97" i="1"/>
  <c r="AQ119" i="1" s="1"/>
  <c r="AQ124" i="1" s="1"/>
  <c r="AZ87" i="1"/>
  <c r="AZ86" i="1" s="1"/>
  <c r="AS90" i="1"/>
  <c r="AW90" i="1"/>
  <c r="AW96" i="1"/>
  <c r="AW97" i="1" s="1"/>
  <c r="AX143" i="1"/>
  <c r="AR145" i="1"/>
  <c r="AR48" i="1" s="1"/>
  <c r="AO235" i="1"/>
  <c r="AS285" i="1"/>
  <c r="BF70" i="1"/>
  <c r="BE67" i="1"/>
  <c r="AX103" i="1"/>
  <c r="AX113" i="1" s="1"/>
  <c r="AO293" i="1"/>
  <c r="BM15" i="1"/>
  <c r="BM16" i="1" s="1"/>
  <c r="BM17" i="1" s="1"/>
  <c r="BM18" i="1" s="1"/>
  <c r="BM19" i="1" s="1"/>
  <c r="BM20" i="1" s="1"/>
  <c r="BM21" i="1" s="1"/>
  <c r="BM22" i="1" s="1"/>
  <c r="BM23" i="1" s="1"/>
  <c r="AX25" i="1"/>
  <c r="X260" i="1"/>
  <c r="Y194" i="1" s="1"/>
  <c r="X194" i="1"/>
  <c r="U17" i="1"/>
  <c r="U20" i="1" s="1"/>
  <c r="AH192" i="1"/>
  <c r="AL192" i="1"/>
  <c r="AQ192" i="1"/>
  <c r="AZ38" i="1"/>
  <c r="BA38" i="1" s="1"/>
  <c r="AP50" i="1"/>
  <c r="AT50" i="1"/>
  <c r="AX50" i="1"/>
  <c r="T52" i="1"/>
  <c r="X52" i="1"/>
  <c r="AC52" i="1"/>
  <c r="AG45" i="1"/>
  <c r="AK45" i="1"/>
  <c r="AP52" i="1"/>
  <c r="AX52" i="1"/>
  <c r="AN61" i="1"/>
  <c r="AR61" i="1"/>
  <c r="AV61" i="1"/>
  <c r="T63" i="1"/>
  <c r="AU75" i="1"/>
  <c r="D61" i="1"/>
  <c r="BA66" i="1"/>
  <c r="BA68" i="1"/>
  <c r="AW70" i="1"/>
  <c r="AG73" i="1"/>
  <c r="AG77" i="1" s="1"/>
  <c r="AO73" i="1"/>
  <c r="AO77" i="1" s="1"/>
  <c r="AF75" i="1"/>
  <c r="AF79" i="1" s="1"/>
  <c r="AF83" i="1" s="1"/>
  <c r="AS96" i="1"/>
  <c r="AU159" i="1"/>
  <c r="BF158" i="1"/>
  <c r="BJ158" i="1" s="1"/>
  <c r="AA166" i="1"/>
  <c r="AE166" i="1"/>
  <c r="AI166" i="1"/>
  <c r="AN166" i="1"/>
  <c r="AR166" i="1"/>
  <c r="AV166" i="1"/>
  <c r="AF167" i="1"/>
  <c r="AJ167" i="1"/>
  <c r="AO167" i="1"/>
  <c r="AS167" i="1"/>
  <c r="AW167" i="1"/>
  <c r="AD231" i="1"/>
  <c r="AD232" i="1"/>
  <c r="AB356" i="1"/>
  <c r="AZ348" i="1"/>
  <c r="Z17" i="1"/>
  <c r="Z58" i="1" s="1"/>
  <c r="AL49" i="1"/>
  <c r="G52" i="1"/>
  <c r="AD50" i="1"/>
  <c r="AH50" i="1"/>
  <c r="AM45" i="1"/>
  <c r="AQ45" i="1"/>
  <c r="AU50" i="1"/>
  <c r="AD45" i="1"/>
  <c r="U52" i="1"/>
  <c r="AQ52" i="1"/>
  <c r="AU52" i="1"/>
  <c r="BA49" i="1"/>
  <c r="F57" i="1"/>
  <c r="F62" i="1" s="1"/>
  <c r="W58" i="1"/>
  <c r="W75" i="1" s="1"/>
  <c r="W79" i="1" s="1"/>
  <c r="AN63" i="1"/>
  <c r="AR63" i="1"/>
  <c r="AV63" i="1"/>
  <c r="F63" i="1"/>
  <c r="BD66" i="1"/>
  <c r="AX67" i="1"/>
  <c r="AB73" i="1"/>
  <c r="AB77" i="1" s="1"/>
  <c r="AJ73" i="1"/>
  <c r="AJ77" i="1" s="1"/>
  <c r="AR73" i="1"/>
  <c r="AR77" i="1" s="1"/>
  <c r="AR81" i="1" s="1"/>
  <c r="T75" i="1"/>
  <c r="T79" i="1" s="1"/>
  <c r="T83" i="1" s="1"/>
  <c r="AJ75" i="1"/>
  <c r="AJ79" i="1" s="1"/>
  <c r="AJ83" i="1" s="1"/>
  <c r="AO98" i="1"/>
  <c r="AO118" i="1" s="1"/>
  <c r="AT96" i="1"/>
  <c r="AT97" i="1" s="1"/>
  <c r="AT119" i="1" s="1"/>
  <c r="AT124" i="1" s="1"/>
  <c r="BC119" i="1"/>
  <c r="BC124" i="1" s="1"/>
  <c r="AX145" i="1"/>
  <c r="AX48" i="1" s="1"/>
  <c r="AY89" i="1"/>
  <c r="AY92" i="1" s="1"/>
  <c r="AS145" i="1"/>
  <c r="AS48" i="1" s="1"/>
  <c r="AW145" i="1"/>
  <c r="AW48" i="1" s="1"/>
  <c r="BC158" i="1"/>
  <c r="G166" i="1"/>
  <c r="AB166" i="1"/>
  <c r="AF166" i="1"/>
  <c r="AJ166" i="1"/>
  <c r="AO166" i="1"/>
  <c r="AS166" i="1"/>
  <c r="AW166" i="1"/>
  <c r="AG167" i="1"/>
  <c r="AK167" i="1"/>
  <c r="AT167" i="1"/>
  <c r="AD234" i="1"/>
  <c r="AM246" i="1"/>
  <c r="AG285" i="1"/>
  <c r="AX292" i="1"/>
  <c r="BA311" i="1"/>
  <c r="BA310" i="1" s="1"/>
  <c r="AP331" i="1"/>
  <c r="AA46" i="1"/>
  <c r="AE45" i="1"/>
  <c r="AI45" i="1"/>
  <c r="AV45" i="1"/>
  <c r="AE52" i="1"/>
  <c r="AI52" i="1"/>
  <c r="AN52" i="1"/>
  <c r="AI50" i="1"/>
  <c r="AV52" i="1"/>
  <c r="Y52" i="1"/>
  <c r="S63" i="1"/>
  <c r="AC73" i="1"/>
  <c r="AC77" i="1" s="1"/>
  <c r="AK73" i="1"/>
  <c r="AK77" i="1" s="1"/>
  <c r="AK81" i="1" s="1"/>
  <c r="AV73" i="1"/>
  <c r="AV77" i="1" s="1"/>
  <c r="AV81" i="1" s="1"/>
  <c r="X75" i="1"/>
  <c r="X79" i="1" s="1"/>
  <c r="X83" i="1" s="1"/>
  <c r="AN75" i="1"/>
  <c r="AN79" i="1" s="1"/>
  <c r="AW104" i="1"/>
  <c r="AT145" i="1"/>
  <c r="AT48" i="1" s="1"/>
  <c r="BA159" i="1"/>
  <c r="AC166" i="1"/>
  <c r="AG166" i="1"/>
  <c r="AK166" i="1"/>
  <c r="AX166" i="1"/>
  <c r="AH167" i="1"/>
  <c r="AM167" i="1"/>
  <c r="AQ167" i="1"/>
  <c r="AU167" i="1"/>
  <c r="AT175" i="1"/>
  <c r="Z342" i="1"/>
  <c r="Z358" i="1" s="1"/>
  <c r="H29" i="1"/>
  <c r="AK23" i="1"/>
  <c r="AK193" i="1" s="1"/>
  <c r="AT192" i="1"/>
  <c r="AP192" i="1"/>
  <c r="AO50" i="1"/>
  <c r="AS50" i="1"/>
  <c r="AW50" i="1"/>
  <c r="W52" i="1"/>
  <c r="AF52" i="1"/>
  <c r="AJ52" i="1"/>
  <c r="AO52" i="1"/>
  <c r="AW52" i="1"/>
  <c r="AQ50" i="1"/>
  <c r="AU68" i="1"/>
  <c r="AF73" i="1"/>
  <c r="AF77" i="1" s="1"/>
  <c r="AN73" i="1"/>
  <c r="AN77" i="1" s="1"/>
  <c r="AN81" i="1" s="1"/>
  <c r="AW73" i="1"/>
  <c r="AW77" i="1" s="1"/>
  <c r="AB75" i="1"/>
  <c r="AB79" i="1" s="1"/>
  <c r="AR75" i="1"/>
  <c r="AR79" i="1" s="1"/>
  <c r="AY86" i="1"/>
  <c r="AK97" i="1"/>
  <c r="AR90" i="1"/>
  <c r="AV90" i="1"/>
  <c r="AJ93" i="1"/>
  <c r="AX96" i="1"/>
  <c r="AX97" i="1" s="1"/>
  <c r="BD97" i="1"/>
  <c r="BD99" i="1" s="1"/>
  <c r="AJ98" i="1"/>
  <c r="AJ118" i="1" s="1"/>
  <c r="AJ120" i="1" s="1"/>
  <c r="AJ123" i="1" s="1"/>
  <c r="AZ120" i="1"/>
  <c r="AZ123" i="1" s="1"/>
  <c r="AZ127" i="1" s="1"/>
  <c r="AU145" i="1"/>
  <c r="AU48" i="1" s="1"/>
  <c r="AV145" i="1"/>
  <c r="AV48" i="1" s="1"/>
  <c r="AP175" i="1"/>
  <c r="AP177" i="1" s="1"/>
  <c r="BB159" i="1"/>
  <c r="BB160" i="1"/>
  <c r="G167" i="1"/>
  <c r="AD166" i="1"/>
  <c r="AH166" i="1"/>
  <c r="AM166" i="1"/>
  <c r="AQ166" i="1"/>
  <c r="AU166" i="1"/>
  <c r="AE167" i="1"/>
  <c r="AI167" i="1"/>
  <c r="AN167" i="1"/>
  <c r="AR167" i="1"/>
  <c r="AV167" i="1"/>
  <c r="AC224" i="1"/>
  <c r="AD224" i="1" s="1"/>
  <c r="AC227" i="1"/>
  <c r="AD227" i="1" s="1"/>
  <c r="AO240" i="1"/>
  <c r="AK240" i="1"/>
  <c r="AK419" i="1" s="1"/>
  <c r="X283" i="1"/>
  <c r="Y421" i="1" s="1"/>
  <c r="AE356" i="1"/>
  <c r="AI356" i="1"/>
  <c r="AR356" i="1"/>
  <c r="AX398" i="1"/>
  <c r="AX304" i="1"/>
  <c r="G372" i="1"/>
  <c r="G373" i="1"/>
  <c r="G176" i="1"/>
  <c r="G181" i="1"/>
  <c r="Z318" i="1"/>
  <c r="Z310" i="1"/>
  <c r="Z311" i="1" s="1"/>
  <c r="Z176" i="1"/>
  <c r="Z192" i="1"/>
  <c r="Z181" i="1"/>
  <c r="E181" i="1"/>
  <c r="E176" i="1"/>
  <c r="S73" i="1"/>
  <c r="S77" i="1" s="1"/>
  <c r="S57" i="1"/>
  <c r="S61" i="1"/>
  <c r="W73" i="1"/>
  <c r="W77" i="1" s="1"/>
  <c r="W57" i="1"/>
  <c r="W61" i="1"/>
  <c r="BC155" i="1"/>
  <c r="BC152" i="1"/>
  <c r="BC149" i="1"/>
  <c r="Y373" i="1"/>
  <c r="Y310" i="1"/>
  <c r="Y311" i="1" s="1"/>
  <c r="Y318" i="1"/>
  <c r="Y317" i="1"/>
  <c r="Y181" i="1"/>
  <c r="Y177" i="1"/>
  <c r="Y176" i="1"/>
  <c r="Y192" i="1"/>
  <c r="V182" i="1"/>
  <c r="V56" i="1"/>
  <c r="V163" i="1"/>
  <c r="V183" i="1"/>
  <c r="AK310" i="1"/>
  <c r="AK311" i="1" s="1"/>
  <c r="AK318" i="1"/>
  <c r="AK181" i="1"/>
  <c r="AK177" i="1"/>
  <c r="AK176" i="1"/>
  <c r="AS310" i="1"/>
  <c r="AS311" i="1" s="1"/>
  <c r="AS318" i="1"/>
  <c r="AS181" i="1"/>
  <c r="AS177" i="1"/>
  <c r="AS176" i="1"/>
  <c r="I6" i="1"/>
  <c r="BB184" i="1"/>
  <c r="BB171" i="1"/>
  <c r="BB19" i="1"/>
  <c r="BB188" i="1" s="1"/>
  <c r="BF13" i="1"/>
  <c r="H18" i="1"/>
  <c r="V17" i="1"/>
  <c r="AX190" i="1"/>
  <c r="AX185" i="1"/>
  <c r="F193" i="1"/>
  <c r="F200" i="1"/>
  <c r="T186" i="1"/>
  <c r="T182" i="1"/>
  <c r="T56" i="1"/>
  <c r="X186" i="1"/>
  <c r="X182" i="1"/>
  <c r="X56" i="1"/>
  <c r="T187" i="1"/>
  <c r="T183" i="1"/>
  <c r="T163" i="1"/>
  <c r="X187" i="1"/>
  <c r="X183" i="1"/>
  <c r="X163" i="1"/>
  <c r="BC13" i="1"/>
  <c r="F182" i="1"/>
  <c r="E182" i="1"/>
  <c r="E77" i="1"/>
  <c r="F81" i="1" s="1"/>
  <c r="E56" i="1"/>
  <c r="E45" i="1"/>
  <c r="I13" i="1"/>
  <c r="F373" i="1"/>
  <c r="F181" i="1"/>
  <c r="F177" i="1"/>
  <c r="F176" i="1"/>
  <c r="F178" i="1" s="1"/>
  <c r="F192" i="1"/>
  <c r="S14" i="1"/>
  <c r="W14" i="1"/>
  <c r="W185" i="1" s="1"/>
  <c r="I19" i="1"/>
  <c r="W190" i="1"/>
  <c r="W23" i="1"/>
  <c r="E186" i="1"/>
  <c r="E58" i="1"/>
  <c r="E20" i="1"/>
  <c r="E177" i="1" s="1"/>
  <c r="E46" i="1"/>
  <c r="E79" i="1"/>
  <c r="F83" i="1" s="1"/>
  <c r="Z186" i="1"/>
  <c r="F413" i="1"/>
  <c r="F190" i="1"/>
  <c r="F191" i="1" s="1"/>
  <c r="F185" i="1"/>
  <c r="AP23" i="1"/>
  <c r="BB22" i="1"/>
  <c r="AC200" i="1"/>
  <c r="AC193" i="1"/>
  <c r="AC25" i="1"/>
  <c r="AT23" i="1"/>
  <c r="F51" i="1"/>
  <c r="AO45" i="1"/>
  <c r="AP51" i="1" s="1"/>
  <c r="AW45" i="1"/>
  <c r="V52" i="1"/>
  <c r="Z52" i="1"/>
  <c r="AG52" i="1"/>
  <c r="AE57" i="1"/>
  <c r="AU57" i="1"/>
  <c r="AY155" i="1"/>
  <c r="AY152" i="1"/>
  <c r="AY149" i="1"/>
  <c r="AY49" i="1"/>
  <c r="AI61" i="1"/>
  <c r="AA63" i="1"/>
  <c r="AQ63" i="1"/>
  <c r="BE65" i="1"/>
  <c r="BG70" i="1"/>
  <c r="BF67" i="1"/>
  <c r="AY66" i="1"/>
  <c r="BC66" i="1"/>
  <c r="AB81" i="1"/>
  <c r="AJ81" i="1"/>
  <c r="AV115" i="1"/>
  <c r="AV79" i="1"/>
  <c r="G81" i="1"/>
  <c r="F78" i="1"/>
  <c r="AG81" i="1"/>
  <c r="AO93" i="1"/>
  <c r="AO119" i="1"/>
  <c r="AO124" i="1" s="1"/>
  <c r="BC86" i="1"/>
  <c r="BC105" i="1"/>
  <c r="AN98" i="1"/>
  <c r="BA127" i="1"/>
  <c r="BC132" i="1"/>
  <c r="BD132" i="1" s="1"/>
  <c r="BE132" i="1" s="1"/>
  <c r="BF132" i="1" s="1"/>
  <c r="BG132" i="1" s="1"/>
  <c r="BH132" i="1" s="1"/>
  <c r="BI132" i="1" s="1"/>
  <c r="BJ132" i="1" s="1"/>
  <c r="G419" i="1"/>
  <c r="G335" i="1"/>
  <c r="G341" i="1"/>
  <c r="G336" i="1"/>
  <c r="G283" i="1"/>
  <c r="G421" i="1" s="1"/>
  <c r="G284" i="1"/>
  <c r="G280" i="1"/>
  <c r="G276" i="1"/>
  <c r="G329" i="1" s="1"/>
  <c r="G268" i="1"/>
  <c r="G275" i="1"/>
  <c r="G273" i="1"/>
  <c r="G263" i="1"/>
  <c r="G259" i="1"/>
  <c r="G255" i="1"/>
  <c r="G207" i="1"/>
  <c r="G271" i="1"/>
  <c r="G317" i="1" s="1"/>
  <c r="G269" i="1"/>
  <c r="G318" i="1" s="1"/>
  <c r="G260" i="1"/>
  <c r="G256" i="1"/>
  <c r="G316" i="1" s="1"/>
  <c r="G252" i="1"/>
  <c r="G281" i="1"/>
  <c r="G274" i="1"/>
  <c r="G261" i="1"/>
  <c r="G253" i="1"/>
  <c r="G310" i="1" s="1"/>
  <c r="G311" i="1" s="1"/>
  <c r="G279" i="1"/>
  <c r="G277" i="1"/>
  <c r="G270" i="1"/>
  <c r="G267" i="1"/>
  <c r="G262" i="1"/>
  <c r="G258" i="1"/>
  <c r="G254" i="1"/>
  <c r="G209" i="1"/>
  <c r="G210" i="1"/>
  <c r="G206" i="1"/>
  <c r="G205" i="1"/>
  <c r="G19" i="1"/>
  <c r="G20" i="1" s="1"/>
  <c r="G177" i="1" s="1"/>
  <c r="H12" i="1"/>
  <c r="U182" i="1"/>
  <c r="U56" i="1"/>
  <c r="Y186" i="1"/>
  <c r="Y182" i="1"/>
  <c r="Y56" i="1"/>
  <c r="U183" i="1"/>
  <c r="U163" i="1"/>
  <c r="Y187" i="1"/>
  <c r="Y183" i="1"/>
  <c r="Y163" i="1"/>
  <c r="F183" i="1"/>
  <c r="E183" i="1"/>
  <c r="E163" i="1"/>
  <c r="E162" i="1"/>
  <c r="F166" i="1" s="1"/>
  <c r="T181" i="1"/>
  <c r="T192" i="1"/>
  <c r="T177" i="1"/>
  <c r="T176" i="1"/>
  <c r="X177" i="1"/>
  <c r="X176" i="1"/>
  <c r="X192" i="1"/>
  <c r="AB318" i="1"/>
  <c r="AB316" i="1"/>
  <c r="AB310" i="1"/>
  <c r="AB311" i="1" s="1"/>
  <c r="AB192" i="1"/>
  <c r="AB181" i="1"/>
  <c r="AB177" i="1"/>
  <c r="AB176" i="1"/>
  <c r="AB21" i="1"/>
  <c r="AF318" i="1"/>
  <c r="AF310" i="1"/>
  <c r="AF311" i="1" s="1"/>
  <c r="AF192" i="1"/>
  <c r="AF181" i="1"/>
  <c r="AF177" i="1"/>
  <c r="AF176" i="1"/>
  <c r="AF178" i="1" s="1"/>
  <c r="AJ318" i="1"/>
  <c r="AJ310" i="1"/>
  <c r="AJ311" i="1" s="1"/>
  <c r="AJ181" i="1"/>
  <c r="AJ177" i="1"/>
  <c r="AJ176" i="1"/>
  <c r="AN310" i="1"/>
  <c r="AN311" i="1" s="1"/>
  <c r="AN318" i="1"/>
  <c r="AN181" i="1"/>
  <c r="AN177" i="1"/>
  <c r="AN176" i="1"/>
  <c r="AR318" i="1"/>
  <c r="AR310" i="1"/>
  <c r="AR311" i="1" s="1"/>
  <c r="AR181" i="1"/>
  <c r="AR177" i="1"/>
  <c r="AR176" i="1"/>
  <c r="AV316" i="1"/>
  <c r="AV310" i="1"/>
  <c r="AV311" i="1" s="1"/>
  <c r="AV192" i="1"/>
  <c r="AV181" i="1"/>
  <c r="AV177" i="1"/>
  <c r="AV176" i="1"/>
  <c r="U187" i="1"/>
  <c r="E187" i="1"/>
  <c r="Z187" i="1"/>
  <c r="Y190" i="1"/>
  <c r="Y191" i="1" s="1"/>
  <c r="Y185" i="1"/>
  <c r="AE185" i="1"/>
  <c r="AE190" i="1"/>
  <c r="AE23" i="1"/>
  <c r="AI185" i="1"/>
  <c r="AI190" i="1"/>
  <c r="AI191" i="1" s="1"/>
  <c r="AI23" i="1"/>
  <c r="AM190" i="1"/>
  <c r="AM191" i="1" s="1"/>
  <c r="AM185" i="1"/>
  <c r="AM23" i="1"/>
  <c r="AQ185" i="1"/>
  <c r="AQ190" i="1"/>
  <c r="AQ191" i="1" s="1"/>
  <c r="AU185" i="1"/>
  <c r="AU190" i="1"/>
  <c r="AU191" i="1" s="1"/>
  <c r="H24" i="1"/>
  <c r="AD193" i="1"/>
  <c r="AD200" i="1"/>
  <c r="AL193" i="1"/>
  <c r="AL200" i="1"/>
  <c r="AU23" i="1"/>
  <c r="AY259" i="1"/>
  <c r="AY222" i="1"/>
  <c r="AY371" i="1" s="1"/>
  <c r="AY378" i="1" s="1"/>
  <c r="F304" i="1"/>
  <c r="F195" i="1"/>
  <c r="F28" i="1"/>
  <c r="F52" i="1"/>
  <c r="AN45" i="1"/>
  <c r="AN50" i="1"/>
  <c r="AR45" i="1"/>
  <c r="AR50" i="1"/>
  <c r="AB52" i="1"/>
  <c r="AV50" i="1"/>
  <c r="AK52" i="1"/>
  <c r="AI57" i="1"/>
  <c r="AM61" i="1"/>
  <c r="AE63" i="1"/>
  <c r="AU63" i="1"/>
  <c r="BD105" i="1"/>
  <c r="BD60" i="1"/>
  <c r="BD43" i="1" s="1"/>
  <c r="AA185" i="1"/>
  <c r="AA190" i="1"/>
  <c r="AA191" i="1" s="1"/>
  <c r="AA23" i="1"/>
  <c r="AF185" i="1"/>
  <c r="AF190" i="1"/>
  <c r="AF191" i="1" s="1"/>
  <c r="AF23" i="1"/>
  <c r="AJ185" i="1"/>
  <c r="AJ190" i="1"/>
  <c r="AJ191" i="1" s="1"/>
  <c r="AJ23" i="1"/>
  <c r="AN185" i="1"/>
  <c r="AN190" i="1"/>
  <c r="AN191" i="1" s="1"/>
  <c r="AN23" i="1"/>
  <c r="AR190" i="1"/>
  <c r="AR191" i="1" s="1"/>
  <c r="AR185" i="1"/>
  <c r="AR23" i="1"/>
  <c r="AV185" i="1"/>
  <c r="AV190" i="1"/>
  <c r="AV191" i="1" s="1"/>
  <c r="AV23" i="1"/>
  <c r="U21" i="1"/>
  <c r="U23" i="1" s="1"/>
  <c r="I22" i="1"/>
  <c r="AG192" i="1"/>
  <c r="AK192" i="1"/>
  <c r="AO192" i="1"/>
  <c r="Y23" i="1"/>
  <c r="AG23" i="1"/>
  <c r="AO23" i="1"/>
  <c r="AX200" i="1"/>
  <c r="AX193" i="1"/>
  <c r="AL155" i="1"/>
  <c r="AL152" i="1"/>
  <c r="AL149" i="1"/>
  <c r="AL145" i="1"/>
  <c r="AL48" i="1" s="1"/>
  <c r="AL60" i="1"/>
  <c r="AL63" i="1" s="1"/>
  <c r="AL99" i="1"/>
  <c r="AL44" i="1"/>
  <c r="AL87" i="1"/>
  <c r="AL97" i="1" s="1"/>
  <c r="AM49" i="1"/>
  <c r="AL46" i="1"/>
  <c r="AB45" i="1"/>
  <c r="AB50" i="1"/>
  <c r="AF45" i="1"/>
  <c r="AF50" i="1"/>
  <c r="AJ45" i="1"/>
  <c r="AJ50" i="1"/>
  <c r="AM57" i="1"/>
  <c r="AA61" i="1"/>
  <c r="AQ61" i="1"/>
  <c r="AI63" i="1"/>
  <c r="BG69" i="1"/>
  <c r="BF65" i="1"/>
  <c r="AF81" i="1"/>
  <c r="AN83" i="1"/>
  <c r="BG4" i="1"/>
  <c r="N143" i="1" s="1"/>
  <c r="H419" i="1"/>
  <c r="H351" i="1"/>
  <c r="H349" i="1"/>
  <c r="H347" i="1"/>
  <c r="H367" i="1"/>
  <c r="H348" i="1"/>
  <c r="H365" i="1"/>
  <c r="H362" i="1"/>
  <c r="H337" i="1"/>
  <c r="H336" i="1"/>
  <c r="H361" i="1"/>
  <c r="H339" i="1"/>
  <c r="H338" i="1"/>
  <c r="H329" i="1"/>
  <c r="H350" i="1"/>
  <c r="H342" i="1"/>
  <c r="H341" i="1"/>
  <c r="H340" i="1"/>
  <c r="H335" i="1"/>
  <c r="H354" i="1" s="1"/>
  <c r="H331" i="1"/>
  <c r="H323" i="1"/>
  <c r="H284" i="1"/>
  <c r="H328" i="1"/>
  <c r="H283" i="1"/>
  <c r="H421" i="1" s="1"/>
  <c r="H281" i="1"/>
  <c r="H277" i="1"/>
  <c r="H273" i="1"/>
  <c r="H269" i="1"/>
  <c r="H280" i="1"/>
  <c r="H271" i="1"/>
  <c r="H260" i="1"/>
  <c r="H256" i="1"/>
  <c r="H252" i="1"/>
  <c r="H225" i="1"/>
  <c r="H223" i="1"/>
  <c r="H206" i="1"/>
  <c r="H276" i="1"/>
  <c r="H274" i="1"/>
  <c r="H261" i="1"/>
  <c r="H253" i="1"/>
  <c r="H245" i="1"/>
  <c r="H243" i="1"/>
  <c r="H241" i="1"/>
  <c r="H239" i="1"/>
  <c r="H233" i="1"/>
  <c r="H231" i="1"/>
  <c r="H229" i="1"/>
  <c r="H279" i="1"/>
  <c r="H270" i="1"/>
  <c r="H344" i="1" s="1"/>
  <c r="H268" i="1"/>
  <c r="H267" i="1"/>
  <c r="H262" i="1"/>
  <c r="H258" i="1"/>
  <c r="H254" i="1"/>
  <c r="H275" i="1"/>
  <c r="H263" i="1"/>
  <c r="H259" i="1"/>
  <c r="H255" i="1"/>
  <c r="H244" i="1"/>
  <c r="H242" i="1"/>
  <c r="H240" i="1"/>
  <c r="H238" i="1"/>
  <c r="H236" i="1"/>
  <c r="H234" i="1"/>
  <c r="H232" i="1"/>
  <c r="H230" i="1"/>
  <c r="H207" i="1"/>
  <c r="H224" i="1"/>
  <c r="H175" i="1"/>
  <c r="H226" i="1"/>
  <c r="H222" i="1"/>
  <c r="H371" i="1" s="1"/>
  <c r="H209" i="1"/>
  <c r="H205" i="1"/>
  <c r="H158" i="1"/>
  <c r="H26" i="1"/>
  <c r="H22" i="1"/>
  <c r="H21" i="1"/>
  <c r="H19" i="1"/>
  <c r="H17" i="1"/>
  <c r="H43" i="1"/>
  <c r="H31" i="1"/>
  <c r="H27" i="1"/>
  <c r="I12" i="1"/>
  <c r="AA182" i="1"/>
  <c r="Z182" i="1"/>
  <c r="Z56" i="1"/>
  <c r="Z163" i="1"/>
  <c r="AA183" i="1"/>
  <c r="Z183" i="1"/>
  <c r="BE19" i="1"/>
  <c r="BE188" i="1" s="1"/>
  <c r="BI13" i="1"/>
  <c r="D181" i="1"/>
  <c r="D176" i="1"/>
  <c r="U14" i="1"/>
  <c r="U185" i="1" s="1"/>
  <c r="AC402" i="1"/>
  <c r="AC310" i="1"/>
  <c r="AC311" i="1" s="1"/>
  <c r="AC316" i="1"/>
  <c r="AC318" i="1"/>
  <c r="AC181" i="1"/>
  <c r="AC177" i="1"/>
  <c r="AC176" i="1"/>
  <c r="AC192" i="1"/>
  <c r="AG310" i="1"/>
  <c r="AG311" i="1" s="1"/>
  <c r="AG373" i="1"/>
  <c r="AG318" i="1"/>
  <c r="AG181" i="1"/>
  <c r="AG177" i="1"/>
  <c r="AG176" i="1"/>
  <c r="AO310" i="1"/>
  <c r="AO311" i="1" s="1"/>
  <c r="AO318" i="1"/>
  <c r="AO317" i="1"/>
  <c r="AO181" i="1"/>
  <c r="AO177" i="1"/>
  <c r="AO176" i="1"/>
  <c r="AW310" i="1"/>
  <c r="AW311" i="1" s="1"/>
  <c r="AW316" i="1"/>
  <c r="AW192" i="1"/>
  <c r="AW181" i="1"/>
  <c r="AW177" i="1"/>
  <c r="AW176" i="1"/>
  <c r="I17" i="1"/>
  <c r="V187" i="1"/>
  <c r="J5" i="1"/>
  <c r="H11" i="1"/>
  <c r="W182" i="1"/>
  <c r="W163" i="1"/>
  <c r="W183" i="1"/>
  <c r="H13" i="1"/>
  <c r="V14" i="1"/>
  <c r="AD402" i="1"/>
  <c r="AD318" i="1"/>
  <c r="AD316" i="1"/>
  <c r="AD310" i="1"/>
  <c r="AD311" i="1" s="1"/>
  <c r="AD177" i="1"/>
  <c r="AD176" i="1"/>
  <c r="AD192" i="1"/>
  <c r="AD181" i="1"/>
  <c r="I29" i="1"/>
  <c r="AH23" i="1"/>
  <c r="AQ23" i="1"/>
  <c r="AD25" i="1"/>
  <c r="AL25" i="1"/>
  <c r="E192" i="1"/>
  <c r="F50" i="1"/>
  <c r="AC50" i="1"/>
  <c r="AG50" i="1"/>
  <c r="AK50" i="1"/>
  <c r="AC45" i="1"/>
  <c r="AT51" i="1"/>
  <c r="AD52" i="1"/>
  <c r="AH52" i="1"/>
  <c r="AA57" i="1"/>
  <c r="AQ57" i="1"/>
  <c r="AE61" i="1"/>
  <c r="AU61" i="1"/>
  <c r="W63" i="1"/>
  <c r="AM63" i="1"/>
  <c r="AT68" i="1"/>
  <c r="AS68" i="1" s="1"/>
  <c r="AS65" i="1" s="1"/>
  <c r="AT66" i="1"/>
  <c r="BB68" i="1"/>
  <c r="BB66" i="1"/>
  <c r="AB83" i="1"/>
  <c r="AR83" i="1"/>
  <c r="AQ98" i="1"/>
  <c r="AQ93" i="1" s="1"/>
  <c r="BI109" i="1"/>
  <c r="AU255" i="1"/>
  <c r="E155" i="1"/>
  <c r="E152" i="1"/>
  <c r="AB57" i="1"/>
  <c r="AF57" i="1"/>
  <c r="AJ57" i="1"/>
  <c r="AN57" i="1"/>
  <c r="AR57" i="1"/>
  <c r="AV57" i="1"/>
  <c r="AZ60" i="1"/>
  <c r="AZ68" i="1"/>
  <c r="Y75" i="1"/>
  <c r="Y79" i="1" s="1"/>
  <c r="AC75" i="1"/>
  <c r="AC79" i="1" s="1"/>
  <c r="AC83" i="1" s="1"/>
  <c r="AG75" i="1"/>
  <c r="AG79" i="1" s="1"/>
  <c r="AG83" i="1" s="1"/>
  <c r="AK75" i="1"/>
  <c r="AK79" i="1" s="1"/>
  <c r="AO75" i="1"/>
  <c r="AO79" i="1" s="1"/>
  <c r="AO83" i="1" s="1"/>
  <c r="AS75" i="1"/>
  <c r="AS79" i="1" s="1"/>
  <c r="AS83" i="1" s="1"/>
  <c r="AW75" i="1"/>
  <c r="AW79" i="1" s="1"/>
  <c r="BB87" i="1"/>
  <c r="AU96" i="1"/>
  <c r="AU97" i="1" s="1"/>
  <c r="BE97" i="1"/>
  <c r="BE98" i="1"/>
  <c r="BB109" i="1"/>
  <c r="BD119" i="1"/>
  <c r="BD124" i="1" s="1"/>
  <c r="O140" i="1"/>
  <c r="BA131" i="1"/>
  <c r="AL175" i="1"/>
  <c r="AL177" i="1" s="1"/>
  <c r="F167" i="1"/>
  <c r="AH318" i="1"/>
  <c r="AH316" i="1"/>
  <c r="AH310" i="1"/>
  <c r="AH311" i="1" s="1"/>
  <c r="AH177" i="1"/>
  <c r="AH176" i="1"/>
  <c r="AH181" i="1"/>
  <c r="AL318" i="1"/>
  <c r="AL310" i="1"/>
  <c r="AL311" i="1" s="1"/>
  <c r="AL181" i="1"/>
  <c r="AP318" i="1"/>
  <c r="AP310" i="1"/>
  <c r="AP311" i="1" s="1"/>
  <c r="AP181" i="1"/>
  <c r="AT318" i="1"/>
  <c r="AT310" i="1"/>
  <c r="AT311" i="1" s="1"/>
  <c r="AT177" i="1"/>
  <c r="AT176" i="1"/>
  <c r="AT181" i="1"/>
  <c r="AX316" i="1"/>
  <c r="AX310" i="1"/>
  <c r="AX311" i="1" s="1"/>
  <c r="AX192" i="1"/>
  <c r="AX177" i="1"/>
  <c r="AX176" i="1"/>
  <c r="AX181" i="1"/>
  <c r="W187" i="1"/>
  <c r="S186" i="1"/>
  <c r="AC190" i="1"/>
  <c r="AC191" i="1" s="1"/>
  <c r="AC185" i="1"/>
  <c r="AG190" i="1"/>
  <c r="AG191" i="1" s="1"/>
  <c r="AG185" i="1"/>
  <c r="AK190" i="1"/>
  <c r="AK191" i="1" s="1"/>
  <c r="AK185" i="1"/>
  <c r="AO190" i="1"/>
  <c r="AO191" i="1" s="1"/>
  <c r="AO185" i="1"/>
  <c r="AS190" i="1"/>
  <c r="AS191" i="1" s="1"/>
  <c r="AS185" i="1"/>
  <c r="AW190" i="1"/>
  <c r="AW191" i="1" s="1"/>
  <c r="AW185" i="1"/>
  <c r="AB190" i="1"/>
  <c r="AB191" i="1" s="1"/>
  <c r="AB185" i="1"/>
  <c r="G192" i="1"/>
  <c r="AI192" i="1"/>
  <c r="AM192" i="1"/>
  <c r="AR192" i="1"/>
  <c r="BA149" i="1"/>
  <c r="BA175" i="1"/>
  <c r="BA155" i="1"/>
  <c r="BA152" i="1"/>
  <c r="AU45" i="1"/>
  <c r="C57" i="1"/>
  <c r="C62" i="1" s="1"/>
  <c r="G57" i="1"/>
  <c r="G62" i="1" s="1"/>
  <c r="AC57" i="1"/>
  <c r="AG57" i="1"/>
  <c r="AK57" i="1"/>
  <c r="AO57" i="1"/>
  <c r="AS57" i="1"/>
  <c r="AW57" i="1"/>
  <c r="E60" i="1"/>
  <c r="BI71" i="1"/>
  <c r="AD73" i="1"/>
  <c r="AD77" i="1" s="1"/>
  <c r="AD81" i="1" s="1"/>
  <c r="AH73" i="1"/>
  <c r="AH77" i="1" s="1"/>
  <c r="AH81" i="1" s="1"/>
  <c r="AL73" i="1"/>
  <c r="AL77" i="1" s="1"/>
  <c r="AP73" i="1"/>
  <c r="AP77" i="1" s="1"/>
  <c r="AP81" i="1" s="1"/>
  <c r="AT73" i="1"/>
  <c r="AT77" i="1" s="1"/>
  <c r="AX73" i="1"/>
  <c r="AX77" i="1" s="1"/>
  <c r="AX81" i="1" s="1"/>
  <c r="AD75" i="1"/>
  <c r="AD79" i="1" s="1"/>
  <c r="AH75" i="1"/>
  <c r="AH79" i="1" s="1"/>
  <c r="AL75" i="1"/>
  <c r="AL79" i="1" s="1"/>
  <c r="AL83" i="1" s="1"/>
  <c r="AP75" i="1"/>
  <c r="AP79" i="1" s="1"/>
  <c r="AT75" i="1"/>
  <c r="AT79" i="1" s="1"/>
  <c r="G78" i="1"/>
  <c r="G82" i="1" s="1"/>
  <c r="AR96" i="1"/>
  <c r="AV96" i="1"/>
  <c r="BB99" i="1"/>
  <c r="AZ105" i="1"/>
  <c r="BB120" i="1"/>
  <c r="BB123" i="1" s="1"/>
  <c r="BB127" i="1" s="1"/>
  <c r="AY143" i="1"/>
  <c r="AZ134" i="1"/>
  <c r="BA139" i="1"/>
  <c r="BB139" i="1" s="1"/>
  <c r="BC139" i="1" s="1"/>
  <c r="BD139" i="1" s="1"/>
  <c r="BE139" i="1" s="1"/>
  <c r="BF139" i="1" s="1"/>
  <c r="BG139" i="1" s="1"/>
  <c r="BH139" i="1" s="1"/>
  <c r="BI139" i="1" s="1"/>
  <c r="BJ139" i="1" s="1"/>
  <c r="AA373" i="1"/>
  <c r="AA316" i="1"/>
  <c r="AA318" i="1"/>
  <c r="AA310" i="1"/>
  <c r="AA311" i="1" s="1"/>
  <c r="AA192" i="1"/>
  <c r="AA181" i="1"/>
  <c r="AA189" i="1"/>
  <c r="AA177" i="1"/>
  <c r="AA176" i="1"/>
  <c r="AA178" i="1" s="1"/>
  <c r="AE402" i="1"/>
  <c r="AE373" i="1"/>
  <c r="AE318" i="1"/>
  <c r="AE310" i="1"/>
  <c r="AE311" i="1" s="1"/>
  <c r="AE316" i="1"/>
  <c r="AE192" i="1"/>
  <c r="AE181" i="1"/>
  <c r="AE177" i="1"/>
  <c r="AE176" i="1"/>
  <c r="AI402" i="1"/>
  <c r="AI373" i="1"/>
  <c r="AI316" i="1"/>
  <c r="AI318" i="1"/>
  <c r="AI310" i="1"/>
  <c r="AI311" i="1" s="1"/>
  <c r="AI189" i="1"/>
  <c r="AI181" i="1"/>
  <c r="AI177" i="1"/>
  <c r="AI176" i="1"/>
  <c r="AM318" i="1"/>
  <c r="AM373" i="1"/>
  <c r="AM316" i="1"/>
  <c r="AM310" i="1"/>
  <c r="AM311" i="1" s="1"/>
  <c r="AM189" i="1"/>
  <c r="AM181" i="1"/>
  <c r="AM177" i="1"/>
  <c r="AM176" i="1"/>
  <c r="AQ373" i="1"/>
  <c r="AQ318" i="1"/>
  <c r="AQ310" i="1"/>
  <c r="AQ311" i="1" s="1"/>
  <c r="AQ181" i="1"/>
  <c r="AQ189" i="1"/>
  <c r="AQ177" i="1"/>
  <c r="AQ176" i="1"/>
  <c r="AU373" i="1"/>
  <c r="AU317" i="1"/>
  <c r="AU310" i="1"/>
  <c r="AU311" i="1" s="1"/>
  <c r="AU192" i="1"/>
  <c r="AU181" i="1"/>
  <c r="AU177" i="1"/>
  <c r="AU176" i="1"/>
  <c r="W186" i="1"/>
  <c r="S187" i="1"/>
  <c r="T413" i="1"/>
  <c r="T185" i="1"/>
  <c r="T190" i="1"/>
  <c r="T191" i="1" s="1"/>
  <c r="X185" i="1"/>
  <c r="X190" i="1"/>
  <c r="X191" i="1" s="1"/>
  <c r="AD185" i="1"/>
  <c r="AD190" i="1"/>
  <c r="AD191" i="1" s="1"/>
  <c r="AH190" i="1"/>
  <c r="AH191" i="1" s="1"/>
  <c r="AH185" i="1"/>
  <c r="AL185" i="1"/>
  <c r="AL190" i="1"/>
  <c r="AL191" i="1" s="1"/>
  <c r="AP185" i="1"/>
  <c r="AP190" i="1"/>
  <c r="AP191" i="1" s="1"/>
  <c r="AT185" i="1"/>
  <c r="AT190" i="1"/>
  <c r="AT191" i="1" s="1"/>
  <c r="S20" i="1"/>
  <c r="AJ192" i="1"/>
  <c r="AN192" i="1"/>
  <c r="AS192" i="1"/>
  <c r="T23" i="1"/>
  <c r="X23" i="1"/>
  <c r="AB23" i="1"/>
  <c r="AS23" i="1"/>
  <c r="AW23" i="1"/>
  <c r="AP194" i="1"/>
  <c r="AP222" i="1"/>
  <c r="AP371" i="1" s="1"/>
  <c r="AZ240" i="1"/>
  <c r="AZ419" i="1" s="1"/>
  <c r="F49" i="1"/>
  <c r="AD57" i="1"/>
  <c r="AH57" i="1"/>
  <c r="AL57" i="1"/>
  <c r="AP57" i="1"/>
  <c r="AT57" i="1"/>
  <c r="AX57" i="1"/>
  <c r="BD87" i="1"/>
  <c r="BD86" i="1" s="1"/>
  <c r="BA133" i="1"/>
  <c r="BB133" i="1" s="1"/>
  <c r="BC133" i="1" s="1"/>
  <c r="BD133" i="1" s="1"/>
  <c r="BE133" i="1" s="1"/>
  <c r="BF133" i="1" s="1"/>
  <c r="BG133" i="1" s="1"/>
  <c r="BH133" i="1" s="1"/>
  <c r="BI133" i="1" s="1"/>
  <c r="BJ133" i="1" s="1"/>
  <c r="F154" i="1"/>
  <c r="F155" i="1"/>
  <c r="BF160" i="1"/>
  <c r="AB167" i="1"/>
  <c r="BD202" i="1"/>
  <c r="AP97" i="1"/>
  <c r="AP98" i="1" s="1"/>
  <c r="AP118" i="1" s="1"/>
  <c r="AZ137" i="1"/>
  <c r="V151" i="1"/>
  <c r="U151" i="1"/>
  <c r="U152" i="1"/>
  <c r="Z151" i="1"/>
  <c r="Y151" i="1"/>
  <c r="Y152" i="1"/>
  <c r="AD151" i="1"/>
  <c r="AC151" i="1"/>
  <c r="AC152" i="1"/>
  <c r="AH151" i="1"/>
  <c r="AG151" i="1"/>
  <c r="AG152" i="1"/>
  <c r="AL151" i="1"/>
  <c r="AK151" i="1"/>
  <c r="AK152" i="1"/>
  <c r="AP151" i="1"/>
  <c r="AO151" i="1"/>
  <c r="AO152" i="1"/>
  <c r="AT151" i="1"/>
  <c r="AS151" i="1"/>
  <c r="AS152" i="1"/>
  <c r="AX151" i="1"/>
  <c r="AW151" i="1"/>
  <c r="AW152" i="1"/>
  <c r="BB151" i="1"/>
  <c r="BA151" i="1"/>
  <c r="BF151" i="1"/>
  <c r="BE151" i="1"/>
  <c r="BJ151" i="1"/>
  <c r="BI151" i="1"/>
  <c r="AC167" i="1"/>
  <c r="T151" i="1"/>
  <c r="X151" i="1"/>
  <c r="AB151" i="1"/>
  <c r="AF151" i="1"/>
  <c r="AJ151" i="1"/>
  <c r="AN151" i="1"/>
  <c r="AR151" i="1"/>
  <c r="AV151" i="1"/>
  <c r="AZ151" i="1"/>
  <c r="W154" i="1"/>
  <c r="AA154" i="1"/>
  <c r="AE154" i="1"/>
  <c r="AI154" i="1"/>
  <c r="AM154" i="1"/>
  <c r="AQ154" i="1"/>
  <c r="AU154" i="1"/>
  <c r="T155" i="1"/>
  <c r="X155" i="1"/>
  <c r="AB155" i="1"/>
  <c r="AF155" i="1"/>
  <c r="AJ155" i="1"/>
  <c r="AN155" i="1"/>
  <c r="AR155" i="1"/>
  <c r="AV155" i="1"/>
  <c r="AZ155" i="1"/>
  <c r="AM159" i="1"/>
  <c r="AQ159" i="1"/>
  <c r="AY159" i="1"/>
  <c r="AY160" i="1"/>
  <c r="G164" i="1"/>
  <c r="AZ162" i="1"/>
  <c r="AZ163" i="1"/>
  <c r="AB164" i="1"/>
  <c r="AF164" i="1"/>
  <c r="AJ164" i="1"/>
  <c r="AN164" i="1"/>
  <c r="AR164" i="1"/>
  <c r="AV164" i="1"/>
  <c r="AY175" i="1"/>
  <c r="AO209" i="1"/>
  <c r="AB372" i="1"/>
  <c r="AB379" i="1"/>
  <c r="AF372" i="1"/>
  <c r="AF379" i="1"/>
  <c r="AT372" i="1"/>
  <c r="AT379" i="1"/>
  <c r="AT378" i="1"/>
  <c r="AT377" i="1"/>
  <c r="AY280" i="1"/>
  <c r="AY420" i="1" s="1"/>
  <c r="AZ226" i="1"/>
  <c r="BA226" i="1" s="1"/>
  <c r="BB226" i="1" s="1"/>
  <c r="BC226" i="1" s="1"/>
  <c r="BD226" i="1" s="1"/>
  <c r="BE226" i="1" s="1"/>
  <c r="BF226" i="1" s="1"/>
  <c r="BG226" i="1" s="1"/>
  <c r="BH226" i="1" s="1"/>
  <c r="BI226" i="1" s="1"/>
  <c r="BJ226" i="1" s="1"/>
  <c r="AP229" i="1"/>
  <c r="AR246" i="1"/>
  <c r="AR247" i="1" s="1"/>
  <c r="AX230" i="1"/>
  <c r="AL264" i="1"/>
  <c r="T154" i="1"/>
  <c r="X154" i="1"/>
  <c r="AB154" i="1"/>
  <c r="AF154" i="1"/>
  <c r="AJ154" i="1"/>
  <c r="AN154" i="1"/>
  <c r="AR154" i="1"/>
  <c r="AV154" i="1"/>
  <c r="AZ154" i="1"/>
  <c r="BD154" i="1"/>
  <c r="BH154" i="1"/>
  <c r="AZ159" i="1"/>
  <c r="AZ160" i="1"/>
  <c r="BA162" i="1"/>
  <c r="BA163" i="1"/>
  <c r="AC164" i="1"/>
  <c r="AG164" i="1"/>
  <c r="AK164" i="1"/>
  <c r="AO164" i="1"/>
  <c r="AS164" i="1"/>
  <c r="AW164" i="1"/>
  <c r="AZ175" i="1"/>
  <c r="AC379" i="1"/>
  <c r="AC372" i="1"/>
  <c r="AG379" i="1"/>
  <c r="AG372" i="1"/>
  <c r="AG374" i="1"/>
  <c r="AG305" i="1" s="1"/>
  <c r="AM379" i="1"/>
  <c r="AM374" i="1"/>
  <c r="AM305" i="1" s="1"/>
  <c r="AM372" i="1"/>
  <c r="AQ379" i="1"/>
  <c r="AQ372" i="1"/>
  <c r="AQ374" i="1"/>
  <c r="AQ305" i="1" s="1"/>
  <c r="AU379" i="1"/>
  <c r="AU374" i="1"/>
  <c r="AU305" i="1" s="1"/>
  <c r="AU372" i="1"/>
  <c r="AU377" i="1"/>
  <c r="AU378" i="1"/>
  <c r="AV378" i="1"/>
  <c r="AV372" i="1"/>
  <c r="AV377" i="1"/>
  <c r="AV379" i="1"/>
  <c r="AW375" i="1"/>
  <c r="AW373" i="1"/>
  <c r="AW374" i="1"/>
  <c r="AW305" i="1" s="1"/>
  <c r="AX236" i="1"/>
  <c r="AX237" i="1" s="1"/>
  <c r="AO375" i="1"/>
  <c r="AO374" i="1"/>
  <c r="AO305" i="1" s="1"/>
  <c r="AO373" i="1"/>
  <c r="AP236" i="1"/>
  <c r="AK237" i="1"/>
  <c r="AL235" i="1"/>
  <c r="AM308" i="1"/>
  <c r="AM309" i="1"/>
  <c r="AM264" i="1"/>
  <c r="AQ308" i="1"/>
  <c r="AQ309" i="1"/>
  <c r="AQ264" i="1"/>
  <c r="AM417" i="1"/>
  <c r="AL392" i="1"/>
  <c r="AL393" i="1"/>
  <c r="AL390" i="1"/>
  <c r="AL391" i="1"/>
  <c r="AL327" i="1"/>
  <c r="AL290" i="1"/>
  <c r="AL293" i="1" s="1"/>
  <c r="BD158" i="1"/>
  <c r="AL162" i="1"/>
  <c r="BB162" i="1"/>
  <c r="AL163" i="1"/>
  <c r="BB163" i="1"/>
  <c r="AD164" i="1"/>
  <c r="AH164" i="1"/>
  <c r="AP164" i="1"/>
  <c r="AX164" i="1"/>
  <c r="AC223" i="1"/>
  <c r="AN247" i="1"/>
  <c r="BD274" i="1"/>
  <c r="BE158" i="1"/>
  <c r="AL159" i="1"/>
  <c r="AP159" i="1"/>
  <c r="AL160" i="1"/>
  <c r="AP160" i="1"/>
  <c r="AT160" i="1"/>
  <c r="F164" i="1"/>
  <c r="AY162" i="1"/>
  <c r="AY163" i="1"/>
  <c r="AA164" i="1"/>
  <c r="AE164" i="1"/>
  <c r="AI164" i="1"/>
  <c r="AM164" i="1"/>
  <c r="AQ164" i="1"/>
  <c r="AU164" i="1"/>
  <c r="E205" i="1"/>
  <c r="F205" i="1"/>
  <c r="AY209" i="1"/>
  <c r="AY210" i="1" s="1"/>
  <c r="AY236" i="1" s="1"/>
  <c r="W323" i="1"/>
  <c r="W247" i="1"/>
  <c r="X252" i="1"/>
  <c r="AA379" i="1"/>
  <c r="AA372" i="1"/>
  <c r="AA374" i="1"/>
  <c r="AA305" i="1" s="1"/>
  <c r="AE379" i="1"/>
  <c r="AE374" i="1"/>
  <c r="AE305" i="1" s="1"/>
  <c r="AE372" i="1"/>
  <c r="AI379" i="1"/>
  <c r="AI372" i="1"/>
  <c r="AI374" i="1"/>
  <c r="AI305" i="1" s="1"/>
  <c r="AO372" i="1"/>
  <c r="AO379" i="1"/>
  <c r="AS379" i="1"/>
  <c r="AS372" i="1"/>
  <c r="AX379" i="1"/>
  <c r="AX378" i="1"/>
  <c r="AX377" i="1"/>
  <c r="AX372" i="1"/>
  <c r="E372" i="1"/>
  <c r="AD230" i="1"/>
  <c r="AS235" i="1"/>
  <c r="AW240" i="1"/>
  <c r="AF374" i="1"/>
  <c r="AF305" i="1" s="1"/>
  <c r="AF373" i="1"/>
  <c r="AF375" i="1"/>
  <c r="AH236" i="1"/>
  <c r="AJ374" i="1"/>
  <c r="AJ305" i="1" s="1"/>
  <c r="AJ375" i="1"/>
  <c r="AJ373" i="1"/>
  <c r="AG397" i="1"/>
  <c r="AG323" i="1"/>
  <c r="AG257" i="1"/>
  <c r="AK351" i="1"/>
  <c r="AK323" i="1"/>
  <c r="AK292" i="1"/>
  <c r="AK257" i="1"/>
  <c r="AO397" i="1"/>
  <c r="AO323" i="1"/>
  <c r="AO351" i="1"/>
  <c r="AO292" i="1"/>
  <c r="AO257" i="1"/>
  <c r="W253" i="1"/>
  <c r="W257" i="1" s="1"/>
  <c r="W264" i="1" s="1"/>
  <c r="AG396" i="1"/>
  <c r="AH407" i="1" s="1"/>
  <c r="AG316" i="1"/>
  <c r="AN396" i="1"/>
  <c r="AN316" i="1"/>
  <c r="AR396" i="1"/>
  <c r="AR316" i="1"/>
  <c r="AX258" i="1"/>
  <c r="AA396" i="1"/>
  <c r="AB402" i="1" s="1"/>
  <c r="AE407" i="1"/>
  <c r="AE322" i="1"/>
  <c r="AE324" i="1" s="1"/>
  <c r="AI407" i="1"/>
  <c r="AI322" i="1"/>
  <c r="AE264" i="1"/>
  <c r="X267" i="1"/>
  <c r="AX318" i="1"/>
  <c r="AY318" i="1" s="1"/>
  <c r="AX272" i="1"/>
  <c r="AX278" i="1" s="1"/>
  <c r="AX285" i="1" s="1"/>
  <c r="AF397" i="1"/>
  <c r="AF291" i="1"/>
  <c r="AF308" i="1"/>
  <c r="AV397" i="1"/>
  <c r="AV344" i="1"/>
  <c r="AV291" i="1"/>
  <c r="AB317" i="1"/>
  <c r="AB272" i="1"/>
  <c r="AI317" i="1"/>
  <c r="AM317" i="1"/>
  <c r="AQ317" i="1"/>
  <c r="AV317" i="1"/>
  <c r="X281" i="1"/>
  <c r="AE421" i="1"/>
  <c r="AF421" i="1"/>
  <c r="AE284" i="1"/>
  <c r="AE397" i="1" s="1"/>
  <c r="Z417" i="1"/>
  <c r="Y391" i="1"/>
  <c r="Y390" i="1"/>
  <c r="Y327" i="1"/>
  <c r="Y290" i="1"/>
  <c r="Y293" i="1" s="1"/>
  <c r="Y285" i="1"/>
  <c r="Y286" i="1" s="1"/>
  <c r="AD417" i="1"/>
  <c r="AC393" i="1"/>
  <c r="AC397" i="1"/>
  <c r="AC391" i="1"/>
  <c r="AC392" i="1"/>
  <c r="AC327" i="1"/>
  <c r="AC390" i="1"/>
  <c r="AC290" i="1"/>
  <c r="AC293" i="1" s="1"/>
  <c r="AI417" i="1"/>
  <c r="AH392" i="1"/>
  <c r="AH393" i="1"/>
  <c r="AH390" i="1"/>
  <c r="AH391" i="1"/>
  <c r="AH327" i="1"/>
  <c r="AH285" i="1"/>
  <c r="AH290" i="1"/>
  <c r="AH293" i="1" s="1"/>
  <c r="AG292" i="1"/>
  <c r="AS365" i="1"/>
  <c r="AS295" i="1"/>
  <c r="AS294" i="1"/>
  <c r="Z375" i="1"/>
  <c r="Z373" i="1"/>
  <c r="Z374" i="1"/>
  <c r="Z305" i="1" s="1"/>
  <c r="AK374" i="1"/>
  <c r="AK305" i="1" s="1"/>
  <c r="AK373" i="1"/>
  <c r="AK375" i="1"/>
  <c r="AU246" i="1"/>
  <c r="AU247" i="1" s="1"/>
  <c r="AH397" i="1"/>
  <c r="AH323" i="1"/>
  <c r="AH292" i="1"/>
  <c r="AL397" i="1"/>
  <c r="AL351" i="1"/>
  <c r="AL323" i="1"/>
  <c r="AL292" i="1"/>
  <c r="AP397" i="1"/>
  <c r="AP351" i="1"/>
  <c r="AP323" i="1"/>
  <c r="AP292" i="1"/>
  <c r="Y316" i="1"/>
  <c r="AJ396" i="1"/>
  <c r="AJ402" i="1" s="1"/>
  <c r="AJ316" i="1"/>
  <c r="AO396" i="1"/>
  <c r="AO316" i="1"/>
  <c r="AS396" i="1"/>
  <c r="AS316" i="1"/>
  <c r="AS257" i="1"/>
  <c r="AH257" i="1"/>
  <c r="AR309" i="1"/>
  <c r="AR308" i="1"/>
  <c r="AA377" i="1"/>
  <c r="AB322" i="1"/>
  <c r="AB324" i="1" s="1"/>
  <c r="AW322" i="1"/>
  <c r="AW324" i="1" s="1"/>
  <c r="AY328" i="1"/>
  <c r="AZ267" i="1"/>
  <c r="AZ271" i="1"/>
  <c r="AZ279" i="1"/>
  <c r="AY421" i="1"/>
  <c r="AZ283" i="1"/>
  <c r="AG317" i="1"/>
  <c r="AJ317" i="1"/>
  <c r="AN317" i="1"/>
  <c r="AR317" i="1"/>
  <c r="AW317" i="1"/>
  <c r="AU345" i="1"/>
  <c r="AU291" i="1"/>
  <c r="W420" i="1"/>
  <c r="X279" i="1"/>
  <c r="AL420" i="1"/>
  <c r="AT420" i="1"/>
  <c r="AT284" i="1"/>
  <c r="AT397" i="1" s="1"/>
  <c r="Z290" i="1"/>
  <c r="AW417" i="1"/>
  <c r="AV390" i="1"/>
  <c r="AV393" i="1"/>
  <c r="AV392" i="1"/>
  <c r="AV391" i="1"/>
  <c r="AV327" i="1"/>
  <c r="AV290" i="1"/>
  <c r="AV285" i="1"/>
  <c r="AC297" i="1"/>
  <c r="AC295" i="1"/>
  <c r="BB313" i="1"/>
  <c r="BA312" i="1"/>
  <c r="Z372" i="1"/>
  <c r="Z377" i="1"/>
  <c r="Z378" i="1"/>
  <c r="AK372" i="1"/>
  <c r="AK379" i="1"/>
  <c r="AR374" i="1"/>
  <c r="AR305" i="1" s="1"/>
  <c r="AR375" i="1"/>
  <c r="AR373" i="1"/>
  <c r="AW237" i="1"/>
  <c r="AB374" i="1"/>
  <c r="AB305" i="1" s="1"/>
  <c r="AB375" i="1"/>
  <c r="AB373" i="1"/>
  <c r="AL236" i="1"/>
  <c r="AL240" i="1"/>
  <c r="AL419" i="1" s="1"/>
  <c r="AJ244" i="1"/>
  <c r="AI351" i="1"/>
  <c r="AI397" i="1"/>
  <c r="AI323" i="1"/>
  <c r="AM351" i="1"/>
  <c r="AM323" i="1"/>
  <c r="AQ351" i="1"/>
  <c r="AQ323" i="1"/>
  <c r="AZ256" i="1"/>
  <c r="Y308" i="1"/>
  <c r="Y309" i="1"/>
  <c r="AC309" i="1"/>
  <c r="AC308" i="1"/>
  <c r="AI257" i="1"/>
  <c r="AT309" i="1"/>
  <c r="AT264" i="1"/>
  <c r="AR264" i="1"/>
  <c r="AY329" i="1"/>
  <c r="AZ276" i="1"/>
  <c r="AV318" i="1"/>
  <c r="AT344" i="1"/>
  <c r="AT291" i="1"/>
  <c r="AT272" i="1"/>
  <c r="AT278" i="1" s="1"/>
  <c r="Z317" i="1"/>
  <c r="AD317" i="1"/>
  <c r="Z272" i="1"/>
  <c r="AF317" i="1"/>
  <c r="Y292" i="1"/>
  <c r="AM420" i="1"/>
  <c r="AM284" i="1"/>
  <c r="AM397" i="1" s="1"/>
  <c r="AQ420" i="1"/>
  <c r="AQ284" i="1"/>
  <c r="AQ397" i="1" s="1"/>
  <c r="AU420" i="1"/>
  <c r="AU284" i="1"/>
  <c r="AU397" i="1" s="1"/>
  <c r="AQ417" i="1"/>
  <c r="AP392" i="1"/>
  <c r="AP391" i="1"/>
  <c r="AP390" i="1"/>
  <c r="AP393" i="1"/>
  <c r="AP327" i="1"/>
  <c r="AP290" i="1"/>
  <c r="AP293" i="1" s="1"/>
  <c r="AX417" i="1"/>
  <c r="AW393" i="1"/>
  <c r="AW392" i="1"/>
  <c r="AW390" i="1"/>
  <c r="AW327" i="1"/>
  <c r="AW391" i="1"/>
  <c r="AW285" i="1"/>
  <c r="AW286" i="1" s="1"/>
  <c r="AD372" i="1"/>
  <c r="AD379" i="1"/>
  <c r="AH379" i="1"/>
  <c r="AH372" i="1"/>
  <c r="AN372" i="1"/>
  <c r="AN379" i="1"/>
  <c r="AR372" i="1"/>
  <c r="AR379" i="1"/>
  <c r="AW377" i="1"/>
  <c r="AW379" i="1"/>
  <c r="AW378" i="1"/>
  <c r="AW372" i="1"/>
  <c r="AJ372" i="1"/>
  <c r="AJ379" i="1"/>
  <c r="AL379" i="1"/>
  <c r="AL372" i="1"/>
  <c r="Z227" i="1"/>
  <c r="H227" i="1" s="1"/>
  <c r="AS236" i="1"/>
  <c r="AV374" i="1"/>
  <c r="AV305" i="1" s="1"/>
  <c r="AV373" i="1"/>
  <c r="AV375" i="1"/>
  <c r="AN374" i="1"/>
  <c r="AN305" i="1" s="1"/>
  <c r="AN373" i="1"/>
  <c r="AN375" i="1"/>
  <c r="AC236" i="1"/>
  <c r="E373" i="1"/>
  <c r="E375" i="1"/>
  <c r="E374" i="1"/>
  <c r="E305" i="1" s="1"/>
  <c r="AS240" i="1"/>
  <c r="AI247" i="1"/>
  <c r="AM247" i="1"/>
  <c r="AQ247" i="1"/>
  <c r="Y397" i="1"/>
  <c r="Y323" i="1"/>
  <c r="AJ397" i="1"/>
  <c r="AJ351" i="1"/>
  <c r="AJ323" i="1"/>
  <c r="AN351" i="1"/>
  <c r="AN323" i="1"/>
  <c r="V396" i="1"/>
  <c r="AF396" i="1"/>
  <c r="AF402" i="1" s="1"/>
  <c r="AF316" i="1"/>
  <c r="AL396" i="1"/>
  <c r="AL316" i="1"/>
  <c r="AQ396" i="1"/>
  <c r="AR402" i="1" s="1"/>
  <c r="AQ316" i="1"/>
  <c r="AU316" i="1"/>
  <c r="Z264" i="1"/>
  <c r="AD308" i="1"/>
  <c r="AD309" i="1"/>
  <c r="AD264" i="1"/>
  <c r="AJ257" i="1"/>
  <c r="AP257" i="1"/>
  <c r="AX309" i="1"/>
  <c r="AX264" i="1"/>
  <c r="Z379" i="1"/>
  <c r="AD407" i="1"/>
  <c r="AD322" i="1"/>
  <c r="AD324" i="1" s="1"/>
  <c r="AH322" i="1"/>
  <c r="AC264" i="1"/>
  <c r="AC286" i="1" s="1"/>
  <c r="AN264" i="1"/>
  <c r="AW318" i="1"/>
  <c r="AU344" i="1"/>
  <c r="W271" i="1"/>
  <c r="X271" i="1" s="1"/>
  <c r="AA317" i="1"/>
  <c r="AA272" i="1"/>
  <c r="AA278" i="1" s="1"/>
  <c r="AA285" i="1" s="1"/>
  <c r="AA286" i="1" s="1"/>
  <c r="AH317" i="1"/>
  <c r="AL317" i="1"/>
  <c r="AL272" i="1"/>
  <c r="AL278" i="1" s="1"/>
  <c r="AL285" i="1" s="1"/>
  <c r="AP317" i="1"/>
  <c r="AP272" i="1"/>
  <c r="AP278" i="1" s="1"/>
  <c r="AP285" i="1" s="1"/>
  <c r="AT317" i="1"/>
  <c r="AN272" i="1"/>
  <c r="AN278" i="1" s="1"/>
  <c r="V397" i="1"/>
  <c r="V291" i="1"/>
  <c r="Z397" i="1"/>
  <c r="Z291" i="1"/>
  <c r="AE272" i="1"/>
  <c r="AE278" i="1" s="1"/>
  <c r="AW345" i="1"/>
  <c r="AW291" i="1"/>
  <c r="AW420" i="1"/>
  <c r="AX420" i="1"/>
  <c r="AN420" i="1"/>
  <c r="AN284" i="1"/>
  <c r="AR420" i="1"/>
  <c r="AV420" i="1"/>
  <c r="AC417" i="1"/>
  <c r="AB390" i="1"/>
  <c r="AB392" i="1"/>
  <c r="AB397" i="1"/>
  <c r="AB393" i="1"/>
  <c r="AB391" i="1"/>
  <c r="AB327" i="1"/>
  <c r="AB290" i="1"/>
  <c r="AB293" i="1" s="1"/>
  <c r="AH417" i="1"/>
  <c r="AG393" i="1"/>
  <c r="AG391" i="1"/>
  <c r="AG390" i="1"/>
  <c r="AG327" i="1"/>
  <c r="AG392" i="1"/>
  <c r="AK284" i="1"/>
  <c r="AK397" i="1" s="1"/>
  <c r="AR284" i="1"/>
  <c r="AG290" i="1"/>
  <c r="AG293" i="1" s="1"/>
  <c r="AA293" i="1"/>
  <c r="AA292" i="1"/>
  <c r="AE291" i="1"/>
  <c r="Y396" i="1"/>
  <c r="Z396" i="1"/>
  <c r="Z316" i="1"/>
  <c r="AK396" i="1"/>
  <c r="AK316" i="1"/>
  <c r="AP396" i="1"/>
  <c r="AP316" i="1"/>
  <c r="AT396" i="1"/>
  <c r="AT316" i="1"/>
  <c r="AW308" i="1"/>
  <c r="AW309" i="1"/>
  <c r="AA378" i="1"/>
  <c r="AM396" i="1"/>
  <c r="AC407" i="1"/>
  <c r="AC322" i="1"/>
  <c r="AC324" i="1" s="1"/>
  <c r="AX396" i="1"/>
  <c r="AX402" i="1" s="1"/>
  <c r="AU318" i="1"/>
  <c r="AW397" i="1"/>
  <c r="AW344" i="1"/>
  <c r="AC317" i="1"/>
  <c r="AK317" i="1"/>
  <c r="AS317" i="1"/>
  <c r="AX317" i="1"/>
  <c r="AE317" i="1"/>
  <c r="AC421" i="1"/>
  <c r="W417" i="1"/>
  <c r="V327" i="1"/>
  <c r="V285" i="1"/>
  <c r="V286" i="1" s="1"/>
  <c r="W284" i="1"/>
  <c r="AG417" i="1"/>
  <c r="AF390" i="1"/>
  <c r="AF393" i="1"/>
  <c r="AF392" i="1"/>
  <c r="AF391" i="1"/>
  <c r="AF327" i="1"/>
  <c r="AF290" i="1"/>
  <c r="AK417" i="1"/>
  <c r="AJ390" i="1"/>
  <c r="AJ391" i="1"/>
  <c r="AJ393" i="1"/>
  <c r="AJ392" i="1"/>
  <c r="AJ327" i="1"/>
  <c r="AJ290" i="1"/>
  <c r="AJ293" i="1" s="1"/>
  <c r="AP417" i="1"/>
  <c r="AO393" i="1"/>
  <c r="AO392" i="1"/>
  <c r="AO390" i="1"/>
  <c r="AO327" i="1"/>
  <c r="AO391" i="1"/>
  <c r="AF285" i="1"/>
  <c r="AF286" i="1" s="1"/>
  <c r="AM292" i="1"/>
  <c r="V290" i="1"/>
  <c r="AD297" i="1"/>
  <c r="AD295" i="1"/>
  <c r="AI292" i="1"/>
  <c r="AI293" i="1"/>
  <c r="AV342" i="1"/>
  <c r="AV331" i="1"/>
  <c r="AV356" i="1"/>
  <c r="AB292" i="1"/>
  <c r="AJ292" i="1"/>
  <c r="AN292" i="1"/>
  <c r="AR292" i="1"/>
  <c r="AB308" i="1"/>
  <c r="BA337" i="1"/>
  <c r="BB337" i="1" s="1"/>
  <c r="BC337" i="1" s="1"/>
  <c r="BD337" i="1" s="1"/>
  <c r="BE337" i="1" s="1"/>
  <c r="BF337" i="1" s="1"/>
  <c r="BG337" i="1" s="1"/>
  <c r="BH337" i="1" s="1"/>
  <c r="BI337" i="1" s="1"/>
  <c r="BJ337" i="1" s="1"/>
  <c r="AZ340" i="1"/>
  <c r="AU421" i="1"/>
  <c r="AV421" i="1"/>
  <c r="AA417" i="1"/>
  <c r="Z392" i="1"/>
  <c r="Z391" i="1"/>
  <c r="H391" i="1" s="1"/>
  <c r="Z390" i="1"/>
  <c r="H390" i="1" s="1"/>
  <c r="Z393" i="1"/>
  <c r="Z327" i="1"/>
  <c r="H327" i="1" s="1"/>
  <c r="AE417" i="1"/>
  <c r="AD397" i="1"/>
  <c r="AD392" i="1"/>
  <c r="AD390" i="1"/>
  <c r="AD393" i="1"/>
  <c r="AD391" i="1"/>
  <c r="AD327" i="1"/>
  <c r="AD285" i="1"/>
  <c r="AT417" i="1"/>
  <c r="AS393" i="1"/>
  <c r="AS390" i="1"/>
  <c r="AS392" i="1"/>
  <c r="AS397" i="1"/>
  <c r="AS391" i="1"/>
  <c r="AS327" i="1"/>
  <c r="AX397" i="1"/>
  <c r="AX392" i="1"/>
  <c r="AX391" i="1"/>
  <c r="AX393" i="1"/>
  <c r="AX390" i="1"/>
  <c r="AX327" i="1"/>
  <c r="AD290" i="1"/>
  <c r="AD293" i="1" s="1"/>
  <c r="AX293" i="1"/>
  <c r="AQ292" i="1"/>
  <c r="AU342" i="1"/>
  <c r="AU331" i="1"/>
  <c r="AQ342" i="1"/>
  <c r="AQ331" i="1"/>
  <c r="AQ356" i="1"/>
  <c r="AO420" i="1"/>
  <c r="AS420" i="1"/>
  <c r="AD421" i="1"/>
  <c r="AB417" i="1"/>
  <c r="AA391" i="1"/>
  <c r="AA393" i="1"/>
  <c r="AA392" i="1"/>
  <c r="AA390" i="1"/>
  <c r="AJ417" i="1"/>
  <c r="AI391" i="1"/>
  <c r="AI392" i="1"/>
  <c r="AI393" i="1"/>
  <c r="AZ315" i="1"/>
  <c r="AB331" i="1"/>
  <c r="AM331" i="1"/>
  <c r="AR331" i="1"/>
  <c r="AT340" i="1"/>
  <c r="AC356" i="1"/>
  <c r="AC342" i="1"/>
  <c r="AC358" i="1" s="1"/>
  <c r="AC331" i="1"/>
  <c r="AG342" i="1"/>
  <c r="AG331" i="1"/>
  <c r="AK340" i="1"/>
  <c r="AB342" i="1"/>
  <c r="AB358" i="1" s="1"/>
  <c r="AM342" i="1"/>
  <c r="AR342" i="1"/>
  <c r="AR358" i="1" s="1"/>
  <c r="BB347" i="1"/>
  <c r="AF356" i="1"/>
  <c r="AY385" i="1"/>
  <c r="AI327" i="1"/>
  <c r="AI331" i="1"/>
  <c r="AN331" i="1"/>
  <c r="AZ354" i="1"/>
  <c r="AY354" i="1"/>
  <c r="AY340" i="1"/>
  <c r="AW342" i="1"/>
  <c r="AW331" i="1"/>
  <c r="AI342" i="1"/>
  <c r="AI358" i="1" s="1"/>
  <c r="AN342" i="1"/>
  <c r="AK354" i="1"/>
  <c r="AA356" i="1"/>
  <c r="AG356" i="1"/>
  <c r="BA340" i="1"/>
  <c r="AX356" i="1"/>
  <c r="AX342" i="1"/>
  <c r="AX358" i="1" s="1"/>
  <c r="AS356" i="1"/>
  <c r="AS342" i="1"/>
  <c r="AS331" i="1"/>
  <c r="AE342" i="1"/>
  <c r="AE358" i="1" s="1"/>
  <c r="AP342" i="1"/>
  <c r="BA354" i="1"/>
  <c r="AW356" i="1"/>
  <c r="AI390" i="1"/>
  <c r="AA327" i="1"/>
  <c r="AA331" i="1"/>
  <c r="BB335" i="1"/>
  <c r="AJ340" i="1"/>
  <c r="AO342" i="1"/>
  <c r="AO331" i="1"/>
  <c r="Y372" i="1"/>
  <c r="AD356" i="1"/>
  <c r="AH356" i="1"/>
  <c r="AL340" i="1"/>
  <c r="AM356" i="1" s="1"/>
  <c r="Y374" i="1"/>
  <c r="Y305" i="1" s="1"/>
  <c r="AZ384" i="1"/>
  <c r="AZ382" i="1" s="1"/>
  <c r="AZ383" i="1" s="1"/>
  <c r="F372" i="1"/>
  <c r="Y83" i="1" l="1"/>
  <c r="AC189" i="1"/>
  <c r="AO81" i="1"/>
  <c r="AI98" i="1"/>
  <c r="AI118" i="1" s="1"/>
  <c r="AI120" i="1" s="1"/>
  <c r="AI123" i="1" s="1"/>
  <c r="Z20" i="1"/>
  <c r="I43" i="1"/>
  <c r="AK200" i="1"/>
  <c r="AT166" i="1"/>
  <c r="AX297" i="1"/>
  <c r="AA258" i="1"/>
  <c r="AB377" i="1" s="1"/>
  <c r="BB311" i="1"/>
  <c r="AC330" i="1"/>
  <c r="AC259" i="1"/>
  <c r="AC378" i="1"/>
  <c r="AK83" i="1"/>
  <c r="AY74" i="1"/>
  <c r="AY78" i="1" s="1"/>
  <c r="AX167" i="1"/>
  <c r="BA315" i="1"/>
  <c r="AB378" i="1"/>
  <c r="X421" i="1"/>
  <c r="AT164" i="1"/>
  <c r="AX168" i="1" s="1"/>
  <c r="W191" i="1"/>
  <c r="I11" i="1"/>
  <c r="I186" i="1" s="1"/>
  <c r="AA358" i="1"/>
  <c r="AC81" i="1"/>
  <c r="BC275" i="1"/>
  <c r="BB224" i="1"/>
  <c r="BC160" i="1"/>
  <c r="BC159" i="1"/>
  <c r="AX75" i="1"/>
  <c r="AX79" i="1" s="1"/>
  <c r="AX68" i="1"/>
  <c r="AX308" i="1"/>
  <c r="AB407" i="1"/>
  <c r="P136" i="1"/>
  <c r="M138" i="1"/>
  <c r="M142" i="1"/>
  <c r="M143" i="1"/>
  <c r="O142" i="1"/>
  <c r="N132" i="1"/>
  <c r="N137" i="1"/>
  <c r="O141" i="1"/>
  <c r="N140" i="1"/>
  <c r="M134" i="1"/>
  <c r="AK296" i="1"/>
  <c r="AW119" i="1"/>
  <c r="AW124" i="1" s="1"/>
  <c r="BC175" i="1"/>
  <c r="M133" i="1"/>
  <c r="AK119" i="1"/>
  <c r="AK124" i="1" s="1"/>
  <c r="AK98" i="1"/>
  <c r="AW81" i="1"/>
  <c r="AP235" i="1"/>
  <c r="AP237" i="1" s="1"/>
  <c r="AO237" i="1"/>
  <c r="AO246" i="1" s="1"/>
  <c r="AO247" i="1" s="1"/>
  <c r="AM119" i="1"/>
  <c r="AM124" i="1" s="1"/>
  <c r="AM98" i="1"/>
  <c r="AM118" i="1" s="1"/>
  <c r="AB278" i="1"/>
  <c r="AB285" i="1" s="1"/>
  <c r="AB286" i="1" s="1"/>
  <c r="AB309" i="1"/>
  <c r="AX295" i="1"/>
  <c r="AX294" i="1"/>
  <c r="AA167" i="1"/>
  <c r="AX365" i="1"/>
  <c r="Z278" i="1"/>
  <c r="Z285" i="1" s="1"/>
  <c r="Z309" i="1"/>
  <c r="AS402" i="1"/>
  <c r="BG158" i="1"/>
  <c r="BG160" i="1" s="1"/>
  <c r="AT98" i="1"/>
  <c r="AT118" i="1" s="1"/>
  <c r="AT120" i="1" s="1"/>
  <c r="AT123" i="1" s="1"/>
  <c r="O133" i="1"/>
  <c r="AX70" i="1"/>
  <c r="O138" i="1"/>
  <c r="AE191" i="1"/>
  <c r="AE189" i="1"/>
  <c r="AN93" i="1"/>
  <c r="AN118" i="1"/>
  <c r="AN120" i="1" s="1"/>
  <c r="AN123" i="1" s="1"/>
  <c r="AW98" i="1"/>
  <c r="AW118" i="1" s="1"/>
  <c r="AX191" i="1"/>
  <c r="AX189" i="1"/>
  <c r="AZ349" i="1"/>
  <c r="BA348" i="1"/>
  <c r="AS97" i="1"/>
  <c r="AS119" i="1" s="1"/>
  <c r="AS124" i="1" s="1"/>
  <c r="AU115" i="1"/>
  <c r="AU79" i="1"/>
  <c r="AH51" i="1"/>
  <c r="I215" i="1"/>
  <c r="AQ402" i="1"/>
  <c r="AA402" i="1"/>
  <c r="AJ246" i="1"/>
  <c r="AJ247" i="1" s="1"/>
  <c r="AU189" i="1"/>
  <c r="AH83" i="1"/>
  <c r="AP176" i="1"/>
  <c r="AO120" i="1"/>
  <c r="AO123" i="1" s="1"/>
  <c r="H355" i="1"/>
  <c r="I21" i="1"/>
  <c r="U58" i="1"/>
  <c r="I225" i="1"/>
  <c r="AK25" i="1"/>
  <c r="AX28" i="1"/>
  <c r="AX197" i="1" s="1"/>
  <c r="AU178" i="1"/>
  <c r="AQ178" i="1"/>
  <c r="AL81" i="1"/>
  <c r="AL189" i="1"/>
  <c r="AH178" i="1"/>
  <c r="AD178" i="1"/>
  <c r="H357" i="1"/>
  <c r="I26" i="1"/>
  <c r="AV178" i="1"/>
  <c r="G420" i="1"/>
  <c r="U186" i="1"/>
  <c r="AX195" i="1"/>
  <c r="AX119" i="1"/>
  <c r="AX124" i="1" s="1"/>
  <c r="AX98" i="1"/>
  <c r="AX118" i="1" s="1"/>
  <c r="AD294" i="1"/>
  <c r="AD330" i="1"/>
  <c r="AD332" i="1" s="1"/>
  <c r="I332" i="1" s="1"/>
  <c r="AT402" i="1"/>
  <c r="W272" i="1"/>
  <c r="AE309" i="1"/>
  <c r="AM168" i="1"/>
  <c r="AP166" i="1"/>
  <c r="AL309" i="1"/>
  <c r="AN168" i="1"/>
  <c r="AY145" i="1"/>
  <c r="AY48" i="1" s="1"/>
  <c r="O135" i="1"/>
  <c r="M131" i="1"/>
  <c r="N142" i="1"/>
  <c r="AI81" i="1"/>
  <c r="AJ51" i="1"/>
  <c r="AB51" i="1"/>
  <c r="AR51" i="1"/>
  <c r="U164" i="1"/>
  <c r="O132" i="1"/>
  <c r="BE68" i="1"/>
  <c r="V164" i="1"/>
  <c r="I37" i="1"/>
  <c r="I383" i="1" s="1"/>
  <c r="I158" i="1"/>
  <c r="I162" i="1" s="1"/>
  <c r="I175" i="1"/>
  <c r="I234" i="1"/>
  <c r="I205" i="1"/>
  <c r="I233" i="1"/>
  <c r="I382" i="1"/>
  <c r="AI51" i="1"/>
  <c r="AA52" i="1"/>
  <c r="AX104" i="1"/>
  <c r="Z286" i="1"/>
  <c r="AT308" i="1"/>
  <c r="AS168" i="1"/>
  <c r="AL308" i="1"/>
  <c r="AJ168" i="1"/>
  <c r="O139" i="1"/>
  <c r="AT83" i="1"/>
  <c r="AD83" i="1"/>
  <c r="AP178" i="1"/>
  <c r="AC51" i="1"/>
  <c r="AO178" i="1"/>
  <c r="AD167" i="1"/>
  <c r="H420" i="1"/>
  <c r="M132" i="1"/>
  <c r="N131" i="1"/>
  <c r="N141" i="1"/>
  <c r="M137" i="1"/>
  <c r="N134" i="1"/>
  <c r="AS51" i="1"/>
  <c r="AL52" i="1"/>
  <c r="AL98" i="1"/>
  <c r="AL118" i="1" s="1"/>
  <c r="AR178" i="1"/>
  <c r="T178" i="1"/>
  <c r="AW51" i="1"/>
  <c r="T164" i="1"/>
  <c r="AS178" i="1"/>
  <c r="I27" i="1"/>
  <c r="I207" i="1"/>
  <c r="I206" i="1"/>
  <c r="I240" i="1"/>
  <c r="I216" i="1"/>
  <c r="I241" i="1"/>
  <c r="I419" i="1"/>
  <c r="AZ128" i="1"/>
  <c r="AZ74" i="1"/>
  <c r="BM24" i="1"/>
  <c r="BM25" i="1" s="1"/>
  <c r="AQ358" i="1"/>
  <c r="AP402" i="1"/>
  <c r="AL167" i="1"/>
  <c r="AO168" i="1"/>
  <c r="AU51" i="1"/>
  <c r="H159" i="1"/>
  <c r="H160" i="1" s="1"/>
  <c r="M135" i="1"/>
  <c r="AF51" i="1"/>
  <c r="AN51" i="1"/>
  <c r="AV189" i="1"/>
  <c r="H377" i="1"/>
  <c r="G340" i="1"/>
  <c r="G342" i="1" s="1"/>
  <c r="H358" i="1" s="1"/>
  <c r="AI93" i="1"/>
  <c r="I242" i="1"/>
  <c r="I229" i="1"/>
  <c r="I243" i="1"/>
  <c r="AX30" i="1"/>
  <c r="AX388" i="1" s="1"/>
  <c r="AE51" i="1"/>
  <c r="AQ51" i="1"/>
  <c r="BC120" i="1"/>
  <c r="BC123" i="1" s="1"/>
  <c r="BC127" i="1" s="1"/>
  <c r="AO358" i="1"/>
  <c r="AW358" i="1"/>
  <c r="AC332" i="1"/>
  <c r="AN308" i="1"/>
  <c r="AB330" i="1"/>
  <c r="AB332" i="1" s="1"/>
  <c r="AQ168" i="1"/>
  <c r="AZ280" i="1"/>
  <c r="BA280" i="1" s="1"/>
  <c r="BB280" i="1" s="1"/>
  <c r="BC280" i="1" s="1"/>
  <c r="BD280" i="1" s="1"/>
  <c r="BE280" i="1" s="1"/>
  <c r="BF280" i="1" s="1"/>
  <c r="BG280" i="1" s="1"/>
  <c r="BH280" i="1" s="1"/>
  <c r="BI280" i="1" s="1"/>
  <c r="BJ280" i="1" s="1"/>
  <c r="AM178" i="1"/>
  <c r="AZ143" i="1"/>
  <c r="AZ103" i="1" s="1"/>
  <c r="AZ104" i="1" s="1"/>
  <c r="AZ114" i="1" s="1"/>
  <c r="AL176" i="1"/>
  <c r="AH189" i="1"/>
  <c r="BD120" i="1"/>
  <c r="BD123" i="1" s="1"/>
  <c r="BD127" i="1" s="1"/>
  <c r="BD128" i="1" s="1"/>
  <c r="AT93" i="1"/>
  <c r="AD189" i="1"/>
  <c r="AW178" i="1"/>
  <c r="AG178" i="1"/>
  <c r="M136" i="1"/>
  <c r="O136" i="1"/>
  <c r="M140" i="1"/>
  <c r="M141" i="1"/>
  <c r="M139" i="1"/>
  <c r="H194" i="1"/>
  <c r="X178" i="1"/>
  <c r="I24" i="1"/>
  <c r="I224" i="1"/>
  <c r="I226" i="1"/>
  <c r="I232" i="1"/>
  <c r="I244" i="1"/>
  <c r="I231" i="1"/>
  <c r="I245" i="1"/>
  <c r="AO419" i="1"/>
  <c r="AP240" i="1"/>
  <c r="AP419" i="1" s="1"/>
  <c r="AZ385" i="1"/>
  <c r="AZ37" i="1"/>
  <c r="BA240" i="1" s="1"/>
  <c r="BA419" i="1" s="1"/>
  <c r="AU119" i="1"/>
  <c r="AU124" i="1" s="1"/>
  <c r="U200" i="1"/>
  <c r="U193" i="1"/>
  <c r="U25" i="1"/>
  <c r="BC335" i="1"/>
  <c r="BB354" i="1"/>
  <c r="BB340" i="1"/>
  <c r="AP358" i="1"/>
  <c r="AN358" i="1"/>
  <c r="AY356" i="1"/>
  <c r="AY331" i="1"/>
  <c r="BB315" i="1"/>
  <c r="BC311" i="1"/>
  <c r="BB310" i="1"/>
  <c r="AR365" i="1"/>
  <c r="AR295" i="1"/>
  <c r="AJ365" i="1"/>
  <c r="AJ294" i="1"/>
  <c r="AJ295" i="1"/>
  <c r="AD358" i="1"/>
  <c r="AI365" i="1"/>
  <c r="AI295" i="1"/>
  <c r="AI294" i="1"/>
  <c r="W276" i="1"/>
  <c r="W329" i="1" s="1"/>
  <c r="AX407" i="1"/>
  <c r="AX322" i="1"/>
  <c r="AX324" i="1" s="1"/>
  <c r="AX330" i="1" s="1"/>
  <c r="AX332" i="1" s="1"/>
  <c r="Y322" i="1"/>
  <c r="Y324" i="1" s="1"/>
  <c r="Y330" i="1" s="1"/>
  <c r="Y332" i="1" s="1"/>
  <c r="AA295" i="1"/>
  <c r="AA294" i="1"/>
  <c r="AL417" i="1"/>
  <c r="AK393" i="1"/>
  <c r="AK392" i="1"/>
  <c r="AK391" i="1"/>
  <c r="AK390" i="1"/>
  <c r="AK327" i="1"/>
  <c r="AK290" i="1"/>
  <c r="AK293" i="1" s="1"/>
  <c r="AK285" i="1"/>
  <c r="Z293" i="1"/>
  <c r="Z292" i="1"/>
  <c r="Z196" i="1"/>
  <c r="AA196" i="1"/>
  <c r="AX286" i="1"/>
  <c r="Z308" i="1"/>
  <c r="V407" i="1"/>
  <c r="V322" i="1"/>
  <c r="V324" i="1" s="1"/>
  <c r="V330" i="1" s="1"/>
  <c r="V332" i="1" s="1"/>
  <c r="AS419" i="1"/>
  <c r="AT240" i="1"/>
  <c r="AT419" i="1" s="1"/>
  <c r="AC374" i="1"/>
  <c r="AC305" i="1" s="1"/>
  <c r="AC373" i="1"/>
  <c r="AC375" i="1"/>
  <c r="AD236" i="1"/>
  <c r="AC210" i="1"/>
  <c r="AC209" i="1"/>
  <c r="AN309" i="1"/>
  <c r="AW246" i="1"/>
  <c r="AW247" i="1" s="1"/>
  <c r="AC294" i="1"/>
  <c r="Y420" i="1"/>
  <c r="X420" i="1"/>
  <c r="BA279" i="1"/>
  <c r="AW330" i="1"/>
  <c r="AW332" i="1" s="1"/>
  <c r="AH308" i="1"/>
  <c r="AH309" i="1"/>
  <c r="AH264" i="1"/>
  <c r="AH286" i="1" s="1"/>
  <c r="AZ318" i="1"/>
  <c r="AY377" i="1"/>
  <c r="AY258" i="1"/>
  <c r="AA308" i="1"/>
  <c r="W396" i="1"/>
  <c r="W402" i="1" s="1"/>
  <c r="X253" i="1"/>
  <c r="X396" i="1" s="1"/>
  <c r="Y407" i="1" s="1"/>
  <c r="AI168" i="1"/>
  <c r="AY166" i="1"/>
  <c r="AY164" i="1"/>
  <c r="BC162" i="1"/>
  <c r="AY12" i="1"/>
  <c r="AK244" i="1"/>
  <c r="AL244" i="1" s="1"/>
  <c r="AP375" i="1"/>
  <c r="AP373" i="1"/>
  <c r="AP374" i="1"/>
  <c r="AP305" i="1" s="1"/>
  <c r="AP210" i="1"/>
  <c r="AP209" i="1"/>
  <c r="AX375" i="1"/>
  <c r="AX373" i="1"/>
  <c r="AX374" i="1"/>
  <c r="AX305" i="1" s="1"/>
  <c r="AX210" i="1"/>
  <c r="AX209" i="1"/>
  <c r="AX206" i="1" s="1"/>
  <c r="AK168" i="1"/>
  <c r="BA166" i="1"/>
  <c r="BA164" i="1"/>
  <c r="BE162" i="1"/>
  <c r="BA12" i="1"/>
  <c r="AL286" i="1"/>
  <c r="AV168" i="1"/>
  <c r="AF168" i="1"/>
  <c r="G168" i="1"/>
  <c r="AP167" i="1"/>
  <c r="AP119" i="1"/>
  <c r="AP124" i="1" s="1"/>
  <c r="AP93" i="1"/>
  <c r="AL62" i="1"/>
  <c r="AL74" i="1"/>
  <c r="AS200" i="1"/>
  <c r="AS193" i="1"/>
  <c r="AS25" i="1"/>
  <c r="S413" i="1"/>
  <c r="S185" i="1"/>
  <c r="S190" i="1"/>
  <c r="S191" i="1" s="1"/>
  <c r="S23" i="1"/>
  <c r="AI178" i="1"/>
  <c r="AE413" i="1"/>
  <c r="AE312" i="1"/>
  <c r="AE313" i="1" s="1"/>
  <c r="AE314" i="1"/>
  <c r="AP83" i="1"/>
  <c r="AW62" i="1"/>
  <c r="AW74" i="1"/>
  <c r="AG62" i="1"/>
  <c r="AG74" i="1"/>
  <c r="AG78" i="1" s="1"/>
  <c r="AX413" i="1"/>
  <c r="AT189" i="1"/>
  <c r="BF98" i="1"/>
  <c r="BE118" i="1"/>
  <c r="AW110" i="1"/>
  <c r="AW109" i="1" s="1"/>
  <c r="AW114" i="1" s="1"/>
  <c r="AW115" i="1" s="1"/>
  <c r="AW83" i="1"/>
  <c r="AN62" i="1"/>
  <c r="AN74" i="1"/>
  <c r="AU396" i="1"/>
  <c r="AU257" i="1"/>
  <c r="AV255" i="1"/>
  <c r="AR97" i="1"/>
  <c r="AS73" i="1"/>
  <c r="AS77" i="1" s="1"/>
  <c r="AS81" i="1" s="1"/>
  <c r="AS66" i="1"/>
  <c r="AM52" i="1"/>
  <c r="AD398" i="1"/>
  <c r="AD304" i="1"/>
  <c r="AD195" i="1"/>
  <c r="AD28" i="1"/>
  <c r="W167" i="1"/>
  <c r="W164" i="1"/>
  <c r="AO189" i="1"/>
  <c r="AC178" i="1"/>
  <c r="Z61" i="1"/>
  <c r="Z57" i="1"/>
  <c r="Z73" i="1"/>
  <c r="Z77" i="1" s="1"/>
  <c r="H374" i="1"/>
  <c r="H305" i="1" s="1"/>
  <c r="H375" i="1"/>
  <c r="H272" i="1"/>
  <c r="H278" i="1" s="1"/>
  <c r="H285" i="1" s="1"/>
  <c r="H396" i="1"/>
  <c r="H397" i="1"/>
  <c r="H257" i="1"/>
  <c r="H2" i="1"/>
  <c r="H393" i="1"/>
  <c r="H392" i="1"/>
  <c r="H290" i="1"/>
  <c r="L143" i="1"/>
  <c r="N139" i="1"/>
  <c r="N133" i="1"/>
  <c r="N135" i="1"/>
  <c r="N136" i="1"/>
  <c r="K143" i="1"/>
  <c r="N138" i="1"/>
  <c r="BH69" i="1"/>
  <c r="BG65" i="1"/>
  <c r="AQ81" i="1"/>
  <c r="AL50" i="1"/>
  <c r="AL45" i="1"/>
  <c r="AM50" i="1"/>
  <c r="AO200" i="1"/>
  <c r="AO297" i="1" s="1"/>
  <c r="AO193" i="1"/>
  <c r="AO25" i="1"/>
  <c r="AV200" i="1"/>
  <c r="AV296" i="1" s="1"/>
  <c r="AV193" i="1"/>
  <c r="AV25" i="1"/>
  <c r="AF200" i="1"/>
  <c r="AF193" i="1"/>
  <c r="AF25" i="1"/>
  <c r="U413" i="1"/>
  <c r="AQ118" i="1"/>
  <c r="AQ120" i="1" s="1"/>
  <c r="AQ123" i="1" s="1"/>
  <c r="AU83" i="1"/>
  <c r="AI83" i="1"/>
  <c r="AL61" i="1"/>
  <c r="AX51" i="1"/>
  <c r="AU200" i="1"/>
  <c r="AU296" i="1" s="1"/>
  <c r="AU193" i="1"/>
  <c r="AU25" i="1"/>
  <c r="AM200" i="1"/>
  <c r="AM297" i="1" s="1"/>
  <c r="AM193" i="1"/>
  <c r="AM25" i="1"/>
  <c r="AN189" i="1"/>
  <c r="AJ178" i="1"/>
  <c r="AB178" i="1"/>
  <c r="AB189" i="1"/>
  <c r="X181" i="1"/>
  <c r="E164" i="1"/>
  <c r="Y167" i="1"/>
  <c r="Y164" i="1"/>
  <c r="AC168" i="1" s="1"/>
  <c r="U61" i="1"/>
  <c r="U57" i="1"/>
  <c r="U73" i="1"/>
  <c r="U77" i="1" s="1"/>
  <c r="G328" i="1"/>
  <c r="G291" i="1"/>
  <c r="AV83" i="1"/>
  <c r="BF68" i="1"/>
  <c r="BF66" i="1"/>
  <c r="AD51" i="1"/>
  <c r="AC303" i="1"/>
  <c r="AC302" i="1"/>
  <c r="AC296" i="1"/>
  <c r="AC202" i="1"/>
  <c r="AP200" i="1"/>
  <c r="AP193" i="1"/>
  <c r="AP25" i="1"/>
  <c r="Z63" i="1"/>
  <c r="Z75" i="1"/>
  <c r="Z79" i="1" s="1"/>
  <c r="E185" i="1"/>
  <c r="E190" i="1"/>
  <c r="E23" i="1"/>
  <c r="S192" i="1"/>
  <c r="S189" i="1"/>
  <c r="S177" i="1"/>
  <c r="S176" i="1"/>
  <c r="X61" i="1"/>
  <c r="X57" i="1"/>
  <c r="X73" i="1"/>
  <c r="X77" i="1" s="1"/>
  <c r="X81" i="1" s="1"/>
  <c r="P135" i="1"/>
  <c r="P133" i="1"/>
  <c r="P142" i="1"/>
  <c r="F302" i="1"/>
  <c r="F303" i="1"/>
  <c r="V186" i="1"/>
  <c r="V58" i="1"/>
  <c r="V57" i="1" s="1"/>
  <c r="V20" i="1"/>
  <c r="V177" i="1" s="1"/>
  <c r="BF184" i="1"/>
  <c r="BF19" i="1"/>
  <c r="BF188" i="1" s="1"/>
  <c r="BJ13" i="1"/>
  <c r="I361" i="1"/>
  <c r="I390" i="1"/>
  <c r="I384" i="1"/>
  <c r="I391" i="1"/>
  <c r="I365" i="1"/>
  <c r="I350" i="1"/>
  <c r="I349" i="1"/>
  <c r="I340" i="1"/>
  <c r="I356" i="1" s="1"/>
  <c r="I339" i="1"/>
  <c r="I337" i="1"/>
  <c r="I335" i="1"/>
  <c r="I354" i="1" s="1"/>
  <c r="I330" i="1"/>
  <c r="I328" i="1"/>
  <c r="I347" i="1"/>
  <c r="I338" i="1"/>
  <c r="I327" i="1"/>
  <c r="I351" i="1"/>
  <c r="I348" i="1"/>
  <c r="I342" i="1"/>
  <c r="I358" i="1" s="1"/>
  <c r="I341" i="1"/>
  <c r="I357" i="1" s="1"/>
  <c r="I331" i="1"/>
  <c r="I324" i="1"/>
  <c r="I323" i="1"/>
  <c r="I322" i="1"/>
  <c r="I362" i="1"/>
  <c r="I336" i="1"/>
  <c r="I355" i="1" s="1"/>
  <c r="I329" i="1"/>
  <c r="I274" i="1"/>
  <c r="I270" i="1"/>
  <c r="I344" i="1" s="1"/>
  <c r="I276" i="1"/>
  <c r="I269" i="1"/>
  <c r="I261" i="1"/>
  <c r="I253" i="1"/>
  <c r="I284" i="1"/>
  <c r="I281" i="1"/>
  <c r="I279" i="1"/>
  <c r="I268" i="1"/>
  <c r="I267" i="1"/>
  <c r="I262" i="1"/>
  <c r="I254" i="1"/>
  <c r="I277" i="1"/>
  <c r="I275" i="1"/>
  <c r="I263" i="1"/>
  <c r="I255" i="1"/>
  <c r="I283" i="1"/>
  <c r="I421" i="1" s="1"/>
  <c r="I280" i="1"/>
  <c r="I273" i="1"/>
  <c r="I271" i="1"/>
  <c r="I260" i="1"/>
  <c r="I256" i="1"/>
  <c r="I252" i="1"/>
  <c r="AK189" i="1"/>
  <c r="I18" i="1"/>
  <c r="I187" i="1" s="1"/>
  <c r="I31" i="1"/>
  <c r="I214" i="1"/>
  <c r="I222" i="1"/>
  <c r="I371" i="1" s="1"/>
  <c r="I377" i="1" s="1"/>
  <c r="I213" i="1"/>
  <c r="I230" i="1"/>
  <c r="I238" i="1"/>
  <c r="I227" i="1"/>
  <c r="I239" i="1"/>
  <c r="I367" i="1"/>
  <c r="Q138" i="1"/>
  <c r="Q136" i="1"/>
  <c r="AK28" i="1"/>
  <c r="S74" i="1"/>
  <c r="S78" i="1" s="1"/>
  <c r="S62" i="1"/>
  <c r="E178" i="1"/>
  <c r="AX404" i="1"/>
  <c r="AX32" i="1"/>
  <c r="AL356" i="1"/>
  <c r="AL342" i="1"/>
  <c r="AL331" i="1"/>
  <c r="BC347" i="1"/>
  <c r="BB361" i="1"/>
  <c r="AK342" i="1"/>
  <c r="AK331" i="1"/>
  <c r="AK356" i="1"/>
  <c r="AF358" i="1"/>
  <c r="AM365" i="1"/>
  <c r="AM295" i="1"/>
  <c r="AT407" i="1"/>
  <c r="AT322" i="1"/>
  <c r="AT324" i="1" s="1"/>
  <c r="AK407" i="1"/>
  <c r="AK322" i="1"/>
  <c r="AK324" i="1" s="1"/>
  <c r="AK330" i="1" s="1"/>
  <c r="AO417" i="1"/>
  <c r="AN390" i="1"/>
  <c r="AN393" i="1"/>
  <c r="AN391" i="1"/>
  <c r="AN392" i="1"/>
  <c r="AN327" i="1"/>
  <c r="AN290" i="1"/>
  <c r="AN293" i="1" s="1"/>
  <c r="AN285" i="1"/>
  <c r="AW292" i="1"/>
  <c r="AW293" i="1"/>
  <c r="AX196" i="1"/>
  <c r="AN286" i="1"/>
  <c r="AP309" i="1"/>
  <c r="AP308" i="1"/>
  <c r="AP264" i="1"/>
  <c r="AP286" i="1" s="1"/>
  <c r="AL407" i="1"/>
  <c r="AL322" i="1"/>
  <c r="AL324" i="1" s="1"/>
  <c r="AL330" i="1" s="1"/>
  <c r="AR417" i="1"/>
  <c r="AQ391" i="1"/>
  <c r="AQ393" i="1"/>
  <c r="AQ392" i="1"/>
  <c r="AQ390" i="1"/>
  <c r="AQ327" i="1"/>
  <c r="AQ285" i="1"/>
  <c r="AQ286" i="1" s="1"/>
  <c r="AQ290" i="1"/>
  <c r="AQ293" i="1" s="1"/>
  <c r="Y295" i="1"/>
  <c r="Y294" i="1"/>
  <c r="AT292" i="1"/>
  <c r="AT196" i="1"/>
  <c r="AU196" i="1"/>
  <c r="AZ329" i="1"/>
  <c r="BA276" i="1"/>
  <c r="AI308" i="1"/>
  <c r="AI309" i="1"/>
  <c r="AI264" i="1"/>
  <c r="AI286" i="1" s="1"/>
  <c r="AU417" i="1"/>
  <c r="AT392" i="1"/>
  <c r="AT391" i="1"/>
  <c r="AT390" i="1"/>
  <c r="AT393" i="1"/>
  <c r="AT327" i="1"/>
  <c r="AT285" i="1"/>
  <c r="AT286" i="1" s="1"/>
  <c r="AT290" i="1"/>
  <c r="AT293" i="1" s="1"/>
  <c r="AZ328" i="1"/>
  <c r="BA267" i="1"/>
  <c r="AS308" i="1"/>
  <c r="AS309" i="1"/>
  <c r="AS264" i="1"/>
  <c r="AS286" i="1" s="1"/>
  <c r="AO407" i="1"/>
  <c r="AO322" i="1"/>
  <c r="AO324" i="1" s="1"/>
  <c r="AO330" i="1" s="1"/>
  <c r="AO332" i="1" s="1"/>
  <c r="AP365" i="1"/>
  <c r="AP297" i="1"/>
  <c r="AP295" i="1"/>
  <c r="AP294" i="1"/>
  <c r="AL365" i="1"/>
  <c r="AL297" i="1"/>
  <c r="AL295" i="1"/>
  <c r="AL294" i="1"/>
  <c r="AH295" i="1"/>
  <c r="AH294" i="1"/>
  <c r="AV292" i="1"/>
  <c r="AV293" i="1"/>
  <c r="AW196" i="1"/>
  <c r="AF296" i="1"/>
  <c r="AF292" i="1"/>
  <c r="AF293" i="1"/>
  <c r="AG196" i="1"/>
  <c r="X328" i="1"/>
  <c r="X272" i="1"/>
  <c r="AA309" i="1"/>
  <c r="AN407" i="1"/>
  <c r="AN322" i="1"/>
  <c r="AN324" i="1" s="1"/>
  <c r="AO309" i="1"/>
  <c r="AO308" i="1"/>
  <c r="AO264" i="1"/>
  <c r="AO286" i="1" s="1"/>
  <c r="AU168" i="1"/>
  <c r="AE168" i="1"/>
  <c r="F168" i="1"/>
  <c r="BE274" i="1"/>
  <c r="AD223" i="1"/>
  <c r="I223" i="1" s="1"/>
  <c r="AH168" i="1"/>
  <c r="BB166" i="1"/>
  <c r="BB164" i="1"/>
  <c r="BF162" i="1"/>
  <c r="BB12" i="1"/>
  <c r="BB183" i="1" s="1"/>
  <c r="AL237" i="1"/>
  <c r="AW168" i="1"/>
  <c r="AG168" i="1"/>
  <c r="AR168" i="1"/>
  <c r="AX62" i="1"/>
  <c r="AX74" i="1"/>
  <c r="AH62" i="1"/>
  <c r="AH74" i="1"/>
  <c r="AH78" i="1" s="1"/>
  <c r="AP372" i="1"/>
  <c r="AP379" i="1"/>
  <c r="AB200" i="1"/>
  <c r="AB193" i="1"/>
  <c r="AB25" i="1"/>
  <c r="AU413" i="1"/>
  <c r="AQ413" i="1"/>
  <c r="AQ312" i="1"/>
  <c r="AQ313" i="1" s="1"/>
  <c r="AQ315" i="1" s="1"/>
  <c r="AQ314" i="1"/>
  <c r="AE178" i="1"/>
  <c r="AA413" i="1"/>
  <c r="AA312" i="1"/>
  <c r="AA313" i="1" s="1"/>
  <c r="AA314" i="1"/>
  <c r="BA134" i="1"/>
  <c r="BB134" i="1" s="1"/>
  <c r="BC134" i="1" s="1"/>
  <c r="O134" i="1"/>
  <c r="AT81" i="1"/>
  <c r="AS62" i="1"/>
  <c r="AS74" i="1"/>
  <c r="AC62" i="1"/>
  <c r="AC74" i="1"/>
  <c r="AC78" i="1" s="1"/>
  <c r="AX178" i="1"/>
  <c r="AT178" i="1"/>
  <c r="AP189" i="1"/>
  <c r="AH312" i="1"/>
  <c r="AH313" i="1" s="1"/>
  <c r="BB131" i="1"/>
  <c r="O131" i="1" s="1"/>
  <c r="BE87" i="1"/>
  <c r="BE119" i="1"/>
  <c r="BE124" i="1" s="1"/>
  <c r="BF97" i="1"/>
  <c r="BE99" i="1"/>
  <c r="AJ62" i="1"/>
  <c r="AJ74" i="1"/>
  <c r="BB38" i="1"/>
  <c r="AQ200" i="1"/>
  <c r="AQ297" i="1" s="1"/>
  <c r="AQ193" i="1"/>
  <c r="AQ25" i="1"/>
  <c r="V402" i="1"/>
  <c r="V192" i="1"/>
  <c r="V176" i="1"/>
  <c r="V181" i="1"/>
  <c r="I58" i="1"/>
  <c r="I20" i="1"/>
  <c r="AO402" i="1"/>
  <c r="AG402" i="1"/>
  <c r="AM81" i="1"/>
  <c r="AG200" i="1"/>
  <c r="AG193" i="1"/>
  <c r="AG25" i="1"/>
  <c r="AJ200" i="1"/>
  <c r="AJ193" i="1"/>
  <c r="AJ25" i="1"/>
  <c r="AE83" i="1"/>
  <c r="AL303" i="1"/>
  <c r="AL302" i="1"/>
  <c r="AL296" i="1"/>
  <c r="AL202" i="1"/>
  <c r="AR189" i="1"/>
  <c r="AN178" i="1"/>
  <c r="X189" i="1"/>
  <c r="X413" i="1" s="1"/>
  <c r="Y61" i="1"/>
  <c r="Y57" i="1"/>
  <c r="Y73" i="1"/>
  <c r="Y77" i="1" s="1"/>
  <c r="H417" i="1"/>
  <c r="G327" i="1"/>
  <c r="G290" i="1"/>
  <c r="BA128" i="1"/>
  <c r="BA74" i="1"/>
  <c r="AM93" i="1"/>
  <c r="BH70" i="1"/>
  <c r="BG67" i="1"/>
  <c r="AU74" i="1"/>
  <c r="AU62" i="1"/>
  <c r="AT193" i="1"/>
  <c r="AT200" i="1"/>
  <c r="AT25" i="1"/>
  <c r="Z185" i="1"/>
  <c r="Z190" i="1"/>
  <c r="Z23" i="1"/>
  <c r="E63" i="1"/>
  <c r="E61" i="1"/>
  <c r="E57" i="1"/>
  <c r="E62" i="1" s="1"/>
  <c r="BC184" i="1"/>
  <c r="BC171" i="1"/>
  <c r="BD13" i="1"/>
  <c r="BC19" i="1"/>
  <c r="BC188" i="1" s="1"/>
  <c r="BG13" i="1"/>
  <c r="P141" i="1"/>
  <c r="P132" i="1"/>
  <c r="U63" i="1"/>
  <c r="U75" i="1"/>
  <c r="U79" i="1" s="1"/>
  <c r="U83" i="1" s="1"/>
  <c r="AK178" i="1"/>
  <c r="I152" i="1"/>
  <c r="Q140" i="1"/>
  <c r="Q133" i="1"/>
  <c r="Q135" i="1"/>
  <c r="Y178" i="1"/>
  <c r="W74" i="1"/>
  <c r="W78" i="1" s="1"/>
  <c r="W62" i="1"/>
  <c r="BB348" i="1"/>
  <c r="BC348" i="1" s="1"/>
  <c r="BD348" i="1" s="1"/>
  <c r="BE348" i="1" s="1"/>
  <c r="BF348" i="1" s="1"/>
  <c r="BG348" i="1" s="1"/>
  <c r="BH348" i="1" s="1"/>
  <c r="BI348" i="1" s="1"/>
  <c r="BJ348" i="1" s="1"/>
  <c r="BA349" i="1"/>
  <c r="AQ365" i="1"/>
  <c r="AQ295" i="1"/>
  <c r="AZ356" i="1"/>
  <c r="AZ331" i="1"/>
  <c r="AN365" i="1"/>
  <c r="AN295" i="1"/>
  <c r="AB294" i="1"/>
  <c r="AB295" i="1"/>
  <c r="AE292" i="1"/>
  <c r="AF196" i="1"/>
  <c r="AE196" i="1"/>
  <c r="V293" i="1"/>
  <c r="V292" i="1"/>
  <c r="AJ309" i="1"/>
  <c r="AJ308" i="1"/>
  <c r="AJ264" i="1"/>
  <c r="AJ286" i="1" s="1"/>
  <c r="BA256" i="1"/>
  <c r="BA231" i="1" s="1"/>
  <c r="BC313" i="1"/>
  <c r="BB312" i="1"/>
  <c r="AU292" i="1"/>
  <c r="AV196" i="1"/>
  <c r="AZ421" i="1"/>
  <c r="BA283" i="1"/>
  <c r="AO365" i="1"/>
  <c r="AO295" i="1"/>
  <c r="AO294" i="1"/>
  <c r="AK309" i="1"/>
  <c r="AK308" i="1"/>
  <c r="AK264" i="1"/>
  <c r="AH375" i="1"/>
  <c r="AH373" i="1"/>
  <c r="AH374" i="1"/>
  <c r="AH305" i="1" s="1"/>
  <c r="AH210" i="1"/>
  <c r="AH209" i="1"/>
  <c r="AW419" i="1"/>
  <c r="AX240" i="1"/>
  <c r="AX419" i="1" s="1"/>
  <c r="X323" i="1"/>
  <c r="X257" i="1"/>
  <c r="X264" i="1" s="1"/>
  <c r="Y247" i="1"/>
  <c r="X247" i="1"/>
  <c r="X2" i="1"/>
  <c r="AY375" i="1"/>
  <c r="AY374" i="1"/>
  <c r="AY305" i="1" s="1"/>
  <c r="AA168" i="1"/>
  <c r="AZ231" i="1"/>
  <c r="AL166" i="1"/>
  <c r="AL164" i="1"/>
  <c r="AZ167" i="1"/>
  <c r="BD163" i="1"/>
  <c r="BA137" i="1"/>
  <c r="AZ89" i="1"/>
  <c r="AZ92" i="1" s="1"/>
  <c r="BE202" i="1"/>
  <c r="BJ160" i="1"/>
  <c r="AT62" i="1"/>
  <c r="AT74" i="1"/>
  <c r="AD62" i="1"/>
  <c r="AD74" i="1"/>
  <c r="AD78" i="1" s="1"/>
  <c r="X200" i="1"/>
  <c r="X193" i="1"/>
  <c r="X25" i="1"/>
  <c r="AU402" i="1"/>
  <c r="AM413" i="1"/>
  <c r="AM312" i="1"/>
  <c r="AM313" i="1" s="1"/>
  <c r="AM314" i="1"/>
  <c r="AY90" i="1"/>
  <c r="AY93" i="1" s="1"/>
  <c r="AY103" i="1"/>
  <c r="BB105" i="1"/>
  <c r="BB60" i="1"/>
  <c r="BB43" i="1" s="1"/>
  <c r="AX83" i="1"/>
  <c r="AX110" i="1"/>
  <c r="BI207" i="1"/>
  <c r="BJ71" i="1"/>
  <c r="BJ207" i="1" s="1"/>
  <c r="AO62" i="1"/>
  <c r="AO74" i="1"/>
  <c r="AL413" i="1"/>
  <c r="AL314" i="1"/>
  <c r="AL312" i="1"/>
  <c r="AL313" i="1" s="1"/>
  <c r="AZ213" i="1"/>
  <c r="AZ206" i="1" s="1"/>
  <c r="AZ209" i="1" s="1"/>
  <c r="AZ210" i="1" s="1"/>
  <c r="AZ236" i="1" s="1"/>
  <c r="AV62" i="1"/>
  <c r="AV74" i="1"/>
  <c r="AF62" i="1"/>
  <c r="AF74" i="1"/>
  <c r="AF78" i="1" s="1"/>
  <c r="AQ74" i="1"/>
  <c r="AQ62" i="1"/>
  <c r="AH200" i="1"/>
  <c r="AH193" i="1"/>
  <c r="AH25" i="1"/>
  <c r="AD413" i="1"/>
  <c r="AD314" i="1"/>
  <c r="AD312" i="1"/>
  <c r="AD313" i="1" s="1"/>
  <c r="H182" i="1"/>
  <c r="H44" i="1"/>
  <c r="H77" i="1"/>
  <c r="H56" i="1"/>
  <c r="H14" i="1"/>
  <c r="AW189" i="1"/>
  <c r="AG189" i="1"/>
  <c r="BI19" i="1"/>
  <c r="BI188" i="1" s="1"/>
  <c r="H152" i="1"/>
  <c r="H149" i="1"/>
  <c r="H155" i="1"/>
  <c r="H60" i="1"/>
  <c r="H49" i="1"/>
  <c r="I378" i="1"/>
  <c r="H345" i="1"/>
  <c r="H291" i="1"/>
  <c r="AM74" i="1"/>
  <c r="AM62" i="1"/>
  <c r="Y200" i="1"/>
  <c r="Y193" i="1"/>
  <c r="Y25" i="1"/>
  <c r="AN200" i="1"/>
  <c r="AN193" i="1"/>
  <c r="AN25" i="1"/>
  <c r="BD152" i="1"/>
  <c r="BD155" i="1"/>
  <c r="BD149" i="1"/>
  <c r="BD49" i="1"/>
  <c r="AQ83" i="1"/>
  <c r="AY379" i="1"/>
  <c r="AE200" i="1"/>
  <c r="AE193" i="1"/>
  <c r="AE25" i="1"/>
  <c r="AV314" i="1"/>
  <c r="AV312" i="1"/>
  <c r="AV313" i="1" s="1"/>
  <c r="H162" i="1"/>
  <c r="H183" i="1"/>
  <c r="H163" i="1"/>
  <c r="AR98" i="1"/>
  <c r="AR118" i="1" s="1"/>
  <c r="BE66" i="1"/>
  <c r="AE74" i="1"/>
  <c r="AE78" i="1" s="1"/>
  <c r="AE62" i="1"/>
  <c r="AC398" i="1"/>
  <c r="AC304" i="1"/>
  <c r="AC195" i="1"/>
  <c r="AC28" i="1"/>
  <c r="BC22" i="1"/>
  <c r="F189" i="1"/>
  <c r="E78" i="1"/>
  <c r="F82" i="1" s="1"/>
  <c r="X167" i="1"/>
  <c r="X164" i="1"/>
  <c r="I14" i="1"/>
  <c r="AS189" i="1"/>
  <c r="V61" i="1"/>
  <c r="V73" i="1"/>
  <c r="V77" i="1" s="1"/>
  <c r="V81" i="1" s="1"/>
  <c r="Q139" i="1"/>
  <c r="AG51" i="1"/>
  <c r="AK303" i="1"/>
  <c r="AK302" i="1"/>
  <c r="AK202" i="1"/>
  <c r="BA384" i="1"/>
  <c r="BA382" i="1" s="1"/>
  <c r="BA383" i="1" s="1"/>
  <c r="AJ356" i="1"/>
  <c r="AJ342" i="1"/>
  <c r="AJ358" i="1" s="1"/>
  <c r="AJ331" i="1"/>
  <c r="AS358" i="1"/>
  <c r="BA331" i="1"/>
  <c r="BA356" i="1"/>
  <c r="AM358" i="1"/>
  <c r="AG358" i="1"/>
  <c r="AH358" i="1"/>
  <c r="AT356" i="1"/>
  <c r="AT342" i="1"/>
  <c r="AT358" i="1" s="1"/>
  <c r="AT331" i="1"/>
  <c r="AU356" i="1"/>
  <c r="AV358" i="1"/>
  <c r="X417" i="1"/>
  <c r="W327" i="1"/>
  <c r="X284" i="1"/>
  <c r="AM407" i="1"/>
  <c r="AM322" i="1"/>
  <c r="AM324" i="1" s="1"/>
  <c r="AP407" i="1"/>
  <c r="AP322" i="1"/>
  <c r="AP324" i="1" s="1"/>
  <c r="AP330" i="1" s="1"/>
  <c r="AP332" i="1" s="1"/>
  <c r="Z407" i="1"/>
  <c r="Z322" i="1"/>
  <c r="AS417" i="1"/>
  <c r="AR390" i="1"/>
  <c r="AR397" i="1"/>
  <c r="AR391" i="1"/>
  <c r="AR393" i="1"/>
  <c r="AR392" i="1"/>
  <c r="AR327" i="1"/>
  <c r="AR290" i="1"/>
  <c r="AR293" i="1" s="1"/>
  <c r="AR285" i="1"/>
  <c r="AR286" i="1" s="1"/>
  <c r="AH324" i="1"/>
  <c r="AH330" i="1" s="1"/>
  <c r="AH332" i="1" s="1"/>
  <c r="AD378" i="1"/>
  <c r="AD259" i="1"/>
  <c r="I259" i="1" s="1"/>
  <c r="AC258" i="1"/>
  <c r="AD377" i="1" s="1"/>
  <c r="AD286" i="1"/>
  <c r="AQ407" i="1"/>
  <c r="AQ322" i="1"/>
  <c r="AQ324" i="1" s="1"/>
  <c r="AQ330" i="1" s="1"/>
  <c r="AQ332" i="1" s="1"/>
  <c r="AF407" i="1"/>
  <c r="AF322" i="1"/>
  <c r="AF324" i="1" s="1"/>
  <c r="AF330" i="1" s="1"/>
  <c r="AF332" i="1" s="1"/>
  <c r="AN397" i="1"/>
  <c r="AS374" i="1"/>
  <c r="AS305" i="1" s="1"/>
  <c r="AS373" i="1"/>
  <c r="AS375" i="1"/>
  <c r="AT236" i="1"/>
  <c r="AS210" i="1"/>
  <c r="AS209" i="1"/>
  <c r="AV417" i="1"/>
  <c r="AU391" i="1"/>
  <c r="AU390" i="1"/>
  <c r="AU393" i="1"/>
  <c r="AU392" i="1"/>
  <c r="AU327" i="1"/>
  <c r="AU285" i="1"/>
  <c r="AU290" i="1"/>
  <c r="AU293" i="1" s="1"/>
  <c r="AN417" i="1"/>
  <c r="AM391" i="1"/>
  <c r="AM392" i="1"/>
  <c r="AM390" i="1"/>
  <c r="AM393" i="1"/>
  <c r="AM327" i="1"/>
  <c r="AM290" i="1"/>
  <c r="AM293" i="1" s="1"/>
  <c r="AM285" i="1"/>
  <c r="AM286" i="1" s="1"/>
  <c r="AL375" i="1"/>
  <c r="AL373" i="1"/>
  <c r="AL374" i="1"/>
  <c r="AL305" i="1" s="1"/>
  <c r="AL210" i="1"/>
  <c r="AL209" i="1"/>
  <c r="BA271" i="1"/>
  <c r="AZ234" i="1"/>
  <c r="AS407" i="1"/>
  <c r="AS322" i="1"/>
  <c r="AS324" i="1" s="1"/>
  <c r="AS330" i="1" s="1"/>
  <c r="AS332" i="1" s="1"/>
  <c r="AJ407" i="1"/>
  <c r="AJ322" i="1"/>
  <c r="AJ324" i="1" s="1"/>
  <c r="AJ330" i="1" s="1"/>
  <c r="AG299" i="1"/>
  <c r="AG297" i="1"/>
  <c r="AG295" i="1"/>
  <c r="AG294" i="1"/>
  <c r="AF417" i="1"/>
  <c r="AE391" i="1"/>
  <c r="AE390" i="1"/>
  <c r="AE392" i="1"/>
  <c r="AE327" i="1"/>
  <c r="AE330" i="1" s="1"/>
  <c r="AE332" i="1" s="1"/>
  <c r="AE393" i="1"/>
  <c r="AE285" i="1"/>
  <c r="AE286" i="1" s="1"/>
  <c r="AE290" i="1"/>
  <c r="AE293" i="1" s="1"/>
  <c r="AI324" i="1"/>
  <c r="AI330" i="1" s="1"/>
  <c r="AI332" i="1" s="1"/>
  <c r="AA407" i="1"/>
  <c r="AA322" i="1"/>
  <c r="AA324" i="1" s="1"/>
  <c r="AA330" i="1" s="1"/>
  <c r="AA332" i="1" s="1"/>
  <c r="AE308" i="1"/>
  <c r="AR407" i="1"/>
  <c r="AR322" i="1"/>
  <c r="AR324" i="1" s="1"/>
  <c r="AG407" i="1"/>
  <c r="AG322" i="1"/>
  <c r="AG324" i="1" s="1"/>
  <c r="AG330" i="1" s="1"/>
  <c r="AG332" i="1" s="1"/>
  <c r="AK365" i="1"/>
  <c r="AK294" i="1"/>
  <c r="AK297" i="1"/>
  <c r="AK295" i="1"/>
  <c r="AG309" i="1"/>
  <c r="AG308" i="1"/>
  <c r="AG264" i="1"/>
  <c r="AG286" i="1" s="1"/>
  <c r="AS237" i="1"/>
  <c r="AS246" i="1" s="1"/>
  <c r="AS247" i="1" s="1"/>
  <c r="AT235" i="1"/>
  <c r="AY167" i="1"/>
  <c r="BC163" i="1"/>
  <c r="BI158" i="1"/>
  <c r="BE160" i="1"/>
  <c r="BE159" i="1"/>
  <c r="BE12" i="1"/>
  <c r="BB167" i="1"/>
  <c r="BF163" i="1"/>
  <c r="BH158" i="1"/>
  <c r="BD175" i="1"/>
  <c r="BD160" i="1"/>
  <c r="BD159" i="1"/>
  <c r="AK246" i="1"/>
  <c r="AK247" i="1" s="1"/>
  <c r="BA167" i="1"/>
  <c r="BE163" i="1"/>
  <c r="AZ166" i="1"/>
  <c r="AZ164" i="1"/>
  <c r="BD162" i="1"/>
  <c r="AZ12" i="1"/>
  <c r="AZ183" i="1" s="1"/>
  <c r="BF159" i="1"/>
  <c r="AP62" i="1"/>
  <c r="AP74" i="1"/>
  <c r="AW200" i="1"/>
  <c r="AW193" i="1"/>
  <c r="AW25" i="1"/>
  <c r="T200" i="1"/>
  <c r="T193" i="1"/>
  <c r="T25" i="1"/>
  <c r="AM402" i="1"/>
  <c r="AI413" i="1"/>
  <c r="AI312" i="1"/>
  <c r="AI313" i="1" s="1"/>
  <c r="AI314" i="1"/>
  <c r="AE315" i="1"/>
  <c r="BB128" i="1"/>
  <c r="BB74" i="1"/>
  <c r="AK62" i="1"/>
  <c r="AK74" i="1"/>
  <c r="AL178" i="1"/>
  <c r="AL402" i="1"/>
  <c r="AH402" i="1"/>
  <c r="BB86" i="1"/>
  <c r="AR62" i="1"/>
  <c r="AR74" i="1"/>
  <c r="AB62" i="1"/>
  <c r="AB74" i="1"/>
  <c r="AB78" i="1" s="1"/>
  <c r="BJ109" i="1"/>
  <c r="AU98" i="1"/>
  <c r="AU118" i="1" s="1"/>
  <c r="AV97" i="1"/>
  <c r="AA74" i="1"/>
  <c r="AA78" i="1" s="1"/>
  <c r="AA62" i="1"/>
  <c r="AL398" i="1"/>
  <c r="AL304" i="1"/>
  <c r="AL195" i="1"/>
  <c r="AL28" i="1"/>
  <c r="J240" i="1"/>
  <c r="J419" i="1" s="1"/>
  <c r="J6" i="1"/>
  <c r="K5" i="1"/>
  <c r="AC413" i="1"/>
  <c r="AC314" i="1"/>
  <c r="AC312" i="1"/>
  <c r="AC313" i="1" s="1"/>
  <c r="AC315" i="1" s="1"/>
  <c r="U181" i="1"/>
  <c r="U192" i="1"/>
  <c r="U177" i="1"/>
  <c r="U176" i="1"/>
  <c r="Z167" i="1"/>
  <c r="Z164" i="1"/>
  <c r="AD168" i="1" s="1"/>
  <c r="I183" i="1"/>
  <c r="H186" i="1"/>
  <c r="H58" i="1"/>
  <c r="H63" i="1" s="1"/>
  <c r="H46" i="1"/>
  <c r="H79" i="1"/>
  <c r="H83" i="1" s="1"/>
  <c r="H20" i="1"/>
  <c r="H317" i="1"/>
  <c r="AU81" i="1"/>
  <c r="AE81" i="1"/>
  <c r="AL119" i="1"/>
  <c r="AL124" i="1" s="1"/>
  <c r="AL93" i="1"/>
  <c r="AX303" i="1"/>
  <c r="AX296" i="1"/>
  <c r="AX302" i="1"/>
  <c r="AX202" i="1"/>
  <c r="AR200" i="1"/>
  <c r="AR297" i="1" s="1"/>
  <c r="AR193" i="1"/>
  <c r="AR25" i="1"/>
  <c r="AA200" i="1"/>
  <c r="AA193" i="1"/>
  <c r="AA25" i="1"/>
  <c r="U190" i="1"/>
  <c r="U191" i="1" s="1"/>
  <c r="AM83" i="1"/>
  <c r="AI74" i="1"/>
  <c r="AI62" i="1"/>
  <c r="F197" i="1"/>
  <c r="F30" i="1"/>
  <c r="AD303" i="1"/>
  <c r="AD302" i="1"/>
  <c r="AD296" i="1"/>
  <c r="AD202" i="1"/>
  <c r="V21" i="1"/>
  <c r="AI200" i="1"/>
  <c r="AI193" i="1"/>
  <c r="AI25" i="1"/>
  <c r="AN402" i="1"/>
  <c r="AJ189" i="1"/>
  <c r="AF189" i="1"/>
  <c r="T189" i="1"/>
  <c r="G185" i="1"/>
  <c r="G190" i="1"/>
  <c r="G23" i="1"/>
  <c r="G272" i="1"/>
  <c r="G278" i="1" s="1"/>
  <c r="G285" i="1" s="1"/>
  <c r="G396" i="1"/>
  <c r="G397" i="1"/>
  <c r="G323" i="1"/>
  <c r="G257" i="1"/>
  <c r="G2" i="1"/>
  <c r="AY57" i="1"/>
  <c r="AY62" i="1" s="1"/>
  <c r="AO51" i="1"/>
  <c r="W200" i="1"/>
  <c r="W202" i="1" s="1"/>
  <c r="W193" i="1"/>
  <c r="W25" i="1"/>
  <c r="W192" i="1"/>
  <c r="W189" i="1"/>
  <c r="W413" i="1" s="1"/>
  <c r="W181" i="1"/>
  <c r="W177" i="1"/>
  <c r="W176" i="1"/>
  <c r="T61" i="1"/>
  <c r="T57" i="1"/>
  <c r="T73" i="1"/>
  <c r="T77" i="1" s="1"/>
  <c r="T81" i="1" s="1"/>
  <c r="P139" i="1"/>
  <c r="P138" i="1"/>
  <c r="P140" i="1"/>
  <c r="H187" i="1"/>
  <c r="AK402" i="1"/>
  <c r="I236" i="1"/>
  <c r="Q132" i="1"/>
  <c r="Q142" i="1"/>
  <c r="Q141" i="1"/>
  <c r="Y189" i="1"/>
  <c r="AK51" i="1"/>
  <c r="AV51" i="1"/>
  <c r="Z177" i="1"/>
  <c r="Z178" i="1" s="1"/>
  <c r="Z402" i="1"/>
  <c r="G178" i="1"/>
  <c r="AX399" i="1"/>
  <c r="I194" i="1" l="1"/>
  <c r="I163" i="1"/>
  <c r="I77" i="1"/>
  <c r="I60" i="1"/>
  <c r="H318" i="1"/>
  <c r="I159" i="1"/>
  <c r="I160" i="1" s="1"/>
  <c r="I44" i="1"/>
  <c r="I182" i="1"/>
  <c r="I149" i="1"/>
  <c r="I46" i="1"/>
  <c r="I56" i="1"/>
  <c r="I49" i="1"/>
  <c r="I155" i="1"/>
  <c r="I79" i="1"/>
  <c r="J31" i="1"/>
  <c r="H192" i="1"/>
  <c r="I385" i="1"/>
  <c r="AW120" i="1"/>
  <c r="AW123" i="1" s="1"/>
  <c r="BD275" i="1"/>
  <c r="BC224" i="1"/>
  <c r="AZ145" i="1"/>
  <c r="AZ48" i="1" s="1"/>
  <c r="AT168" i="1"/>
  <c r="J206" i="1"/>
  <c r="J231" i="1"/>
  <c r="AV315" i="1"/>
  <c r="AS98" i="1"/>
  <c r="AS93" i="1" s="1"/>
  <c r="J21" i="1"/>
  <c r="J209" i="1"/>
  <c r="AX34" i="1"/>
  <c r="AK195" i="1"/>
  <c r="AK93" i="1"/>
  <c r="AK118" i="1"/>
  <c r="AK120" i="1" s="1"/>
  <c r="AK123" i="1" s="1"/>
  <c r="J43" i="1"/>
  <c r="J29" i="1"/>
  <c r="J207" i="1"/>
  <c r="J230" i="1"/>
  <c r="J222" i="1"/>
  <c r="J371" i="1" s="1"/>
  <c r="J378" i="1" s="1"/>
  <c r="AV413" i="1"/>
  <c r="I379" i="1"/>
  <c r="W278" i="1"/>
  <c r="W285" i="1" s="1"/>
  <c r="X276" i="1" s="1"/>
  <c r="V178" i="1"/>
  <c r="AH314" i="1"/>
  <c r="AU314" i="1"/>
  <c r="AH82" i="1"/>
  <c r="BG159" i="1"/>
  <c r="AX36" i="1"/>
  <c r="AK304" i="1"/>
  <c r="AX312" i="1"/>
  <c r="AX313" i="1" s="1"/>
  <c r="AX315" i="1" s="1"/>
  <c r="AZ420" i="1"/>
  <c r="AX120" i="1"/>
  <c r="AX123" i="1" s="1"/>
  <c r="AW93" i="1"/>
  <c r="J158" i="1"/>
  <c r="J241" i="1"/>
  <c r="AH315" i="1"/>
  <c r="J13" i="1"/>
  <c r="J37" i="1"/>
  <c r="J383" i="1" s="1"/>
  <c r="J210" i="1"/>
  <c r="J234" i="1"/>
  <c r="J367" i="1"/>
  <c r="BB78" i="1"/>
  <c r="AD315" i="1"/>
  <c r="AX109" i="1"/>
  <c r="AX114" i="1" s="1"/>
  <c r="AX115" i="1" s="1"/>
  <c r="Y81" i="1"/>
  <c r="AH413" i="1"/>
  <c r="AC82" i="1"/>
  <c r="AU312" i="1"/>
  <c r="AU313" i="1" s="1"/>
  <c r="AU315" i="1" s="1"/>
  <c r="AL246" i="1"/>
  <c r="AL247" i="1" s="1"/>
  <c r="AK398" i="1"/>
  <c r="S178" i="1"/>
  <c r="AS118" i="1"/>
  <c r="AS120" i="1" s="1"/>
  <c r="AS123" i="1" s="1"/>
  <c r="AX314" i="1"/>
  <c r="AM120" i="1"/>
  <c r="AM123" i="1" s="1"/>
  <c r="AK300" i="1"/>
  <c r="BM26" i="1"/>
  <c r="BM27" i="1" s="1"/>
  <c r="BM28" i="1" s="1"/>
  <c r="BM29" i="1" s="1"/>
  <c r="BM30" i="1" s="1"/>
  <c r="BM31" i="1" s="1"/>
  <c r="BM32" i="1" s="1"/>
  <c r="BM33" i="1" s="1"/>
  <c r="BM34" i="1" s="1"/>
  <c r="Z168" i="1"/>
  <c r="J26" i="1"/>
  <c r="J27" i="1"/>
  <c r="J38" i="1"/>
  <c r="J214" i="1"/>
  <c r="J229" i="1"/>
  <c r="J243" i="1"/>
  <c r="J238" i="1"/>
  <c r="J215" i="1"/>
  <c r="J382" i="1"/>
  <c r="AU120" i="1"/>
  <c r="AU123" i="1" s="1"/>
  <c r="AI315" i="1"/>
  <c r="AJ332" i="1"/>
  <c r="AM330" i="1"/>
  <c r="AM332" i="1" s="1"/>
  <c r="X168" i="1"/>
  <c r="AG300" i="1"/>
  <c r="I192" i="1"/>
  <c r="AL315" i="1"/>
  <c r="AD82" i="1"/>
  <c r="BJ159" i="1"/>
  <c r="BA213" i="1"/>
  <c r="BA206" i="1" s="1"/>
  <c r="BA209" i="1" s="1"/>
  <c r="BA210" i="1" s="1"/>
  <c r="BA236" i="1" s="1"/>
  <c r="AK286" i="1"/>
  <c r="AM300" i="1"/>
  <c r="H316" i="1"/>
  <c r="AA315" i="1"/>
  <c r="AB168" i="1"/>
  <c r="AI299" i="1"/>
  <c r="BC128" i="1"/>
  <c r="BC74" i="1"/>
  <c r="AA297" i="1"/>
  <c r="W81" i="1"/>
  <c r="AP300" i="1"/>
  <c r="BD74" i="1"/>
  <c r="AL168" i="1"/>
  <c r="AB297" i="1"/>
  <c r="AH299" i="1"/>
  <c r="W168" i="1"/>
  <c r="AY183" i="1"/>
  <c r="H356" i="1"/>
  <c r="AZ78" i="1"/>
  <c r="AZ82" i="1" s="1"/>
  <c r="AZ57" i="1"/>
  <c r="AZ62" i="1" s="1"/>
  <c r="AP246" i="1"/>
  <c r="AP247" i="1" s="1"/>
  <c r="AX93" i="1"/>
  <c r="AL299" i="1"/>
  <c r="W178" i="1"/>
  <c r="H52" i="1"/>
  <c r="U178" i="1"/>
  <c r="U189" i="1"/>
  <c r="J22" i="1"/>
  <c r="J11" i="1"/>
  <c r="J182" i="1" s="1"/>
  <c r="J12" i="1"/>
  <c r="J162" i="1" s="1"/>
  <c r="J24" i="1"/>
  <c r="J213" i="1"/>
  <c r="J205" i="1"/>
  <c r="J239" i="1"/>
  <c r="J232" i="1"/>
  <c r="J242" i="1"/>
  <c r="J226" i="1"/>
  <c r="AR330" i="1"/>
  <c r="AR332" i="1" s="1"/>
  <c r="AE82" i="1"/>
  <c r="H167" i="1"/>
  <c r="AH297" i="1"/>
  <c r="AM315" i="1"/>
  <c r="AE296" i="1"/>
  <c r="I63" i="1"/>
  <c r="BE86" i="1"/>
  <c r="AL332" i="1"/>
  <c r="Y168" i="1"/>
  <c r="BA385" i="1"/>
  <c r="BA37" i="1"/>
  <c r="BB240" i="1" s="1"/>
  <c r="BB419" i="1" s="1"/>
  <c r="BA375" i="1"/>
  <c r="Y413" i="1"/>
  <c r="Y312" i="1"/>
  <c r="Y313" i="1" s="1"/>
  <c r="Y314" i="1"/>
  <c r="AX403" i="1"/>
  <c r="AX400" i="1"/>
  <c r="T62" i="1"/>
  <c r="T74" i="1"/>
  <c r="T78" i="1" s="1"/>
  <c r="T82" i="1" s="1"/>
  <c r="W398" i="1"/>
  <c r="W195" i="1"/>
  <c r="W28" i="1"/>
  <c r="G191" i="1"/>
  <c r="G189" i="1"/>
  <c r="AJ413" i="1"/>
  <c r="AJ312" i="1"/>
  <c r="AJ313" i="1" s="1"/>
  <c r="AJ314" i="1"/>
  <c r="AI127" i="1"/>
  <c r="AI78" i="1"/>
  <c r="AI82" i="1" s="1"/>
  <c r="AA398" i="1"/>
  <c r="AA304" i="1"/>
  <c r="AA195" i="1"/>
  <c r="AA28" i="1"/>
  <c r="AD300" i="1"/>
  <c r="H190" i="1"/>
  <c r="H191" i="1" s="1"/>
  <c r="H185" i="1"/>
  <c r="H23" i="1"/>
  <c r="J390" i="1"/>
  <c r="J350" i="1"/>
  <c r="J348" i="1"/>
  <c r="J391" i="1"/>
  <c r="J384" i="1"/>
  <c r="J362" i="1"/>
  <c r="J361" i="1"/>
  <c r="J351" i="1"/>
  <c r="J341" i="1"/>
  <c r="J357" i="1" s="1"/>
  <c r="J322" i="1"/>
  <c r="J349" i="1"/>
  <c r="J339" i="1"/>
  <c r="J329" i="1"/>
  <c r="J328" i="1"/>
  <c r="J342" i="1"/>
  <c r="J358" i="1" s="1"/>
  <c r="J331" i="1"/>
  <c r="J330" i="1"/>
  <c r="J340" i="1"/>
  <c r="J356" i="1" s="1"/>
  <c r="J336" i="1"/>
  <c r="J355" i="1" s="1"/>
  <c r="J335" i="1"/>
  <c r="J354" i="1" s="1"/>
  <c r="J332" i="1"/>
  <c r="J365" i="1"/>
  <c r="J347" i="1"/>
  <c r="J338" i="1"/>
  <c r="J337" i="1"/>
  <c r="J327" i="1"/>
  <c r="J323" i="1"/>
  <c r="J324" i="1"/>
  <c r="J267" i="1"/>
  <c r="J284" i="1"/>
  <c r="J281" i="1"/>
  <c r="J279" i="1"/>
  <c r="J277" i="1"/>
  <c r="J275" i="1"/>
  <c r="J273" i="1"/>
  <c r="J271" i="1"/>
  <c r="J269" i="1"/>
  <c r="J268" i="1"/>
  <c r="J262" i="1"/>
  <c r="J254" i="1"/>
  <c r="J263" i="1"/>
  <c r="J255" i="1"/>
  <c r="J283" i="1"/>
  <c r="J421" i="1" s="1"/>
  <c r="J282" i="1"/>
  <c r="J280" i="1"/>
  <c r="J276" i="1"/>
  <c r="J274" i="1"/>
  <c r="J270" i="1"/>
  <c r="J344" i="1" s="1"/>
  <c r="J260" i="1"/>
  <c r="J256" i="1"/>
  <c r="J252" i="1"/>
  <c r="J261" i="1"/>
  <c r="J253" i="1"/>
  <c r="J19" i="1"/>
  <c r="J17" i="1"/>
  <c r="J18" i="1"/>
  <c r="J175" i="1"/>
  <c r="J225" i="1"/>
  <c r="J223" i="1"/>
  <c r="J216" i="1"/>
  <c r="J233" i="1"/>
  <c r="J245" i="1"/>
  <c r="J236" i="1"/>
  <c r="J244" i="1"/>
  <c r="J224" i="1"/>
  <c r="AV119" i="1"/>
  <c r="AV124" i="1" s="1"/>
  <c r="AB82" i="1"/>
  <c r="AW303" i="1"/>
  <c r="AW302" i="1"/>
  <c r="AW202" i="1"/>
  <c r="BH160" i="1"/>
  <c r="BH159" i="1"/>
  <c r="BI160" i="1"/>
  <c r="BI159" i="1"/>
  <c r="AT375" i="1"/>
  <c r="AT373" i="1"/>
  <c r="AT374" i="1"/>
  <c r="AT305" i="1" s="1"/>
  <c r="AT210" i="1"/>
  <c r="AT209" i="1"/>
  <c r="AT206" i="1" s="1"/>
  <c r="I310" i="1"/>
  <c r="I311" i="1" s="1"/>
  <c r="I181" i="1"/>
  <c r="I177" i="1"/>
  <c r="I176" i="1"/>
  <c r="BD22" i="1"/>
  <c r="H166" i="1"/>
  <c r="H164" i="1"/>
  <c r="AE302" i="1"/>
  <c r="AE303" i="1"/>
  <c r="AE202" i="1"/>
  <c r="H402" i="1"/>
  <c r="H310" i="1"/>
  <c r="H311" i="1" s="1"/>
  <c r="H181" i="1"/>
  <c r="H177" i="1"/>
  <c r="H176" i="1"/>
  <c r="AH398" i="1"/>
  <c r="AH304" i="1"/>
  <c r="AH195" i="1"/>
  <c r="AH28" i="1"/>
  <c r="AQ127" i="1"/>
  <c r="AQ78" i="1"/>
  <c r="AZ375" i="1"/>
  <c r="E207" i="1"/>
  <c r="F207" i="1"/>
  <c r="X398" i="1"/>
  <c r="X195" i="1"/>
  <c r="X28" i="1"/>
  <c r="BD167" i="1"/>
  <c r="BH163" i="1"/>
  <c r="BB256" i="1"/>
  <c r="BB231" i="1" s="1"/>
  <c r="V294" i="1"/>
  <c r="V295" i="1"/>
  <c r="AN294" i="1"/>
  <c r="AQ294" i="1"/>
  <c r="AQ300" i="1"/>
  <c r="BD184" i="1"/>
  <c r="BD19" i="1"/>
  <c r="BD188" i="1" s="1"/>
  <c r="BH13" i="1"/>
  <c r="BE184" i="1"/>
  <c r="AJ302" i="1"/>
  <c r="AJ303" i="1"/>
  <c r="AJ202" i="1"/>
  <c r="AJ296" i="1"/>
  <c r="I52" i="1"/>
  <c r="AQ302" i="1"/>
  <c r="AQ303" i="1"/>
  <c r="AQ202" i="1"/>
  <c r="AQ296" i="1"/>
  <c r="AJ78" i="1"/>
  <c r="AJ82" i="1" s="1"/>
  <c r="AJ127" i="1"/>
  <c r="BA143" i="1"/>
  <c r="BD134" i="1"/>
  <c r="BE134" i="1" s="1"/>
  <c r="BF134" i="1" s="1"/>
  <c r="BG134" i="1" s="1"/>
  <c r="AN330" i="1"/>
  <c r="AN332" i="1" s="1"/>
  <c r="AF299" i="1"/>
  <c r="AF294" i="1"/>
  <c r="AF300" i="1"/>
  <c r="AF297" i="1"/>
  <c r="AF295" i="1"/>
  <c r="AV365" i="1"/>
  <c r="AV299" i="1"/>
  <c r="AV294" i="1"/>
  <c r="AV300" i="1"/>
  <c r="AV297" i="1"/>
  <c r="AV295" i="1"/>
  <c r="BA328" i="1"/>
  <c r="BB267" i="1"/>
  <c r="AK332" i="1"/>
  <c r="AM299" i="1"/>
  <c r="AU358" i="1"/>
  <c r="BB349" i="1"/>
  <c r="AL358" i="1"/>
  <c r="I372" i="1"/>
  <c r="AK413" i="1"/>
  <c r="AK314" i="1"/>
  <c r="AK312" i="1"/>
  <c r="AK313" i="1" s="1"/>
  <c r="I317" i="1"/>
  <c r="I272" i="1"/>
  <c r="I278" i="1" s="1"/>
  <c r="I285" i="1" s="1"/>
  <c r="J417" i="1"/>
  <c r="I393" i="1"/>
  <c r="I392" i="1"/>
  <c r="I290" i="1"/>
  <c r="Z83" i="1"/>
  <c r="AA83" i="1"/>
  <c r="AP303" i="1"/>
  <c r="AP302" i="1"/>
  <c r="AP296" i="1"/>
  <c r="AP202" i="1"/>
  <c r="AS299" i="1"/>
  <c r="U62" i="1"/>
  <c r="U74" i="1"/>
  <c r="U78" i="1" s="1"/>
  <c r="AM398" i="1"/>
  <c r="AM304" i="1"/>
  <c r="AM195" i="1"/>
  <c r="AM28" i="1"/>
  <c r="AF398" i="1"/>
  <c r="AF304" i="1"/>
  <c r="AF195" i="1"/>
  <c r="AF28" i="1"/>
  <c r="AO303" i="1"/>
  <c r="AO302" i="1"/>
  <c r="AO202" i="1"/>
  <c r="AO296" i="1"/>
  <c r="Z62" i="1"/>
  <c r="Z74" i="1"/>
  <c r="Z78" i="1" s="1"/>
  <c r="AR119" i="1"/>
  <c r="AR124" i="1" s="1"/>
  <c r="AR93" i="1"/>
  <c r="AN127" i="1"/>
  <c r="AN78" i="1"/>
  <c r="BE120" i="1"/>
  <c r="BE123" i="1" s="1"/>
  <c r="BE127" i="1" s="1"/>
  <c r="AG82" i="1"/>
  <c r="S200" i="1"/>
  <c r="S193" i="1"/>
  <c r="S25" i="1"/>
  <c r="AS398" i="1"/>
  <c r="AS304" i="1"/>
  <c r="AS195" i="1"/>
  <c r="AS28" i="1"/>
  <c r="AY168" i="1"/>
  <c r="AY18" i="1"/>
  <c r="W407" i="1"/>
  <c r="W322" i="1"/>
  <c r="W324" i="1" s="1"/>
  <c r="W330" i="1" s="1"/>
  <c r="W332" i="1" s="1"/>
  <c r="X402" i="1"/>
  <c r="Z295" i="1"/>
  <c r="Z294" i="1"/>
  <c r="AJ297" i="1"/>
  <c r="AJ299" i="1"/>
  <c r="U195" i="1"/>
  <c r="U28" i="1"/>
  <c r="AU93" i="1"/>
  <c r="AZ90" i="1"/>
  <c r="AZ93" i="1" s="1"/>
  <c r="G322" i="1"/>
  <c r="G324" i="1" s="1"/>
  <c r="G330" i="1" s="1"/>
  <c r="G402" i="1"/>
  <c r="AI302" i="1"/>
  <c r="AI303" i="1"/>
  <c r="AI202" i="1"/>
  <c r="AI296" i="1"/>
  <c r="F388" i="1"/>
  <c r="F32" i="1"/>
  <c r="F387" i="1" s="1"/>
  <c r="AR302" i="1"/>
  <c r="AR303" i="1"/>
  <c r="AR202" i="1"/>
  <c r="AR296" i="1"/>
  <c r="I166" i="1"/>
  <c r="I164" i="1"/>
  <c r="J152" i="1"/>
  <c r="J149" i="1"/>
  <c r="J155" i="1"/>
  <c r="J60" i="1"/>
  <c r="J49" i="1"/>
  <c r="AL30" i="1"/>
  <c r="AL197" i="1"/>
  <c r="AL399" i="1" s="1"/>
  <c r="AP127" i="1"/>
  <c r="AP78" i="1"/>
  <c r="BF167" i="1"/>
  <c r="BJ163" i="1"/>
  <c r="BC167" i="1"/>
  <c r="BG163" i="1"/>
  <c r="I61" i="1"/>
  <c r="I57" i="1"/>
  <c r="I62" i="1" s="1"/>
  <c r="AN302" i="1"/>
  <c r="AN303" i="1"/>
  <c r="AN202" i="1"/>
  <c r="AN296" i="1"/>
  <c r="Y303" i="1"/>
  <c r="Y302" i="1"/>
  <c r="Y296" i="1"/>
  <c r="H292" i="1"/>
  <c r="H293" i="1"/>
  <c r="H57" i="1"/>
  <c r="H62" i="1" s="1"/>
  <c r="H61" i="1"/>
  <c r="BD78" i="1"/>
  <c r="BD57" i="1"/>
  <c r="BD62" i="1" s="1"/>
  <c r="AV78" i="1"/>
  <c r="AV127" i="1"/>
  <c r="AO127" i="1"/>
  <c r="AO78" i="1"/>
  <c r="AO82" i="1" s="1"/>
  <c r="AY113" i="1"/>
  <c r="AY104" i="1"/>
  <c r="AY114" i="1" s="1"/>
  <c r="AT127" i="1"/>
  <c r="AT78" i="1"/>
  <c r="BF202" i="1"/>
  <c r="AO299" i="1"/>
  <c r="AN300" i="1"/>
  <c r="AN299" i="1"/>
  <c r="AT398" i="1"/>
  <c r="AT304" i="1"/>
  <c r="AT195" i="1"/>
  <c r="AT28" i="1"/>
  <c r="AU127" i="1"/>
  <c r="AU78" i="1"/>
  <c r="AG398" i="1"/>
  <c r="AG399" i="1" s="1"/>
  <c r="AG408" i="1" s="1"/>
  <c r="AG304" i="1"/>
  <c r="AG195" i="1"/>
  <c r="AG28" i="1"/>
  <c r="AB302" i="1"/>
  <c r="AB303" i="1"/>
  <c r="AB202" i="1"/>
  <c r="AB296" i="1"/>
  <c r="AP299" i="1"/>
  <c r="Y297" i="1"/>
  <c r="I397" i="1"/>
  <c r="I257" i="1"/>
  <c r="I2" i="1"/>
  <c r="I345" i="1"/>
  <c r="I291" i="1"/>
  <c r="I396" i="1"/>
  <c r="E193" i="1"/>
  <c r="E200" i="1"/>
  <c r="E25" i="1"/>
  <c r="G293" i="1"/>
  <c r="G292" i="1"/>
  <c r="AU302" i="1"/>
  <c r="AU303" i="1"/>
  <c r="AU202" i="1"/>
  <c r="AX299" i="1"/>
  <c r="AV302" i="1"/>
  <c r="AV303" i="1"/>
  <c r="AV202" i="1"/>
  <c r="H407" i="1"/>
  <c r="AO413" i="1"/>
  <c r="AO314" i="1"/>
  <c r="AO312" i="1"/>
  <c r="AO313" i="1" s="1"/>
  <c r="AD30" i="1"/>
  <c r="AD197" i="1"/>
  <c r="AD399" i="1" s="1"/>
  <c r="AV396" i="1"/>
  <c r="AV402" i="1" s="1"/>
  <c r="AV257" i="1"/>
  <c r="BF118" i="1"/>
  <c r="BG98" i="1"/>
  <c r="AL120" i="1"/>
  <c r="AL123" i="1" s="1"/>
  <c r="BA183" i="1"/>
  <c r="AP168" i="1"/>
  <c r="AI297" i="1"/>
  <c r="AJ300" i="1"/>
  <c r="AR294" i="1"/>
  <c r="BD311" i="1"/>
  <c r="BC310" i="1"/>
  <c r="BC315" i="1"/>
  <c r="BB356" i="1"/>
  <c r="BB331" i="1"/>
  <c r="AP120" i="1"/>
  <c r="AP123" i="1" s="1"/>
  <c r="G309" i="1"/>
  <c r="G308" i="1"/>
  <c r="G264" i="1"/>
  <c r="G286" i="1" s="1"/>
  <c r="AA302" i="1"/>
  <c r="AA303" i="1"/>
  <c r="AA202" i="1"/>
  <c r="AA296" i="1"/>
  <c r="AD299" i="1"/>
  <c r="J73" i="1"/>
  <c r="J14" i="1"/>
  <c r="AR127" i="1"/>
  <c r="AR78" i="1"/>
  <c r="AK127" i="1"/>
  <c r="AK78" i="1"/>
  <c r="AW398" i="1"/>
  <c r="AW304" i="1"/>
  <c r="AW195" i="1"/>
  <c r="AW28" i="1"/>
  <c r="BD166" i="1"/>
  <c r="BD164" i="1"/>
  <c r="BH162" i="1"/>
  <c r="BB271" i="1"/>
  <c r="BA234" i="1"/>
  <c r="Y417" i="1"/>
  <c r="X327" i="1"/>
  <c r="AS413" i="1"/>
  <c r="AS314" i="1"/>
  <c r="AS312" i="1"/>
  <c r="AS313" i="1" s="1"/>
  <c r="I81" i="1"/>
  <c r="I78" i="1"/>
  <c r="AC197" i="1"/>
  <c r="AC399" i="1" s="1"/>
  <c r="AC30" i="1"/>
  <c r="AE398" i="1"/>
  <c r="AE304" i="1"/>
  <c r="AE195" i="1"/>
  <c r="AE28" i="1"/>
  <c r="AG413" i="1"/>
  <c r="AG312" i="1"/>
  <c r="AG313" i="1" s="1"/>
  <c r="AG314" i="1"/>
  <c r="H78" i="1"/>
  <c r="H82" i="1" s="1"/>
  <c r="H81" i="1"/>
  <c r="AH303" i="1"/>
  <c r="AH296" i="1"/>
  <c r="AH302" i="1"/>
  <c r="AH202" i="1"/>
  <c r="BC312" i="1"/>
  <c r="BD313" i="1"/>
  <c r="BG184" i="1"/>
  <c r="BG19" i="1"/>
  <c r="BG188" i="1" s="1"/>
  <c r="Z200" i="1"/>
  <c r="AB299" i="1" s="1"/>
  <c r="Z193" i="1"/>
  <c r="Z25" i="1"/>
  <c r="Z300" i="1" s="1"/>
  <c r="AT303" i="1"/>
  <c r="AT302" i="1"/>
  <c r="AT202" i="1"/>
  <c r="BG68" i="1"/>
  <c r="BG66" i="1"/>
  <c r="Y62" i="1"/>
  <c r="Y74" i="1"/>
  <c r="Y78" i="1" s="1"/>
  <c r="AJ398" i="1"/>
  <c r="AJ304" i="1"/>
  <c r="AJ195" i="1"/>
  <c r="AJ28" i="1"/>
  <c r="I83" i="1"/>
  <c r="AQ398" i="1"/>
  <c r="AQ304" i="1"/>
  <c r="AQ195" i="1"/>
  <c r="AQ28" i="1"/>
  <c r="BC38" i="1"/>
  <c r="BE105" i="1"/>
  <c r="BE60" i="1"/>
  <c r="BE43" i="1" s="1"/>
  <c r="BC131" i="1"/>
  <c r="AP413" i="1"/>
  <c r="AP314" i="1"/>
  <c r="AP312" i="1"/>
  <c r="AP313" i="1" s="1"/>
  <c r="AX127" i="1"/>
  <c r="AX78" i="1"/>
  <c r="BF166" i="1"/>
  <c r="BF164" i="1"/>
  <c r="BJ162" i="1"/>
  <c r="BF12" i="1"/>
  <c r="BF183" i="1" s="1"/>
  <c r="AH300" i="1"/>
  <c r="BA329" i="1"/>
  <c r="BB276" i="1"/>
  <c r="AT365" i="1"/>
  <c r="AT300" i="1"/>
  <c r="AT297" i="1"/>
  <c r="AT295" i="1"/>
  <c r="AT294" i="1"/>
  <c r="AT299" i="1"/>
  <c r="AW296" i="1"/>
  <c r="AT330" i="1"/>
  <c r="AT332" i="1" s="1"/>
  <c r="AM294" i="1"/>
  <c r="BC349" i="1"/>
  <c r="BD347" i="1"/>
  <c r="BC361" i="1"/>
  <c r="AX418" i="1"/>
  <c r="AX405" i="1"/>
  <c r="AX387" i="1"/>
  <c r="AX221" i="1"/>
  <c r="AX227" i="1" s="1"/>
  <c r="AX35" i="1"/>
  <c r="AK30" i="1"/>
  <c r="AK197" i="1"/>
  <c r="AK399" i="1" s="1"/>
  <c r="I316" i="1"/>
  <c r="I420" i="1"/>
  <c r="V413" i="1"/>
  <c r="V185" i="1"/>
  <c r="V190" i="1"/>
  <c r="V23" i="1"/>
  <c r="E191" i="1"/>
  <c r="E189" i="1"/>
  <c r="AP398" i="1"/>
  <c r="AP304" i="1"/>
  <c r="AP195" i="1"/>
  <c r="AP28" i="1"/>
  <c r="AS300" i="1"/>
  <c r="AB413" i="1"/>
  <c r="AB312" i="1"/>
  <c r="AB313" i="1" s="1"/>
  <c r="AB314" i="1"/>
  <c r="AM302" i="1"/>
  <c r="AM303" i="1"/>
  <c r="AM202" i="1"/>
  <c r="AM296" i="1"/>
  <c r="AF302" i="1"/>
  <c r="AF303" i="1"/>
  <c r="AF202" i="1"/>
  <c r="AO398" i="1"/>
  <c r="AO304" i="1"/>
  <c r="AO195" i="1"/>
  <c r="AO28" i="1"/>
  <c r="AL51" i="1"/>
  <c r="AM51" i="1"/>
  <c r="BH65" i="1"/>
  <c r="BI69" i="1"/>
  <c r="H372" i="1"/>
  <c r="AU308" i="1"/>
  <c r="AU309" i="1"/>
  <c r="AU264" i="1"/>
  <c r="AU286" i="1" s="1"/>
  <c r="AW127" i="1"/>
  <c r="AW78" i="1"/>
  <c r="AS303" i="1"/>
  <c r="AS302" i="1"/>
  <c r="AS296" i="1"/>
  <c r="AS202" i="1"/>
  <c r="AS297" i="1"/>
  <c r="BE166" i="1"/>
  <c r="BE164" i="1"/>
  <c r="BI162" i="1"/>
  <c r="AZ258" i="1"/>
  <c r="AY260" i="1"/>
  <c r="BA318" i="1"/>
  <c r="AA300" i="1"/>
  <c r="AX408" i="1"/>
  <c r="AI300" i="1"/>
  <c r="AR300" i="1"/>
  <c r="AR299" i="1"/>
  <c r="W397" i="1"/>
  <c r="I373" i="1"/>
  <c r="I374" i="1"/>
  <c r="I305" i="1" s="1"/>
  <c r="I375" i="1"/>
  <c r="G200" i="1"/>
  <c r="G193" i="1"/>
  <c r="G25" i="1"/>
  <c r="AF413" i="1"/>
  <c r="AF314" i="1"/>
  <c r="AF312" i="1"/>
  <c r="AF313" i="1" s="1"/>
  <c r="AI398" i="1"/>
  <c r="AI304" i="1"/>
  <c r="AI195" i="1"/>
  <c r="AI28" i="1"/>
  <c r="AR398" i="1"/>
  <c r="AR304" i="1"/>
  <c r="AR195" i="1"/>
  <c r="AR28" i="1"/>
  <c r="L5" i="1"/>
  <c r="K6" i="1"/>
  <c r="K382" i="1" s="1"/>
  <c r="J163" i="1"/>
  <c r="BB57" i="1"/>
  <c r="BB62" i="1" s="1"/>
  <c r="T195" i="1"/>
  <c r="T28" i="1"/>
  <c r="AZ168" i="1"/>
  <c r="AZ18" i="1"/>
  <c r="AZ187" i="1" s="1"/>
  <c r="BE167" i="1"/>
  <c r="BI163" i="1"/>
  <c r="BD12" i="1"/>
  <c r="BE183" i="1"/>
  <c r="AT237" i="1"/>
  <c r="AT246" i="1" s="1"/>
  <c r="AT247" i="1" s="1"/>
  <c r="AK299" i="1"/>
  <c r="AE378" i="1"/>
  <c r="AE259" i="1"/>
  <c r="AD258" i="1"/>
  <c r="Z324" i="1"/>
  <c r="H322" i="1"/>
  <c r="BB384" i="1"/>
  <c r="V62" i="1"/>
  <c r="V74" i="1"/>
  <c r="V78" i="1" s="1"/>
  <c r="V82" i="1" s="1"/>
  <c r="I50" i="1"/>
  <c r="I45" i="1"/>
  <c r="AN398" i="1"/>
  <c r="AN304" i="1"/>
  <c r="AN195" i="1"/>
  <c r="AN28" i="1"/>
  <c r="Y398" i="1"/>
  <c r="Y304" i="1"/>
  <c r="Y195" i="1"/>
  <c r="Y28" i="1"/>
  <c r="AM127" i="1"/>
  <c r="AM78" i="1"/>
  <c r="AW413" i="1"/>
  <c r="AW312" i="1"/>
  <c r="AW313" i="1" s="1"/>
  <c r="AW314" i="1"/>
  <c r="H50" i="1"/>
  <c r="H45" i="1"/>
  <c r="AF82" i="1"/>
  <c r="BB175" i="1"/>
  <c r="BB155" i="1"/>
  <c r="BB152" i="1"/>
  <c r="BB149" i="1"/>
  <c r="BB49" i="1"/>
  <c r="BC49" i="1"/>
  <c r="BB137" i="1"/>
  <c r="BA89" i="1"/>
  <c r="BA92" i="1" s="1"/>
  <c r="AO300" i="1"/>
  <c r="BA421" i="1"/>
  <c r="BB283" i="1"/>
  <c r="AU365" i="1"/>
  <c r="AU295" i="1"/>
  <c r="AU294" i="1"/>
  <c r="AU300" i="1"/>
  <c r="AU299" i="1"/>
  <c r="AU297" i="1"/>
  <c r="AE295" i="1"/>
  <c r="AE294" i="1"/>
  <c r="AE300" i="1"/>
  <c r="AE299" i="1"/>
  <c r="AE297" i="1"/>
  <c r="AN297" i="1"/>
  <c r="AQ299" i="1"/>
  <c r="Z191" i="1"/>
  <c r="Z189" i="1"/>
  <c r="BI70" i="1"/>
  <c r="BH67" i="1"/>
  <c r="BA78" i="1"/>
  <c r="BA57" i="1"/>
  <c r="BA62" i="1" s="1"/>
  <c r="AR413" i="1"/>
  <c r="AR312" i="1"/>
  <c r="AR313" i="1" s="1"/>
  <c r="AR314" i="1"/>
  <c r="AG303" i="1"/>
  <c r="AG296" i="1"/>
  <c r="AG302" i="1"/>
  <c r="AG202" i="1"/>
  <c r="I190" i="1"/>
  <c r="I191" i="1" s="1"/>
  <c r="I185" i="1"/>
  <c r="I23" i="1"/>
  <c r="BF119" i="1"/>
  <c r="BF124" i="1" s="1"/>
  <c r="BG97" i="1"/>
  <c r="BF99" i="1"/>
  <c r="BF87" i="1"/>
  <c r="AS127" i="1"/>
  <c r="AS78" i="1"/>
  <c r="AB398" i="1"/>
  <c r="AB304" i="1"/>
  <c r="AB195" i="1"/>
  <c r="AB28" i="1"/>
  <c r="AX246" i="1"/>
  <c r="AX247" i="1" s="1"/>
  <c r="BB168" i="1"/>
  <c r="BB18" i="1"/>
  <c r="BB187" i="1" s="1"/>
  <c r="BF274" i="1"/>
  <c r="AL300" i="1"/>
  <c r="AT296" i="1"/>
  <c r="AW365" i="1"/>
  <c r="AW299" i="1"/>
  <c r="AW297" i="1"/>
  <c r="AW295" i="1"/>
  <c r="AW300" i="1"/>
  <c r="AW294" i="1"/>
  <c r="AK358" i="1"/>
  <c r="AX39" i="1"/>
  <c r="AX1" i="1"/>
  <c r="J379" i="1"/>
  <c r="I318" i="1"/>
  <c r="BJ184" i="1"/>
  <c r="BJ19" i="1"/>
  <c r="BJ188" i="1" s="1"/>
  <c r="V63" i="1"/>
  <c r="V75" i="1"/>
  <c r="V79" i="1" s="1"/>
  <c r="X62" i="1"/>
  <c r="X74" i="1"/>
  <c r="X78" i="1" s="1"/>
  <c r="X82" i="1" s="1"/>
  <c r="U81" i="1"/>
  <c r="AN413" i="1"/>
  <c r="AN314" i="1"/>
  <c r="AN312" i="1"/>
  <c r="AN313" i="1" s="1"/>
  <c r="AU398" i="1"/>
  <c r="AU304" i="1"/>
  <c r="AU195" i="1"/>
  <c r="AU28" i="1"/>
  <c r="AX300" i="1"/>
  <c r="AV398" i="1"/>
  <c r="AV304" i="1"/>
  <c r="AV195" i="1"/>
  <c r="AV28" i="1"/>
  <c r="H309" i="1"/>
  <c r="H308" i="1"/>
  <c r="H264" i="1"/>
  <c r="H286" i="1" s="1"/>
  <c r="H373" i="1"/>
  <c r="Z81" i="1"/>
  <c r="AA81" i="1"/>
  <c r="AU407" i="1"/>
  <c r="AU322" i="1"/>
  <c r="AU324" i="1" s="1"/>
  <c r="AU330" i="1" s="1"/>
  <c r="AU332" i="1" s="1"/>
  <c r="AT413" i="1"/>
  <c r="AT314" i="1"/>
  <c r="AT312" i="1"/>
  <c r="AT313" i="1" s="1"/>
  <c r="AL127" i="1"/>
  <c r="AL78" i="1"/>
  <c r="BA168" i="1"/>
  <c r="BA18" i="1"/>
  <c r="BA187" i="1" s="1"/>
  <c r="BC166" i="1"/>
  <c r="BC164" i="1"/>
  <c r="BG162" i="1"/>
  <c r="BC12" i="1"/>
  <c r="BC183" i="1" s="1"/>
  <c r="X407" i="1"/>
  <c r="X322" i="1"/>
  <c r="X324" i="1" s="1"/>
  <c r="Y402" i="1"/>
  <c r="BA420" i="1"/>
  <c r="BB279" i="1"/>
  <c r="AD375" i="1"/>
  <c r="AD373" i="1"/>
  <c r="AD374" i="1"/>
  <c r="AD305" i="1" s="1"/>
  <c r="AD210" i="1"/>
  <c r="I210" i="1" s="1"/>
  <c r="AD209" i="1"/>
  <c r="BC354" i="1"/>
  <c r="BC340" i="1"/>
  <c r="BD335" i="1"/>
  <c r="AZ110" i="1"/>
  <c r="AZ113" i="1"/>
  <c r="AZ115" i="1" s="1"/>
  <c r="AZ75" i="1" s="1"/>
  <c r="AV98" i="1"/>
  <c r="AV118" i="1" s="1"/>
  <c r="J44" i="1" l="1"/>
  <c r="I167" i="1"/>
  <c r="J56" i="1"/>
  <c r="J77" i="1"/>
  <c r="J183" i="1"/>
  <c r="J187" i="1"/>
  <c r="J372" i="1"/>
  <c r="U82" i="1"/>
  <c r="AJ315" i="1"/>
  <c r="Y315" i="1"/>
  <c r="J385" i="1"/>
  <c r="AV120" i="1"/>
  <c r="AV123" i="1" s="1"/>
  <c r="AV126" i="1" s="1"/>
  <c r="AN315" i="1"/>
  <c r="BA82" i="1"/>
  <c r="AF315" i="1"/>
  <c r="AR82" i="1"/>
  <c r="I178" i="1"/>
  <c r="BD224" i="1"/>
  <c r="BE275" i="1"/>
  <c r="X329" i="1"/>
  <c r="X278" i="1"/>
  <c r="X285" i="1" s="1"/>
  <c r="X286" i="1" s="1"/>
  <c r="AW82" i="1"/>
  <c r="H178" i="1"/>
  <c r="J159" i="1"/>
  <c r="J160" i="1" s="1"/>
  <c r="AW315" i="1"/>
  <c r="AM82" i="1"/>
  <c r="I202" i="1"/>
  <c r="AO315" i="1"/>
  <c r="W286" i="1"/>
  <c r="P134" i="1"/>
  <c r="BI167" i="1"/>
  <c r="I407" i="1"/>
  <c r="AG30" i="1"/>
  <c r="AY187" i="1"/>
  <c r="AR120" i="1"/>
  <c r="AR123" i="1" s="1"/>
  <c r="AR126" i="1" s="1"/>
  <c r="BC78" i="1"/>
  <c r="BC82" i="1" s="1"/>
  <c r="BC57" i="1"/>
  <c r="BC62" i="1" s="1"/>
  <c r="X397" i="1"/>
  <c r="AT315" i="1"/>
  <c r="AS82" i="1"/>
  <c r="BB213" i="1"/>
  <c r="H51" i="1"/>
  <c r="K12" i="1"/>
  <c r="K183" i="1" s="1"/>
  <c r="G296" i="1"/>
  <c r="AY115" i="1"/>
  <c r="AY75" i="1" s="1"/>
  <c r="AV82" i="1"/>
  <c r="BG167" i="1"/>
  <c r="H168" i="1"/>
  <c r="J194" i="1"/>
  <c r="BM35" i="1"/>
  <c r="BM36" i="1" s="1"/>
  <c r="BM37" i="1" s="1"/>
  <c r="BM38" i="1" s="1"/>
  <c r="BM39" i="1" s="1"/>
  <c r="BM40" i="1" s="1"/>
  <c r="BM41" i="1" s="1"/>
  <c r="BM42" i="1" s="1"/>
  <c r="BM43" i="1" s="1"/>
  <c r="BH167" i="1"/>
  <c r="O137" i="1"/>
  <c r="AL82" i="1"/>
  <c r="BF86" i="1"/>
  <c r="AR315" i="1"/>
  <c r="J167" i="1"/>
  <c r="AS315" i="1"/>
  <c r="BF120" i="1"/>
  <c r="BF123" i="1" s="1"/>
  <c r="BF127" i="1" s="1"/>
  <c r="BD82" i="1"/>
  <c r="BJ167" i="1"/>
  <c r="BB82" i="1"/>
  <c r="I168" i="1"/>
  <c r="Z82" i="1"/>
  <c r="H189" i="1"/>
  <c r="H413" i="1" s="1"/>
  <c r="J420" i="1"/>
  <c r="AK403" i="1"/>
  <c r="AK400" i="1"/>
  <c r="AK408" i="1"/>
  <c r="AC400" i="1"/>
  <c r="AC403" i="1"/>
  <c r="AC408" i="1"/>
  <c r="AL403" i="1"/>
  <c r="AL400" i="1"/>
  <c r="AL408" i="1"/>
  <c r="AD403" i="1"/>
  <c r="AD400" i="1"/>
  <c r="AD408" i="1"/>
  <c r="BD354" i="1"/>
  <c r="BD340" i="1"/>
  <c r="BE335" i="1"/>
  <c r="X330" i="1"/>
  <c r="X332" i="1" s="1"/>
  <c r="BC168" i="1"/>
  <c r="BC18" i="1"/>
  <c r="BC187" i="1" s="1"/>
  <c r="AS126" i="1"/>
  <c r="AS128" i="1"/>
  <c r="AM128" i="1"/>
  <c r="AM126" i="1"/>
  <c r="K37" i="1"/>
  <c r="K383" i="1" s="1"/>
  <c r="K385" i="1" s="1"/>
  <c r="L230" i="1"/>
  <c r="L97" i="1"/>
  <c r="M5" i="1"/>
  <c r="L29" i="1"/>
  <c r="L6" i="1"/>
  <c r="K43" i="1"/>
  <c r="K17" i="1"/>
  <c r="K26" i="1"/>
  <c r="K120" i="1"/>
  <c r="K123" i="1"/>
  <c r="K175" i="1"/>
  <c r="K205" i="1"/>
  <c r="K118" i="1"/>
  <c r="K209" i="1"/>
  <c r="K226" i="1"/>
  <c r="K233" i="1"/>
  <c r="K245" i="1"/>
  <c r="K232" i="1"/>
  <c r="K240" i="1"/>
  <c r="K419" i="1" s="1"/>
  <c r="G398" i="1"/>
  <c r="G304" i="1"/>
  <c r="G195" i="1"/>
  <c r="G28" i="1"/>
  <c r="AK404" i="1"/>
  <c r="AK388" i="1"/>
  <c r="AK32" i="1"/>
  <c r="AK36" i="1"/>
  <c r="AK34" i="1"/>
  <c r="BF168" i="1"/>
  <c r="BF18" i="1"/>
  <c r="BF187" i="1" s="1"/>
  <c r="AP315" i="1"/>
  <c r="AJ30" i="1"/>
  <c r="AJ197" i="1"/>
  <c r="Y82" i="1"/>
  <c r="W82" i="1"/>
  <c r="AW197" i="1"/>
  <c r="AW399" i="1" s="1"/>
  <c r="AW30" i="1"/>
  <c r="AK82" i="1"/>
  <c r="AA82" i="1"/>
  <c r="J61" i="1"/>
  <c r="AV407" i="1"/>
  <c r="AV322" i="1"/>
  <c r="AV324" i="1" s="1"/>
  <c r="AV330" i="1" s="1"/>
  <c r="AV332" i="1" s="1"/>
  <c r="AW402" i="1"/>
  <c r="AW407" i="1"/>
  <c r="AT30" i="1"/>
  <c r="AT197" i="1"/>
  <c r="AT399" i="1" s="1"/>
  <c r="AY110" i="1"/>
  <c r="AP128" i="1"/>
  <c r="AP126" i="1"/>
  <c r="AS30" i="1"/>
  <c r="AS197" i="1"/>
  <c r="S195" i="1"/>
  <c r="S28" i="1"/>
  <c r="BE128" i="1"/>
  <c r="BE74" i="1"/>
  <c r="AF197" i="1"/>
  <c r="AF399" i="1" s="1"/>
  <c r="AF30" i="1"/>
  <c r="AM30" i="1"/>
  <c r="AM197" i="1"/>
  <c r="AK315" i="1"/>
  <c r="BH134" i="1"/>
  <c r="BI134" i="1" s="1"/>
  <c r="BJ134" i="1" s="1"/>
  <c r="X30" i="1"/>
  <c r="X197" i="1"/>
  <c r="AV93" i="1"/>
  <c r="K417" i="1"/>
  <c r="J392" i="1"/>
  <c r="J393" i="1"/>
  <c r="J290" i="1"/>
  <c r="AB300" i="1"/>
  <c r="AZ79" i="1"/>
  <c r="AZ73" i="1"/>
  <c r="BC356" i="1"/>
  <c r="BC331" i="1"/>
  <c r="BB420" i="1"/>
  <c r="BC279" i="1"/>
  <c r="AL128" i="1"/>
  <c r="AL126" i="1"/>
  <c r="V83" i="1"/>
  <c r="W83" i="1"/>
  <c r="I193" i="1"/>
  <c r="I200" i="1"/>
  <c r="I25" i="1"/>
  <c r="BH66" i="1"/>
  <c r="BH68" i="1"/>
  <c r="Y30" i="1"/>
  <c r="Y197" i="1"/>
  <c r="Y399" i="1" s="1"/>
  <c r="AN30" i="1"/>
  <c r="AN197" i="1"/>
  <c r="AN399" i="1" s="1"/>
  <c r="I51" i="1"/>
  <c r="BC384" i="1"/>
  <c r="BC382" i="1" s="1"/>
  <c r="Z330" i="1"/>
  <c r="H324" i="1"/>
  <c r="K391" i="1"/>
  <c r="K390" i="1"/>
  <c r="K384" i="1"/>
  <c r="K365" i="1"/>
  <c r="K362" i="1"/>
  <c r="K342" i="1"/>
  <c r="K358" i="1" s="1"/>
  <c r="K338" i="1"/>
  <c r="K336" i="1"/>
  <c r="K355" i="1" s="1"/>
  <c r="K331" i="1"/>
  <c r="K329" i="1"/>
  <c r="K327" i="1"/>
  <c r="K323" i="1"/>
  <c r="K361" i="1"/>
  <c r="K351" i="1"/>
  <c r="K330" i="1"/>
  <c r="K324" i="1"/>
  <c r="K348" i="1"/>
  <c r="K341" i="1"/>
  <c r="K357" i="1" s="1"/>
  <c r="K340" i="1"/>
  <c r="K356" i="1" s="1"/>
  <c r="K335" i="1"/>
  <c r="K354" i="1" s="1"/>
  <c r="K332" i="1"/>
  <c r="K350" i="1"/>
  <c r="K347" i="1"/>
  <c r="K337" i="1"/>
  <c r="K349" i="1"/>
  <c r="K339" i="1"/>
  <c r="K328" i="1"/>
  <c r="K283" i="1"/>
  <c r="K421" i="1" s="1"/>
  <c r="K322" i="1"/>
  <c r="K268" i="1"/>
  <c r="K267" i="1"/>
  <c r="K263" i="1"/>
  <c r="K255" i="1"/>
  <c r="K282" i="1"/>
  <c r="K280" i="1"/>
  <c r="K276" i="1"/>
  <c r="K274" i="1"/>
  <c r="K270" i="1"/>
  <c r="K344" i="1" s="1"/>
  <c r="K260" i="1"/>
  <c r="K256" i="1"/>
  <c r="K252" i="1"/>
  <c r="K261" i="1"/>
  <c r="K253" i="1"/>
  <c r="K284" i="1"/>
  <c r="K281" i="1"/>
  <c r="K279" i="1"/>
  <c r="K277" i="1"/>
  <c r="K275" i="1"/>
  <c r="K273" i="1"/>
  <c r="K271" i="1"/>
  <c r="K269" i="1"/>
  <c r="K262" i="1"/>
  <c r="K254" i="1"/>
  <c r="K144" i="1"/>
  <c r="K11" i="1"/>
  <c r="K90" i="1"/>
  <c r="K19" i="1"/>
  <c r="K87" i="1"/>
  <c r="K125" i="1"/>
  <c r="K206" i="1"/>
  <c r="K213" i="1"/>
  <c r="K124" i="1"/>
  <c r="K215" i="1"/>
  <c r="K239" i="1"/>
  <c r="K207" i="1"/>
  <c r="K234" i="1"/>
  <c r="K242" i="1"/>
  <c r="AR30" i="1"/>
  <c r="AR197" i="1"/>
  <c r="AR399" i="1" s="1"/>
  <c r="AI30" i="1"/>
  <c r="AI197" i="1"/>
  <c r="AI399" i="1" s="1"/>
  <c r="BB318" i="1"/>
  <c r="BI166" i="1"/>
  <c r="BI164" i="1"/>
  <c r="V193" i="1"/>
  <c r="V200" i="1"/>
  <c r="V25" i="1"/>
  <c r="AX422" i="1"/>
  <c r="AX423" i="1" s="1"/>
  <c r="BD131" i="1"/>
  <c r="BD38" i="1"/>
  <c r="Z303" i="1"/>
  <c r="Z302" i="1"/>
  <c r="Z202" i="1"/>
  <c r="AC299" i="1"/>
  <c r="Z296" i="1"/>
  <c r="AE30" i="1"/>
  <c r="AE197" i="1"/>
  <c r="AE399" i="1" s="1"/>
  <c r="AC404" i="1"/>
  <c r="AC388" i="1"/>
  <c r="AC32" i="1"/>
  <c r="AC36" i="1"/>
  <c r="AC34" i="1"/>
  <c r="BH166" i="1"/>
  <c r="BH164" i="1"/>
  <c r="AK128" i="1"/>
  <c r="AK126" i="1"/>
  <c r="J310" i="1"/>
  <c r="J311" i="1" s="1"/>
  <c r="J181" i="1"/>
  <c r="J176" i="1"/>
  <c r="I209" i="1"/>
  <c r="BH98" i="1"/>
  <c r="BG118" i="1"/>
  <c r="AG403" i="1"/>
  <c r="AG400" i="1"/>
  <c r="AT82" i="1"/>
  <c r="AY73" i="1"/>
  <c r="AY79" i="1"/>
  <c r="AY83" i="1" s="1"/>
  <c r="Z297" i="1"/>
  <c r="AN82" i="1"/>
  <c r="BB328" i="1"/>
  <c r="BC267" i="1"/>
  <c r="BA103" i="1"/>
  <c r="BA90" i="1"/>
  <c r="BA93" i="1" s="1"/>
  <c r="BA145" i="1"/>
  <c r="BA48" i="1" s="1"/>
  <c r="AQ82" i="1"/>
  <c r="J202" i="1"/>
  <c r="I189" i="1"/>
  <c r="BI12" i="1"/>
  <c r="J375" i="1"/>
  <c r="J373" i="1"/>
  <c r="J374" i="1"/>
  <c r="J305" i="1" s="1"/>
  <c r="J186" i="1"/>
  <c r="J75" i="1"/>
  <c r="J74" i="1" s="1"/>
  <c r="J46" i="1"/>
  <c r="J20" i="1"/>
  <c r="J79" i="1"/>
  <c r="J83" i="1" s="1"/>
  <c r="J58" i="1"/>
  <c r="J63" i="1" s="1"/>
  <c r="J397" i="1"/>
  <c r="J257" i="1"/>
  <c r="J2" i="1"/>
  <c r="J318" i="1"/>
  <c r="J272" i="1"/>
  <c r="J278" i="1" s="1"/>
  <c r="J285" i="1" s="1"/>
  <c r="W30" i="1"/>
  <c r="W197" i="1"/>
  <c r="AV197" i="1"/>
  <c r="AV399" i="1" s="1"/>
  <c r="AV30" i="1"/>
  <c r="BF105" i="1"/>
  <c r="BF60" i="1"/>
  <c r="BF43" i="1" s="1"/>
  <c r="BI67" i="1"/>
  <c r="BJ70" i="1"/>
  <c r="BJ67" i="1" s="1"/>
  <c r="BB421" i="1"/>
  <c r="BC283" i="1"/>
  <c r="BB382" i="1"/>
  <c r="BB383" i="1" s="1"/>
  <c r="AE377" i="1"/>
  <c r="I258" i="1"/>
  <c r="J377" i="1" s="1"/>
  <c r="BD183" i="1"/>
  <c r="J166" i="1"/>
  <c r="J164" i="1"/>
  <c r="K18" i="1"/>
  <c r="K24" i="1"/>
  <c r="K13" i="1"/>
  <c r="K96" i="1"/>
  <c r="K21" i="1"/>
  <c r="K89" i="1"/>
  <c r="K29" i="1"/>
  <c r="K97" i="1"/>
  <c r="K210" i="1"/>
  <c r="K158" i="1"/>
  <c r="K222" i="1"/>
  <c r="K371" i="1" s="1"/>
  <c r="K229" i="1"/>
  <c r="K241" i="1"/>
  <c r="K214" i="1"/>
  <c r="K236" i="1"/>
  <c r="K244" i="1"/>
  <c r="G303" i="1"/>
  <c r="G302" i="1"/>
  <c r="G202" i="1"/>
  <c r="AZ24" i="1"/>
  <c r="BE168" i="1"/>
  <c r="BE18" i="1"/>
  <c r="BE187" i="1" s="1"/>
  <c r="AW128" i="1"/>
  <c r="AW126" i="1"/>
  <c r="V191" i="1"/>
  <c r="V189" i="1"/>
  <c r="BB329" i="1"/>
  <c r="BC276" i="1"/>
  <c r="AX82" i="1"/>
  <c r="AY82" i="1"/>
  <c r="BE149" i="1"/>
  <c r="BE155" i="1"/>
  <c r="BE152" i="1"/>
  <c r="BE49" i="1"/>
  <c r="BE175" i="1"/>
  <c r="BD312" i="1"/>
  <c r="BE313" i="1"/>
  <c r="BD168" i="1"/>
  <c r="BD18" i="1"/>
  <c r="BD187" i="1" s="1"/>
  <c r="J81" i="1"/>
  <c r="BD315" i="1"/>
  <c r="BE311" i="1"/>
  <c r="BD310" i="1"/>
  <c r="BF128" i="1"/>
  <c r="BF74" i="1"/>
  <c r="AD404" i="1"/>
  <c r="AD388" i="1"/>
  <c r="AD36" i="1"/>
  <c r="AD34" i="1"/>
  <c r="AD32" i="1"/>
  <c r="E304" i="1"/>
  <c r="E195" i="1"/>
  <c r="E28" i="1"/>
  <c r="I293" i="1"/>
  <c r="I292" i="1"/>
  <c r="I296" i="1"/>
  <c r="I308" i="1"/>
  <c r="I309" i="1"/>
  <c r="I264" i="1"/>
  <c r="I286" i="1" s="1"/>
  <c r="AG404" i="1"/>
  <c r="AG388" i="1"/>
  <c r="AG32" i="1"/>
  <c r="AG36" i="1"/>
  <c r="AG34" i="1"/>
  <c r="AU82" i="1"/>
  <c r="AT128" i="1"/>
  <c r="AT126" i="1"/>
  <c r="U197" i="1"/>
  <c r="U30" i="1"/>
  <c r="Z299" i="1"/>
  <c r="AN126" i="1"/>
  <c r="AN128" i="1"/>
  <c r="AJ128" i="1"/>
  <c r="AJ126" i="1"/>
  <c r="X399" i="1"/>
  <c r="AQ128" i="1"/>
  <c r="AQ126" i="1"/>
  <c r="I402" i="1"/>
  <c r="BH12" i="1"/>
  <c r="J316" i="1"/>
  <c r="J317" i="1"/>
  <c r="H200" i="1"/>
  <c r="H193" i="1"/>
  <c r="H25" i="1"/>
  <c r="AA197" i="1"/>
  <c r="AA399" i="1" s="1"/>
  <c r="AA30" i="1"/>
  <c r="BG166" i="1"/>
  <c r="BG164" i="1"/>
  <c r="BG12" i="1"/>
  <c r="BG183" i="1" s="1"/>
  <c r="AU30" i="1"/>
  <c r="AU197" i="1"/>
  <c r="AU399" i="1" s="1"/>
  <c r="AU408" i="1" s="1"/>
  <c r="BG274" i="1"/>
  <c r="AB197" i="1"/>
  <c r="AB399" i="1" s="1"/>
  <c r="AB30" i="1"/>
  <c r="BH97" i="1"/>
  <c r="BG119" i="1"/>
  <c r="BG124" i="1" s="1"/>
  <c r="BG99" i="1"/>
  <c r="BG87" i="1"/>
  <c r="Z413" i="1"/>
  <c r="Z314" i="1"/>
  <c r="Z312" i="1"/>
  <c r="Z313" i="1" s="1"/>
  <c r="BC137" i="1"/>
  <c r="BB89" i="1"/>
  <c r="BB92" i="1" s="1"/>
  <c r="AF378" i="1"/>
  <c r="AF259" i="1"/>
  <c r="AE258" i="1"/>
  <c r="AF377" i="1" s="1"/>
  <c r="T197" i="1"/>
  <c r="T30" i="1"/>
  <c r="K27" i="1"/>
  <c r="K38" i="1"/>
  <c r="K31" i="1"/>
  <c r="K119" i="1"/>
  <c r="K22" i="1"/>
  <c r="K99" i="1"/>
  <c r="K98" i="1"/>
  <c r="K223" i="1"/>
  <c r="K202" i="1"/>
  <c r="K225" i="1"/>
  <c r="K216" i="1"/>
  <c r="K224" i="1"/>
  <c r="K231" i="1"/>
  <c r="K243" i="1"/>
  <c r="K230" i="1"/>
  <c r="K238" i="1"/>
  <c r="K367" i="1"/>
  <c r="BA258" i="1"/>
  <c r="BJ69" i="1"/>
  <c r="BJ65" i="1" s="1"/>
  <c r="BI65" i="1"/>
  <c r="AO30" i="1"/>
  <c r="AO197" i="1"/>
  <c r="AO399" i="1" s="1"/>
  <c r="AB315" i="1"/>
  <c r="AP30" i="1"/>
  <c r="AP197" i="1"/>
  <c r="AP399" i="1" s="1"/>
  <c r="BD361" i="1"/>
  <c r="BD349" i="1"/>
  <c r="BE347" i="1"/>
  <c r="BJ166" i="1"/>
  <c r="BJ164" i="1"/>
  <c r="BJ12" i="1"/>
  <c r="BJ183" i="1" s="1"/>
  <c r="AX126" i="1"/>
  <c r="AX128" i="1"/>
  <c r="BB143" i="1"/>
  <c r="AQ30" i="1"/>
  <c r="AQ197" i="1"/>
  <c r="AQ399" i="1" s="1"/>
  <c r="AJ399" i="1"/>
  <c r="Z398" i="1"/>
  <c r="Z304" i="1"/>
  <c r="Z195" i="1"/>
  <c r="Z28" i="1"/>
  <c r="AC300" i="1"/>
  <c r="AG315" i="1"/>
  <c r="I82" i="1"/>
  <c r="BB234" i="1"/>
  <c r="BC271" i="1"/>
  <c r="AR128" i="1"/>
  <c r="J50" i="1"/>
  <c r="J192" i="1"/>
  <c r="AV309" i="1"/>
  <c r="AV308" i="1"/>
  <c r="AV264" i="1"/>
  <c r="AV286" i="1" s="1"/>
  <c r="G295" i="1"/>
  <c r="G297" i="1"/>
  <c r="G294" i="1"/>
  <c r="G300" i="1"/>
  <c r="G299" i="1"/>
  <c r="E302" i="1"/>
  <c r="E303" i="1"/>
  <c r="AU128" i="1"/>
  <c r="AU126" i="1"/>
  <c r="AO128" i="1"/>
  <c r="AO126" i="1"/>
  <c r="H295" i="1"/>
  <c r="H294" i="1"/>
  <c r="AP82" i="1"/>
  <c r="AL404" i="1"/>
  <c r="AL388" i="1"/>
  <c r="AL36" i="1"/>
  <c r="AL34" i="1"/>
  <c r="AL32" i="1"/>
  <c r="AS399" i="1"/>
  <c r="AM399" i="1"/>
  <c r="BH184" i="1"/>
  <c r="BH19" i="1"/>
  <c r="BH188" i="1" s="1"/>
  <c r="BI184" i="1"/>
  <c r="BC256" i="1"/>
  <c r="AH30" i="1"/>
  <c r="AH197" i="1"/>
  <c r="AH399" i="1" s="1"/>
  <c r="BE22" i="1"/>
  <c r="BG202" i="1"/>
  <c r="J396" i="1"/>
  <c r="J345" i="1"/>
  <c r="J291" i="1"/>
  <c r="AI128" i="1"/>
  <c r="AI126" i="1"/>
  <c r="G413" i="1"/>
  <c r="G314" i="1"/>
  <c r="G312" i="1"/>
  <c r="G313" i="1" s="1"/>
  <c r="W399" i="1"/>
  <c r="AA299" i="1"/>
  <c r="I196" i="1"/>
  <c r="K92" i="1" l="1"/>
  <c r="J78" i="1"/>
  <c r="J82" i="1" s="1"/>
  <c r="H314" i="1"/>
  <c r="BF275" i="1"/>
  <c r="BE224" i="1"/>
  <c r="L213" i="1"/>
  <c r="K126" i="1"/>
  <c r="K187" i="1"/>
  <c r="AV128" i="1"/>
  <c r="I201" i="1"/>
  <c r="I364" i="1" s="1"/>
  <c r="L98" i="1"/>
  <c r="H300" i="1"/>
  <c r="Z315" i="1"/>
  <c r="H312" i="1"/>
  <c r="H313" i="1" s="1"/>
  <c r="H315" i="1" s="1"/>
  <c r="K420" i="1"/>
  <c r="L202" i="1"/>
  <c r="L19" i="1"/>
  <c r="L229" i="1"/>
  <c r="K93" i="1"/>
  <c r="J168" i="1"/>
  <c r="BC143" i="1"/>
  <c r="AZ83" i="1"/>
  <c r="O143" i="1"/>
  <c r="BH183" i="1"/>
  <c r="L126" i="1"/>
  <c r="J52" i="1"/>
  <c r="BC213" i="1"/>
  <c r="L31" i="1"/>
  <c r="L26" i="1"/>
  <c r="L158" i="1"/>
  <c r="L159" i="1" s="1"/>
  <c r="L160" i="1" s="1"/>
  <c r="L205" i="1"/>
  <c r="L232" i="1"/>
  <c r="L239" i="1"/>
  <c r="L225" i="1"/>
  <c r="H299" i="1"/>
  <c r="K159" i="1"/>
  <c r="K160" i="1" s="1"/>
  <c r="K194" i="1"/>
  <c r="L11" i="1"/>
  <c r="L43" i="1"/>
  <c r="L149" i="1" s="1"/>
  <c r="L87" i="1"/>
  <c r="L175" i="1"/>
  <c r="L222" i="1"/>
  <c r="L371" i="1" s="1"/>
  <c r="L238" i="1"/>
  <c r="L241" i="1"/>
  <c r="L367" i="1"/>
  <c r="BM44" i="1"/>
  <c r="J407" i="1"/>
  <c r="L13" i="1"/>
  <c r="L38" i="1"/>
  <c r="L17" i="1"/>
  <c r="L58" i="1" s="1"/>
  <c r="L120" i="1"/>
  <c r="L210" i="1"/>
  <c r="L226" i="1"/>
  <c r="L240" i="1"/>
  <c r="L419" i="1" s="1"/>
  <c r="L206" i="1"/>
  <c r="AA403" i="1"/>
  <c r="AA400" i="1"/>
  <c r="AA408" i="1"/>
  <c r="AE403" i="1"/>
  <c r="AE400" i="1"/>
  <c r="AE408" i="1"/>
  <c r="Y403" i="1"/>
  <c r="Y400" i="1"/>
  <c r="Y408" i="1"/>
  <c r="AO403" i="1"/>
  <c r="AO400" i="1"/>
  <c r="AO408" i="1"/>
  <c r="AI400" i="1"/>
  <c r="AI403" i="1"/>
  <c r="AI408" i="1"/>
  <c r="AB403" i="1"/>
  <c r="AB400" i="1"/>
  <c r="AB408" i="1"/>
  <c r="AX424" i="1"/>
  <c r="AY417" i="1"/>
  <c r="AF403" i="1"/>
  <c r="AF400" i="1"/>
  <c r="AF408" i="1"/>
  <c r="BF22" i="1"/>
  <c r="AH404" i="1"/>
  <c r="AH388" i="1"/>
  <c r="AH36" i="1"/>
  <c r="AH34" i="1"/>
  <c r="AH32" i="1"/>
  <c r="H297" i="1"/>
  <c r="AT403" i="1"/>
  <c r="AT400" i="1"/>
  <c r="AT408" i="1"/>
  <c r="BD271" i="1"/>
  <c r="BC234" i="1"/>
  <c r="AQ404" i="1"/>
  <c r="AQ388" i="1"/>
  <c r="AQ36" i="1"/>
  <c r="AQ34" i="1"/>
  <c r="AQ32" i="1"/>
  <c r="BE349" i="1"/>
  <c r="BF347" i="1"/>
  <c r="BE361" i="1"/>
  <c r="AP404" i="1"/>
  <c r="AP388" i="1"/>
  <c r="AP36" i="1"/>
  <c r="AP34" i="1"/>
  <c r="AP32" i="1"/>
  <c r="BD137" i="1"/>
  <c r="BC89" i="1"/>
  <c r="BC92" i="1" s="1"/>
  <c r="BG86" i="1"/>
  <c r="AB404" i="1"/>
  <c r="AB388" i="1"/>
  <c r="AB32" i="1"/>
  <c r="AB36" i="1"/>
  <c r="AB34" i="1"/>
  <c r="BG168" i="1"/>
  <c r="BG18" i="1"/>
  <c r="BG187" i="1" s="1"/>
  <c r="H398" i="1"/>
  <c r="H304" i="1"/>
  <c r="H195" i="1"/>
  <c r="H28" i="1"/>
  <c r="AG39" i="1"/>
  <c r="AG1" i="1"/>
  <c r="AD39" i="1"/>
  <c r="AD1" i="1"/>
  <c r="BF78" i="1"/>
  <c r="BF57" i="1"/>
  <c r="BF62" i="1" s="1"/>
  <c r="J309" i="1"/>
  <c r="J308" i="1"/>
  <c r="J264" i="1"/>
  <c r="J286" i="1" s="1"/>
  <c r="J190" i="1"/>
  <c r="J185" i="1"/>
  <c r="J23" i="1"/>
  <c r="BC328" i="1"/>
  <c r="BD267" i="1"/>
  <c r="AC39" i="1"/>
  <c r="AC1" i="1"/>
  <c r="BE38" i="1"/>
  <c r="BE131" i="1"/>
  <c r="BI168" i="1"/>
  <c r="BI18" i="1"/>
  <c r="BI187" i="1" s="1"/>
  <c r="K272" i="1"/>
  <c r="K278" i="1" s="1"/>
  <c r="K285" i="1" s="1"/>
  <c r="K162" i="1"/>
  <c r="AN404" i="1"/>
  <c r="AN388" i="1"/>
  <c r="AN32" i="1"/>
  <c r="AN36" i="1"/>
  <c r="AN34" i="1"/>
  <c r="AZ77" i="1"/>
  <c r="AZ56" i="1"/>
  <c r="AF404" i="1"/>
  <c r="AF388" i="1"/>
  <c r="AF32" i="1"/>
  <c r="AF36" i="1"/>
  <c r="AF34" i="1"/>
  <c r="S197" i="1"/>
  <c r="S30" i="1"/>
  <c r="AW408" i="1"/>
  <c r="AK418" i="1"/>
  <c r="AK405" i="1"/>
  <c r="AK387" i="1"/>
  <c r="AK221" i="1"/>
  <c r="AK227" i="1" s="1"/>
  <c r="AK35" i="1"/>
  <c r="G30" i="1"/>
  <c r="G197" i="1"/>
  <c r="L391" i="1"/>
  <c r="L351" i="1"/>
  <c r="L349" i="1"/>
  <c r="L347" i="1"/>
  <c r="L384" i="1"/>
  <c r="L390" i="1"/>
  <c r="L324" i="1"/>
  <c r="L348" i="1"/>
  <c r="L342" i="1"/>
  <c r="L358" i="1" s="1"/>
  <c r="L341" i="1"/>
  <c r="L357" i="1" s="1"/>
  <c r="L340" i="1"/>
  <c r="L356" i="1" s="1"/>
  <c r="L335" i="1"/>
  <c r="L354" i="1" s="1"/>
  <c r="L332" i="1"/>
  <c r="L331" i="1"/>
  <c r="L323" i="1"/>
  <c r="L322" i="1"/>
  <c r="L350" i="1"/>
  <c r="L337" i="1"/>
  <c r="L336" i="1"/>
  <c r="L355" i="1" s="1"/>
  <c r="L365" i="1"/>
  <c r="L362" i="1"/>
  <c r="L339" i="1"/>
  <c r="L338" i="1"/>
  <c r="L328" i="1"/>
  <c r="L327" i="1"/>
  <c r="L361" i="1"/>
  <c r="L330" i="1"/>
  <c r="L329" i="1"/>
  <c r="L284" i="1"/>
  <c r="L282" i="1"/>
  <c r="L281" i="1"/>
  <c r="L280" i="1"/>
  <c r="L279" i="1"/>
  <c r="L277" i="1"/>
  <c r="L276" i="1"/>
  <c r="L275" i="1"/>
  <c r="L274" i="1"/>
  <c r="L273" i="1"/>
  <c r="L271" i="1"/>
  <c r="L270" i="1"/>
  <c r="L344" i="1" s="1"/>
  <c r="L269" i="1"/>
  <c r="L260" i="1"/>
  <c r="L256" i="1"/>
  <c r="L252" i="1"/>
  <c r="L283" i="1"/>
  <c r="L421" i="1" s="1"/>
  <c r="L261" i="1"/>
  <c r="L253" i="1"/>
  <c r="L262" i="1"/>
  <c r="L254" i="1"/>
  <c r="L268" i="1"/>
  <c r="L267" i="1"/>
  <c r="L263" i="1"/>
  <c r="L255" i="1"/>
  <c r="L144" i="1"/>
  <c r="L18" i="1"/>
  <c r="L37" i="1"/>
  <c r="L383" i="1" s="1"/>
  <c r="L27" i="1"/>
  <c r="L96" i="1"/>
  <c r="L22" i="1"/>
  <c r="L99" i="1"/>
  <c r="L123" i="1"/>
  <c r="L224" i="1"/>
  <c r="L125" i="1"/>
  <c r="L215" i="1"/>
  <c r="L214" i="1"/>
  <c r="L236" i="1"/>
  <c r="L244" i="1"/>
  <c r="L233" i="1"/>
  <c r="L245" i="1"/>
  <c r="L223" i="1"/>
  <c r="J293" i="1"/>
  <c r="J292" i="1"/>
  <c r="BD256" i="1"/>
  <c r="BD231" i="1" s="1"/>
  <c r="AS403" i="1"/>
  <c r="AS400" i="1"/>
  <c r="AS408" i="1"/>
  <c r="AG378" i="1"/>
  <c r="AG259" i="1"/>
  <c r="AF258" i="1"/>
  <c r="AG377" i="1" s="1"/>
  <c r="BG105" i="1"/>
  <c r="BG60" i="1"/>
  <c r="BG43" i="1" s="1"/>
  <c r="AU404" i="1"/>
  <c r="AU388" i="1"/>
  <c r="AU36" i="1"/>
  <c r="AU34" i="1"/>
  <c r="AU32" i="1"/>
  <c r="X400" i="1"/>
  <c r="X403" i="1"/>
  <c r="I300" i="1"/>
  <c r="I297" i="1"/>
  <c r="I299" i="1"/>
  <c r="I295" i="1"/>
  <c r="I294" i="1"/>
  <c r="BC329" i="1"/>
  <c r="BD276" i="1"/>
  <c r="AP403" i="1"/>
  <c r="AP400" i="1"/>
  <c r="AP408" i="1"/>
  <c r="K375" i="1"/>
  <c r="K374" i="1"/>
  <c r="K305" i="1" s="1"/>
  <c r="BJ68" i="1"/>
  <c r="BJ66" i="1"/>
  <c r="I413" i="1"/>
  <c r="I312" i="1"/>
  <c r="I313" i="1" s="1"/>
  <c r="I314" i="1"/>
  <c r="AY77" i="1"/>
  <c r="AY81" i="1" s="1"/>
  <c r="AY56" i="1"/>
  <c r="BC206" i="1"/>
  <c r="BC209" i="1" s="1"/>
  <c r="BC210" i="1" s="1"/>
  <c r="BC236" i="1" s="1"/>
  <c r="BC103" i="1"/>
  <c r="BC145" i="1"/>
  <c r="BC48" i="1" s="1"/>
  <c r="V398" i="1"/>
  <c r="V195" i="1"/>
  <c r="V28" i="1"/>
  <c r="Y300" i="1"/>
  <c r="AI404" i="1"/>
  <c r="AI388" i="1"/>
  <c r="AI36" i="1"/>
  <c r="AI34" i="1"/>
  <c r="AI32" i="1"/>
  <c r="K345" i="1"/>
  <c r="K291" i="1"/>
  <c r="K397" i="1"/>
  <c r="K257" i="1"/>
  <c r="K2" i="1"/>
  <c r="K163" i="1"/>
  <c r="BD384" i="1"/>
  <c r="I398" i="1"/>
  <c r="I304" i="1"/>
  <c r="I195" i="1"/>
  <c r="I28" i="1"/>
  <c r="X408" i="1"/>
  <c r="J57" i="1"/>
  <c r="J62" i="1" s="1"/>
  <c r="AW404" i="1"/>
  <c r="AW388" i="1"/>
  <c r="AW32" i="1"/>
  <c r="AW36" i="1"/>
  <c r="AW34" i="1"/>
  <c r="AJ404" i="1"/>
  <c r="AJ388" i="1"/>
  <c r="AJ32" i="1"/>
  <c r="AJ36" i="1"/>
  <c r="AJ34" i="1"/>
  <c r="AR403" i="1"/>
  <c r="AR400" i="1"/>
  <c r="AR408" i="1"/>
  <c r="K196" i="1"/>
  <c r="M6" i="1"/>
  <c r="M245" i="1" s="1"/>
  <c r="N5" i="1"/>
  <c r="M12" i="1"/>
  <c r="L186" i="1"/>
  <c r="L75" i="1"/>
  <c r="L46" i="1"/>
  <c r="AN400" i="1"/>
  <c r="AN403" i="1"/>
  <c r="AN408" i="1"/>
  <c r="BH202" i="1"/>
  <c r="W403" i="1"/>
  <c r="W400" i="1"/>
  <c r="BC231" i="1"/>
  <c r="AL418" i="1"/>
  <c r="AL405" i="1"/>
  <c r="AL387" i="1"/>
  <c r="AL221" i="1"/>
  <c r="AL227" i="1" s="1"/>
  <c r="AL35" i="1"/>
  <c r="Z30" i="1"/>
  <c r="Z197" i="1"/>
  <c r="Z399" i="1" s="1"/>
  <c r="AJ403" i="1"/>
  <c r="AJ400" i="1"/>
  <c r="AJ408" i="1"/>
  <c r="BB206" i="1"/>
  <c r="BB103" i="1"/>
  <c r="BB90" i="1"/>
  <c r="BB93" i="1" s="1"/>
  <c r="BB145" i="1"/>
  <c r="BB48" i="1" s="1"/>
  <c r="BJ168" i="1"/>
  <c r="BJ18" i="1"/>
  <c r="BJ187" i="1" s="1"/>
  <c r="T32" i="1"/>
  <c r="T35" i="1" s="1"/>
  <c r="T36" i="1"/>
  <c r="T34" i="1"/>
  <c r="BH274" i="1"/>
  <c r="AA404" i="1"/>
  <c r="AA388" i="1"/>
  <c r="AA36" i="1"/>
  <c r="AA34" i="1"/>
  <c r="AA32" i="1"/>
  <c r="H302" i="1"/>
  <c r="H303" i="1"/>
  <c r="H202" i="1"/>
  <c r="H296" i="1"/>
  <c r="AH403" i="1"/>
  <c r="AH400" i="1"/>
  <c r="AH408" i="1"/>
  <c r="AG418" i="1"/>
  <c r="AG387" i="1"/>
  <c r="AG405" i="1"/>
  <c r="AG221" i="1"/>
  <c r="AG35" i="1"/>
  <c r="AQ403" i="1"/>
  <c r="AQ400" i="1"/>
  <c r="AQ408" i="1"/>
  <c r="BC383" i="1"/>
  <c r="BB385" i="1"/>
  <c r="BB37" i="1"/>
  <c r="BC240" i="1" s="1"/>
  <c r="BC419" i="1" s="1"/>
  <c r="BI66" i="1"/>
  <c r="BI68" i="1"/>
  <c r="AU403" i="1"/>
  <c r="AU400" i="1"/>
  <c r="W404" i="1"/>
  <c r="W36" i="1"/>
  <c r="W34" i="1"/>
  <c r="W32" i="1"/>
  <c r="W408" i="1"/>
  <c r="BG120" i="1"/>
  <c r="BG123" i="1" s="1"/>
  <c r="BG127" i="1" s="1"/>
  <c r="BH168" i="1"/>
  <c r="BH18" i="1"/>
  <c r="BH187" i="1" s="1"/>
  <c r="AC418" i="1"/>
  <c r="AC405" i="1"/>
  <c r="AC387" i="1"/>
  <c r="AC221" i="1"/>
  <c r="AC235" i="1" s="1"/>
  <c r="AC237" i="1" s="1"/>
  <c r="AC246" i="1" s="1"/>
  <c r="AC247" i="1" s="1"/>
  <c r="AC35" i="1"/>
  <c r="AE404" i="1"/>
  <c r="AE388" i="1"/>
  <c r="AE36" i="1"/>
  <c r="AE34" i="1"/>
  <c r="AE32" i="1"/>
  <c r="V202" i="1"/>
  <c r="Y299" i="1"/>
  <c r="K182" i="1"/>
  <c r="K56" i="1"/>
  <c r="K44" i="1"/>
  <c r="K77" i="1"/>
  <c r="K14" i="1"/>
  <c r="K316" i="1" s="1"/>
  <c r="K73" i="1"/>
  <c r="L417" i="1"/>
  <c r="K392" i="1"/>
  <c r="K393" i="1"/>
  <c r="K290" i="1"/>
  <c r="Y404" i="1"/>
  <c r="Y32" i="1"/>
  <c r="Y36" i="1"/>
  <c r="Y34" i="1"/>
  <c r="I303" i="1"/>
  <c r="I302" i="1"/>
  <c r="AV403" i="1"/>
  <c r="AV400" i="1"/>
  <c r="BC420" i="1"/>
  <c r="BD279" i="1"/>
  <c r="X404" i="1"/>
  <c r="X32" i="1"/>
  <c r="X36" i="1"/>
  <c r="X34" i="1"/>
  <c r="BE78" i="1"/>
  <c r="BE82" i="1" s="1"/>
  <c r="BE57" i="1"/>
  <c r="BE62" i="1" s="1"/>
  <c r="AK1" i="1"/>
  <c r="AK39" i="1"/>
  <c r="K186" i="1"/>
  <c r="K79" i="1"/>
  <c r="K83" i="1" s="1"/>
  <c r="K58" i="1"/>
  <c r="K46" i="1"/>
  <c r="K75" i="1"/>
  <c r="K20" i="1"/>
  <c r="L182" i="1"/>
  <c r="L56" i="1"/>
  <c r="L152" i="1"/>
  <c r="BE354" i="1"/>
  <c r="BE340" i="1"/>
  <c r="BF335" i="1"/>
  <c r="J196" i="1"/>
  <c r="G315" i="1"/>
  <c r="K379" i="1"/>
  <c r="AM403" i="1"/>
  <c r="AM400" i="1"/>
  <c r="AM408" i="1"/>
  <c r="AL39" i="1"/>
  <c r="AL1" i="1"/>
  <c r="J45" i="1"/>
  <c r="AW403" i="1"/>
  <c r="AW400" i="1"/>
  <c r="AO404" i="1"/>
  <c r="AO388" i="1"/>
  <c r="AO32" i="1"/>
  <c r="AO36" i="1"/>
  <c r="AO34" i="1"/>
  <c r="BH119" i="1"/>
  <c r="BH124" i="1" s="1"/>
  <c r="BH99" i="1"/>
  <c r="BH87" i="1"/>
  <c r="BI97" i="1"/>
  <c r="U32" i="1"/>
  <c r="U35" i="1" s="1"/>
  <c r="U36" i="1"/>
  <c r="U34" i="1"/>
  <c r="E30" i="1"/>
  <c r="E197" i="1"/>
  <c r="AD418" i="1"/>
  <c r="AD405" i="1"/>
  <c r="AD387" i="1"/>
  <c r="AD221" i="1"/>
  <c r="AD235" i="1" s="1"/>
  <c r="AD237" i="1" s="1"/>
  <c r="AD246" i="1" s="1"/>
  <c r="AD247" i="1" s="1"/>
  <c r="AD35" i="1"/>
  <c r="BE310" i="1"/>
  <c r="BE315" i="1"/>
  <c r="BF311" i="1"/>
  <c r="BF313" i="1"/>
  <c r="BE312" i="1"/>
  <c r="AZ222" i="1"/>
  <c r="AZ371" i="1" s="1"/>
  <c r="AZ259" i="1"/>
  <c r="BC421" i="1"/>
  <c r="BD283" i="1"/>
  <c r="BF155" i="1"/>
  <c r="BF152" i="1"/>
  <c r="BF149" i="1"/>
  <c r="BF49" i="1"/>
  <c r="BF175" i="1"/>
  <c r="AV404" i="1"/>
  <c r="AV388" i="1"/>
  <c r="AV32" i="1"/>
  <c r="AV36" i="1"/>
  <c r="AV34" i="1"/>
  <c r="BI183" i="1"/>
  <c r="BA113" i="1"/>
  <c r="BA104" i="1"/>
  <c r="BA114" i="1" s="1"/>
  <c r="BH118" i="1"/>
  <c r="BI98" i="1"/>
  <c r="J177" i="1"/>
  <c r="J178" i="1" s="1"/>
  <c r="J402" i="1"/>
  <c r="BC318" i="1"/>
  <c r="AR404" i="1"/>
  <c r="AR388" i="1"/>
  <c r="AR32" i="1"/>
  <c r="AR36" i="1"/>
  <c r="AR34" i="1"/>
  <c r="K86" i="1"/>
  <c r="K396" i="1"/>
  <c r="L379" i="1"/>
  <c r="Z332" i="1"/>
  <c r="H332" i="1" s="1"/>
  <c r="H330" i="1"/>
  <c r="Q134" i="1"/>
  <c r="AM404" i="1"/>
  <c r="AM388" i="1"/>
  <c r="AM36" i="1"/>
  <c r="AM34" i="1"/>
  <c r="AM32" i="1"/>
  <c r="AS404" i="1"/>
  <c r="AS388" i="1"/>
  <c r="AS32" i="1"/>
  <c r="AS36" i="1"/>
  <c r="AS34" i="1"/>
  <c r="AT404" i="1"/>
  <c r="AT388" i="1"/>
  <c r="AT36" i="1"/>
  <c r="AT34" i="1"/>
  <c r="AT32" i="1"/>
  <c r="AV408" i="1"/>
  <c r="K145" i="1"/>
  <c r="K155" i="1"/>
  <c r="K152" i="1"/>
  <c r="K149" i="1"/>
  <c r="K49" i="1"/>
  <c r="K60" i="1"/>
  <c r="L12" i="1"/>
  <c r="L24" i="1"/>
  <c r="L124" i="1"/>
  <c r="L90" i="1"/>
  <c r="L93" i="1" s="1"/>
  <c r="L21" i="1"/>
  <c r="L89" i="1"/>
  <c r="L118" i="1"/>
  <c r="L216" i="1"/>
  <c r="L119" i="1"/>
  <c r="L209" i="1"/>
  <c r="L207" i="1"/>
  <c r="L234" i="1"/>
  <c r="L242" i="1"/>
  <c r="L231" i="1"/>
  <c r="L243" i="1"/>
  <c r="L382" i="1"/>
  <c r="BD356" i="1"/>
  <c r="AZ344" i="1" s="1"/>
  <c r="AZ270" i="1" s="1"/>
  <c r="BD331" i="1"/>
  <c r="L145" i="1" l="1"/>
  <c r="L48" i="1" s="1"/>
  <c r="L79" i="1"/>
  <c r="L83" i="1" s="1"/>
  <c r="G399" i="1"/>
  <c r="L60" i="1"/>
  <c r="L44" i="1"/>
  <c r="L155" i="1"/>
  <c r="L14" i="1"/>
  <c r="L73" i="1"/>
  <c r="L74" i="1" s="1"/>
  <c r="L127" i="1" s="1"/>
  <c r="L77" i="1"/>
  <c r="L78" i="1" s="1"/>
  <c r="BC90" i="1"/>
  <c r="BC93" i="1" s="1"/>
  <c r="BF224" i="1"/>
  <c r="BG275" i="1"/>
  <c r="BD213" i="1"/>
  <c r="K318" i="1"/>
  <c r="L49" i="1"/>
  <c r="L20" i="1"/>
  <c r="L185" i="1" s="1"/>
  <c r="I315" i="1"/>
  <c r="L86" i="1"/>
  <c r="BD143" i="1"/>
  <c r="BA110" i="1"/>
  <c r="E32" i="1"/>
  <c r="L385" i="1"/>
  <c r="BM45" i="1"/>
  <c r="BM46" i="1" s="1"/>
  <c r="J51" i="1"/>
  <c r="L372" i="1"/>
  <c r="L194" i="1"/>
  <c r="BA115" i="1"/>
  <c r="BA75" i="1" s="1"/>
  <c r="M13" i="1"/>
  <c r="K167" i="1"/>
  <c r="K407" i="1"/>
  <c r="BH120" i="1"/>
  <c r="BH123" i="1" s="1"/>
  <c r="BH127" i="1" s="1"/>
  <c r="BH128" i="1" s="1"/>
  <c r="K52" i="1"/>
  <c r="K317" i="1"/>
  <c r="M29" i="1"/>
  <c r="K48" i="1"/>
  <c r="Z403" i="1"/>
  <c r="Z400" i="1"/>
  <c r="Z408" i="1"/>
  <c r="AT405" i="1"/>
  <c r="AT418" i="1"/>
  <c r="AT387" i="1"/>
  <c r="AT221" i="1"/>
  <c r="AT227" i="1" s="1"/>
  <c r="AT35" i="1"/>
  <c r="AT39" i="1"/>
  <c r="AT1" i="1"/>
  <c r="BD318" i="1"/>
  <c r="BI118" i="1"/>
  <c r="BJ98" i="1"/>
  <c r="BJ118" i="1" s="1"/>
  <c r="BF312" i="1"/>
  <c r="BG313" i="1"/>
  <c r="AM418" i="1"/>
  <c r="AM387" i="1"/>
  <c r="AM405" i="1"/>
  <c r="AM221" i="1"/>
  <c r="AM35" i="1"/>
  <c r="AZ260" i="1"/>
  <c r="BF310" i="1"/>
  <c r="BF315" i="1"/>
  <c r="BG311" i="1"/>
  <c r="K185" i="1"/>
  <c r="K190" i="1"/>
  <c r="K191" i="1" s="1"/>
  <c r="K23" i="1"/>
  <c r="BD420" i="1"/>
  <c r="BE279" i="1"/>
  <c r="K45" i="1"/>
  <c r="K50" i="1"/>
  <c r="BC385" i="1"/>
  <c r="BC37" i="1"/>
  <c r="BD240" i="1" s="1"/>
  <c r="BD419" i="1" s="1"/>
  <c r="T39" i="1"/>
  <c r="T1" i="1"/>
  <c r="Z404" i="1"/>
  <c r="Z388" i="1"/>
  <c r="Z36" i="1"/>
  <c r="Z34" i="1"/>
  <c r="Z32" i="1"/>
  <c r="L190" i="1"/>
  <c r="L191" i="1" s="1"/>
  <c r="N226" i="1"/>
  <c r="N224" i="1"/>
  <c r="N238" i="1"/>
  <c r="N245" i="1"/>
  <c r="N239" i="1"/>
  <c r="N202" i="1"/>
  <c r="N158" i="1"/>
  <c r="N207" i="1"/>
  <c r="N119" i="1"/>
  <c r="N71" i="1"/>
  <c r="N67" i="1"/>
  <c r="N114" i="1"/>
  <c r="N29" i="1"/>
  <c r="N89" i="1"/>
  <c r="N22" i="1"/>
  <c r="N31" i="1"/>
  <c r="N26" i="1"/>
  <c r="N6" i="1"/>
  <c r="O5" i="1"/>
  <c r="N19" i="1"/>
  <c r="M65" i="1"/>
  <c r="M38" i="1"/>
  <c r="M43" i="1"/>
  <c r="M209" i="1"/>
  <c r="M175" i="1"/>
  <c r="M240" i="1"/>
  <c r="M419" i="1" s="1"/>
  <c r="M229" i="1"/>
  <c r="M241" i="1"/>
  <c r="AJ405" i="1"/>
  <c r="AJ418" i="1"/>
  <c r="AJ387" i="1"/>
  <c r="AJ221" i="1"/>
  <c r="AJ227" i="1" s="1"/>
  <c r="AJ35" i="1"/>
  <c r="BE384" i="1"/>
  <c r="BE382" i="1" s="1"/>
  <c r="K192" i="1"/>
  <c r="L162" i="1"/>
  <c r="L183" i="1"/>
  <c r="L163" i="1"/>
  <c r="AS418" i="1"/>
  <c r="AS405" i="1"/>
  <c r="AS387" i="1"/>
  <c r="AS221" i="1"/>
  <c r="AS227" i="1" s="1"/>
  <c r="AS35" i="1"/>
  <c r="AM39" i="1"/>
  <c r="AM1" i="1"/>
  <c r="AR1" i="1"/>
  <c r="AR39" i="1"/>
  <c r="AV1" i="1"/>
  <c r="AV39" i="1"/>
  <c r="AZ378" i="1"/>
  <c r="AZ374" i="1"/>
  <c r="AZ305" i="1" s="1"/>
  <c r="AZ377" i="1"/>
  <c r="AZ379" i="1"/>
  <c r="BI87" i="1"/>
  <c r="BJ97" i="1"/>
  <c r="BI119" i="1"/>
  <c r="BI124" i="1" s="1"/>
  <c r="BI99" i="1"/>
  <c r="AO39" i="1"/>
  <c r="AO1" i="1"/>
  <c r="BG335" i="1"/>
  <c r="BF340" i="1"/>
  <c r="BF354" i="1"/>
  <c r="L57" i="1"/>
  <c r="L62" i="1" s="1"/>
  <c r="L61" i="1"/>
  <c r="L50" i="1"/>
  <c r="L45" i="1"/>
  <c r="Y418" i="1"/>
  <c r="Y405" i="1"/>
  <c r="Y35" i="1"/>
  <c r="K74" i="1"/>
  <c r="K127" i="1" s="1"/>
  <c r="K61" i="1"/>
  <c r="K57" i="1"/>
  <c r="K62" i="1" s="1"/>
  <c r="AE418" i="1"/>
  <c r="AE405" i="1"/>
  <c r="AE387" i="1"/>
  <c r="AE221" i="1"/>
  <c r="AE35" i="1"/>
  <c r="AG422" i="1"/>
  <c r="AG423" i="1" s="1"/>
  <c r="AG424" i="1" s="1"/>
  <c r="AA418" i="1"/>
  <c r="AA405" i="1"/>
  <c r="AA387" i="1"/>
  <c r="AA221" i="1"/>
  <c r="AA35" i="1"/>
  <c r="AL422" i="1"/>
  <c r="AL423" i="1" s="1"/>
  <c r="AL424" i="1" s="1"/>
  <c r="M26" i="1"/>
  <c r="M21" i="1"/>
  <c r="M69" i="1"/>
  <c r="M70" i="1"/>
  <c r="M18" i="1"/>
  <c r="M67" i="1"/>
  <c r="M124" i="1"/>
  <c r="M90" i="1"/>
  <c r="M89" i="1"/>
  <c r="M215" i="1"/>
  <c r="M224" i="1"/>
  <c r="M214" i="1"/>
  <c r="M223" i="1"/>
  <c r="M234" i="1"/>
  <c r="M242" i="1"/>
  <c r="M210" i="1"/>
  <c r="M231" i="1"/>
  <c r="M243" i="1"/>
  <c r="M382" i="1"/>
  <c r="AW418" i="1"/>
  <c r="AW405" i="1"/>
  <c r="AW387" i="1"/>
  <c r="AW221" i="1"/>
  <c r="AW227" i="1" s="1"/>
  <c r="AW35" i="1"/>
  <c r="BI202" i="1"/>
  <c r="BJ202" i="1" s="1"/>
  <c r="AI418" i="1"/>
  <c r="AI405" i="1"/>
  <c r="AI387" i="1"/>
  <c r="AI221" i="1"/>
  <c r="AI35" i="1"/>
  <c r="BD329" i="1"/>
  <c r="BE276" i="1"/>
  <c r="BE256" i="1"/>
  <c r="BE231" i="1" s="1"/>
  <c r="L192" i="1"/>
  <c r="L187" i="1"/>
  <c r="L318" i="1"/>
  <c r="L420" i="1"/>
  <c r="M417" i="1"/>
  <c r="L393" i="1"/>
  <c r="L392" i="1"/>
  <c r="L290" i="1"/>
  <c r="BF131" i="1"/>
  <c r="BD328" i="1"/>
  <c r="BE267" i="1"/>
  <c r="J191" i="1"/>
  <c r="J189" i="1"/>
  <c r="AP418" i="1"/>
  <c r="AP405" i="1"/>
  <c r="AP387" i="1"/>
  <c r="AP221" i="1"/>
  <c r="AP227" i="1" s="1"/>
  <c r="AP35" i="1"/>
  <c r="AQ418" i="1"/>
  <c r="AQ405" i="1"/>
  <c r="AQ387" i="1"/>
  <c r="AQ221" i="1"/>
  <c r="AQ227" i="1" s="1"/>
  <c r="AQ35" i="1"/>
  <c r="AH405" i="1"/>
  <c r="AH418" i="1"/>
  <c r="AH387" i="1"/>
  <c r="AH221" i="1"/>
  <c r="AH35" i="1"/>
  <c r="BD421" i="1"/>
  <c r="BE283" i="1"/>
  <c r="U39" i="1"/>
  <c r="U1" i="1"/>
  <c r="BH86" i="1"/>
  <c r="BE331" i="1"/>
  <c r="BE356" i="1"/>
  <c r="L310" i="1"/>
  <c r="L311" i="1" s="1"/>
  <c r="L189" i="1"/>
  <c r="L181" i="1"/>
  <c r="L176" i="1"/>
  <c r="X39" i="1"/>
  <c r="X1" i="1"/>
  <c r="K402" i="1"/>
  <c r="K310" i="1"/>
  <c r="K311" i="1" s="1"/>
  <c r="K176" i="1"/>
  <c r="K181" i="1"/>
  <c r="K177" i="1"/>
  <c r="AE39" i="1"/>
  <c r="AE1" i="1"/>
  <c r="AC422" i="1"/>
  <c r="AC423" i="1" s="1"/>
  <c r="AC424" i="1" s="1"/>
  <c r="W418" i="1"/>
  <c r="W405" i="1"/>
  <c r="W35" i="1"/>
  <c r="AA39" i="1"/>
  <c r="AA1" i="1"/>
  <c r="BB113" i="1"/>
  <c r="BB104" i="1"/>
  <c r="BB114" i="1" s="1"/>
  <c r="L52" i="1"/>
  <c r="M11" i="1"/>
  <c r="M22" i="1"/>
  <c r="M19" i="1"/>
  <c r="M98" i="1"/>
  <c r="M24" i="1"/>
  <c r="M71" i="1"/>
  <c r="M27" i="1"/>
  <c r="M96" i="1"/>
  <c r="M99" i="1"/>
  <c r="M222" i="1"/>
  <c r="M371" i="1" s="1"/>
  <c r="M379" i="1" s="1"/>
  <c r="M120" i="1"/>
  <c r="M206" i="1"/>
  <c r="M225" i="1"/>
  <c r="M236" i="1"/>
  <c r="M244" i="1"/>
  <c r="M216" i="1"/>
  <c r="M233" i="1"/>
  <c r="AJ39" i="1"/>
  <c r="AJ1" i="1"/>
  <c r="AI39" i="1"/>
  <c r="AI1" i="1"/>
  <c r="BC375" i="1"/>
  <c r="K372" i="1"/>
  <c r="AU418" i="1"/>
  <c r="AU405" i="1"/>
  <c r="AU387" i="1"/>
  <c r="AU221" i="1"/>
  <c r="AU227" i="1" s="1"/>
  <c r="AU35" i="1"/>
  <c r="AH378" i="1"/>
  <c r="AH259" i="1"/>
  <c r="AG258" i="1"/>
  <c r="AH377" i="1" s="1"/>
  <c r="L374" i="1"/>
  <c r="L305" i="1" s="1"/>
  <c r="L375" i="1"/>
  <c r="L373" i="1"/>
  <c r="L92" i="1"/>
  <c r="L272" i="1"/>
  <c r="L278" i="1" s="1"/>
  <c r="L285" i="1" s="1"/>
  <c r="L397" i="1"/>
  <c r="L257" i="1"/>
  <c r="L2" i="1"/>
  <c r="AF39" i="1"/>
  <c r="AF1" i="1"/>
  <c r="AN39" i="1"/>
  <c r="AN1" i="1"/>
  <c r="AB39" i="1"/>
  <c r="AB1" i="1"/>
  <c r="BD89" i="1"/>
  <c r="BD92" i="1" s="1"/>
  <c r="BE137" i="1"/>
  <c r="AP39" i="1"/>
  <c r="AP1" i="1"/>
  <c r="AQ1" i="1"/>
  <c r="AQ39" i="1"/>
  <c r="AH39" i="1"/>
  <c r="AH1" i="1"/>
  <c r="BG22" i="1"/>
  <c r="AR405" i="1"/>
  <c r="AR418" i="1"/>
  <c r="AR387" i="1"/>
  <c r="AR221" i="1"/>
  <c r="AR227" i="1" s="1"/>
  <c r="AR35" i="1"/>
  <c r="BH105" i="1"/>
  <c r="BH60" i="1"/>
  <c r="BH43" i="1" s="1"/>
  <c r="K63" i="1"/>
  <c r="Y39" i="1"/>
  <c r="Y1" i="1"/>
  <c r="K81" i="1"/>
  <c r="K78" i="1"/>
  <c r="K82" i="1" s="1"/>
  <c r="BG128" i="1"/>
  <c r="BG74" i="1"/>
  <c r="W39" i="1"/>
  <c r="W1" i="1"/>
  <c r="BI274" i="1"/>
  <c r="BB209" i="1"/>
  <c r="M183" i="1"/>
  <c r="M361" i="1"/>
  <c r="M390" i="1"/>
  <c r="M348" i="1"/>
  <c r="M347" i="1"/>
  <c r="M340" i="1"/>
  <c r="M356" i="1" s="1"/>
  <c r="M339" i="1"/>
  <c r="M337" i="1"/>
  <c r="M335" i="1"/>
  <c r="M354" i="1" s="1"/>
  <c r="M332" i="1"/>
  <c r="M330" i="1"/>
  <c r="M328" i="1"/>
  <c r="M384" i="1"/>
  <c r="M350" i="1"/>
  <c r="M336" i="1"/>
  <c r="M355" i="1" s="1"/>
  <c r="M365" i="1"/>
  <c r="M362" i="1"/>
  <c r="M338" i="1"/>
  <c r="M391" i="1"/>
  <c r="M349" i="1"/>
  <c r="M329" i="1"/>
  <c r="M351" i="1"/>
  <c r="M342" i="1"/>
  <c r="M358" i="1" s="1"/>
  <c r="M341" i="1"/>
  <c r="M357" i="1" s="1"/>
  <c r="M331" i="1"/>
  <c r="M324" i="1"/>
  <c r="M323" i="1"/>
  <c r="M322" i="1"/>
  <c r="M327" i="1"/>
  <c r="M284" i="1"/>
  <c r="M283" i="1"/>
  <c r="M421" i="1" s="1"/>
  <c r="M282" i="1"/>
  <c r="M280" i="1"/>
  <c r="M276" i="1"/>
  <c r="M274" i="1"/>
  <c r="M270" i="1"/>
  <c r="M344" i="1" s="1"/>
  <c r="M261" i="1"/>
  <c r="M253" i="1"/>
  <c r="M262" i="1"/>
  <c r="M258" i="1"/>
  <c r="M254" i="1"/>
  <c r="M281" i="1"/>
  <c r="M279" i="1"/>
  <c r="M277" i="1"/>
  <c r="M275" i="1"/>
  <c r="M273" i="1"/>
  <c r="M271" i="1"/>
  <c r="M269" i="1"/>
  <c r="M268" i="1"/>
  <c r="M267" i="1"/>
  <c r="M263" i="1"/>
  <c r="M259" i="1"/>
  <c r="M255" i="1"/>
  <c r="M260" i="1"/>
  <c r="M256" i="1"/>
  <c r="M252" i="1"/>
  <c r="M144" i="1"/>
  <c r="M118" i="1"/>
  <c r="M37" i="1"/>
  <c r="M97" i="1"/>
  <c r="M31" i="1"/>
  <c r="M125" i="1"/>
  <c r="M207" i="1"/>
  <c r="M226" i="1"/>
  <c r="M126" i="1"/>
  <c r="M213" i="1"/>
  <c r="M230" i="1"/>
  <c r="M238" i="1"/>
  <c r="M202" i="1"/>
  <c r="M239" i="1"/>
  <c r="M368" i="1"/>
  <c r="AW1" i="1"/>
  <c r="AW39" i="1"/>
  <c r="I30" i="1"/>
  <c r="I197" i="1"/>
  <c r="BD382" i="1"/>
  <c r="BD383" i="1" s="1"/>
  <c r="K292" i="1"/>
  <c r="K293" i="1"/>
  <c r="V197" i="1"/>
  <c r="V399" i="1" s="1"/>
  <c r="V30" i="1"/>
  <c r="AY58" i="1"/>
  <c r="AY63" i="1" s="1"/>
  <c r="AY46" i="1" s="1"/>
  <c r="AY61" i="1"/>
  <c r="AY44" i="1" s="1"/>
  <c r="K373" i="1"/>
  <c r="AU1" i="1"/>
  <c r="AU39" i="1"/>
  <c r="BG155" i="1"/>
  <c r="BG152" i="1"/>
  <c r="BG149" i="1"/>
  <c r="BG49" i="1"/>
  <c r="BG175" i="1"/>
  <c r="L396" i="1"/>
  <c r="L316" i="1"/>
  <c r="L317" i="1"/>
  <c r="G404" i="1"/>
  <c r="G388" i="1"/>
  <c r="G32" i="1"/>
  <c r="G36" i="1"/>
  <c r="G34" i="1"/>
  <c r="AZ61" i="1"/>
  <c r="AZ44" i="1" s="1"/>
  <c r="AZ58" i="1"/>
  <c r="AZ63" i="1" s="1"/>
  <c r="AZ46" i="1" s="1"/>
  <c r="K166" i="1"/>
  <c r="K164" i="1"/>
  <c r="BF38" i="1"/>
  <c r="J193" i="1"/>
  <c r="J200" i="1"/>
  <c r="J25" i="1"/>
  <c r="BF82" i="1"/>
  <c r="BG347" i="1"/>
  <c r="BF361" i="1"/>
  <c r="BF349" i="1"/>
  <c r="BE271" i="1"/>
  <c r="BD234" i="1"/>
  <c r="AS39" i="1"/>
  <c r="AS1" i="1"/>
  <c r="BA73" i="1"/>
  <c r="BA79" i="1"/>
  <c r="BA83" i="1" s="1"/>
  <c r="AV418" i="1"/>
  <c r="AV405" i="1"/>
  <c r="AV387" i="1"/>
  <c r="AV221" i="1"/>
  <c r="AV227" i="1" s="1"/>
  <c r="AV35" i="1"/>
  <c r="AD422" i="1"/>
  <c r="AD423" i="1" s="1"/>
  <c r="AD424" i="1" s="1"/>
  <c r="AO418" i="1"/>
  <c r="AO405" i="1"/>
  <c r="AO387" i="1"/>
  <c r="AO221" i="1"/>
  <c r="AO227" i="1" s="1"/>
  <c r="AO35" i="1"/>
  <c r="BA344" i="1"/>
  <c r="BA270" i="1" s="1"/>
  <c r="G403" i="1"/>
  <c r="G400" i="1"/>
  <c r="X405" i="1"/>
  <c r="X418" i="1"/>
  <c r="X35" i="1"/>
  <c r="L63" i="1"/>
  <c r="M17" i="1"/>
  <c r="M66" i="1"/>
  <c r="M123" i="1"/>
  <c r="M119" i="1"/>
  <c r="M87" i="1"/>
  <c r="M86" i="1" s="1"/>
  <c r="M158" i="1"/>
  <c r="M232" i="1"/>
  <c r="M205" i="1"/>
  <c r="M367" i="1"/>
  <c r="K309" i="1"/>
  <c r="K308" i="1"/>
  <c r="K264" i="1"/>
  <c r="K286" i="1" s="1"/>
  <c r="BC113" i="1"/>
  <c r="BC104" i="1"/>
  <c r="BC114" i="1" s="1"/>
  <c r="J294" i="1"/>
  <c r="J299" i="1"/>
  <c r="J295" i="1"/>
  <c r="L345" i="1"/>
  <c r="L291" i="1"/>
  <c r="AK422" i="1"/>
  <c r="AK423" i="1" s="1"/>
  <c r="AK424" i="1" s="1"/>
  <c r="S36" i="1"/>
  <c r="S34" i="1"/>
  <c r="S32" i="1"/>
  <c r="S35" i="1" s="1"/>
  <c r="AF418" i="1"/>
  <c r="AF405" i="1"/>
  <c r="AF387" i="1"/>
  <c r="AF221" i="1"/>
  <c r="AF35" i="1"/>
  <c r="AZ81" i="1"/>
  <c r="AN405" i="1"/>
  <c r="AN418" i="1"/>
  <c r="AN387" i="1"/>
  <c r="AN221" i="1"/>
  <c r="AN227" i="1" s="1"/>
  <c r="AN35" i="1"/>
  <c r="BD90" i="1"/>
  <c r="BD93" i="1" s="1"/>
  <c r="BD103" i="1"/>
  <c r="BD145" i="1"/>
  <c r="BD48" i="1" s="1"/>
  <c r="H30" i="1"/>
  <c r="H197" i="1"/>
  <c r="AB405" i="1"/>
  <c r="AB418" i="1"/>
  <c r="AB387" i="1"/>
  <c r="AB221" i="1"/>
  <c r="AB235" i="1" s="1"/>
  <c r="AB237" i="1" s="1"/>
  <c r="AB246" i="1" s="1"/>
  <c r="AB247" i="1" s="1"/>
  <c r="AB35" i="1"/>
  <c r="J300" i="1" l="1"/>
  <c r="L81" i="1"/>
  <c r="L177" i="1"/>
  <c r="K189" i="1"/>
  <c r="L23" i="1"/>
  <c r="N43" i="1"/>
  <c r="N115" i="1"/>
  <c r="N96" i="1"/>
  <c r="N210" i="1"/>
  <c r="N242" i="1"/>
  <c r="BG224" i="1"/>
  <c r="BH275" i="1"/>
  <c r="M227" i="1"/>
  <c r="BD206" i="1"/>
  <c r="BD209" i="1" s="1"/>
  <c r="BD210" i="1" s="1"/>
  <c r="BD236" i="1" s="1"/>
  <c r="BI86" i="1"/>
  <c r="N11" i="1"/>
  <c r="N65" i="1"/>
  <c r="N68" i="1" s="1"/>
  <c r="N66" i="1"/>
  <c r="N18" i="1"/>
  <c r="N104" i="1"/>
  <c r="N120" i="1"/>
  <c r="N206" i="1"/>
  <c r="N231" i="1"/>
  <c r="N230" i="1"/>
  <c r="N244" i="1"/>
  <c r="N382" i="1"/>
  <c r="BH74" i="1"/>
  <c r="N21" i="1"/>
  <c r="N87" i="1"/>
  <c r="N70" i="1"/>
  <c r="N37" i="1"/>
  <c r="N383" i="1" s="1"/>
  <c r="N385" i="1" s="1"/>
  <c r="N105" i="1"/>
  <c r="N175" i="1"/>
  <c r="N225" i="1"/>
  <c r="N233" i="1"/>
  <c r="N234" i="1"/>
  <c r="N222" i="1"/>
  <c r="N371" i="1" s="1"/>
  <c r="N377" i="1" s="1"/>
  <c r="N378" i="1"/>
  <c r="N109" i="1"/>
  <c r="K168" i="1"/>
  <c r="M383" i="1"/>
  <c r="BE213" i="1"/>
  <c r="M194" i="1"/>
  <c r="BB115" i="1"/>
  <c r="BB75" i="1" s="1"/>
  <c r="BE143" i="1"/>
  <c r="M68" i="1"/>
  <c r="BM47" i="1"/>
  <c r="BM48" i="1" s="1"/>
  <c r="BM49" i="1" s="1"/>
  <c r="BM50" i="1" s="1"/>
  <c r="BM51" i="1" s="1"/>
  <c r="BM52" i="1" s="1"/>
  <c r="BM53" i="1" s="1"/>
  <c r="BM54" i="1" s="1"/>
  <c r="BM55" i="1" s="1"/>
  <c r="BM56" i="1" s="1"/>
  <c r="BM57" i="1" s="1"/>
  <c r="BM58" i="1" s="1"/>
  <c r="BM59" i="1" s="1"/>
  <c r="BM60" i="1" s="1"/>
  <c r="BM61" i="1" s="1"/>
  <c r="BM62" i="1" s="1"/>
  <c r="BM63" i="1" s="1"/>
  <c r="BM64" i="1" s="1"/>
  <c r="BM65" i="1" s="1"/>
  <c r="BM66" i="1" s="1"/>
  <c r="BM67" i="1" s="1"/>
  <c r="BM68" i="1" s="1"/>
  <c r="BM69" i="1" s="1"/>
  <c r="BM70" i="1" s="1"/>
  <c r="BM71" i="1" s="1"/>
  <c r="BM72" i="1" s="1"/>
  <c r="BM73" i="1" s="1"/>
  <c r="BM74" i="1" s="1"/>
  <c r="BM75" i="1" s="1"/>
  <c r="BM76" i="1" s="1"/>
  <c r="BM77" i="1" s="1"/>
  <c r="BM78" i="1" s="1"/>
  <c r="BM79" i="1" s="1"/>
  <c r="BM80" i="1" s="1"/>
  <c r="BM81" i="1" s="1"/>
  <c r="BM82" i="1" s="1"/>
  <c r="BM83" i="1" s="1"/>
  <c r="BM84" i="1" s="1"/>
  <c r="BM85" i="1" s="1"/>
  <c r="BM86" i="1" s="1"/>
  <c r="BM87" i="1" s="1"/>
  <c r="BM88" i="1" s="1"/>
  <c r="BM89" i="1" s="1"/>
  <c r="BM90" i="1" s="1"/>
  <c r="BM91" i="1" s="1"/>
  <c r="BM92" i="1" s="1"/>
  <c r="BM93" i="1" s="1"/>
  <c r="BM94" i="1" s="1"/>
  <c r="BM95" i="1" s="1"/>
  <c r="BM96" i="1" s="1"/>
  <c r="BM97" i="1" s="1"/>
  <c r="BM98" i="1" s="1"/>
  <c r="BM99" i="1" s="1"/>
  <c r="BM100" i="1" s="1"/>
  <c r="BM101" i="1" s="1"/>
  <c r="BM102" i="1" s="1"/>
  <c r="BM103" i="1" s="1"/>
  <c r="BM104" i="1" s="1"/>
  <c r="BM105" i="1" s="1"/>
  <c r="BM106" i="1" s="1"/>
  <c r="BM107" i="1" s="1"/>
  <c r="BM108" i="1" s="1"/>
  <c r="BM109" i="1" s="1"/>
  <c r="BM110" i="1" s="1"/>
  <c r="BM111" i="1" s="1"/>
  <c r="BM112" i="1" s="1"/>
  <c r="BM113" i="1" s="1"/>
  <c r="BM114" i="1" s="1"/>
  <c r="BM115" i="1" s="1"/>
  <c r="BM116" i="1" s="1"/>
  <c r="BM117" i="1" s="1"/>
  <c r="BM118" i="1" s="1"/>
  <c r="BM119" i="1" s="1"/>
  <c r="BM120" i="1" s="1"/>
  <c r="BM121" i="1" s="1"/>
  <c r="BM122" i="1" s="1"/>
  <c r="BM123" i="1" s="1"/>
  <c r="BM124" i="1" s="1"/>
  <c r="BM125" i="1" s="1"/>
  <c r="BM126" i="1" s="1"/>
  <c r="BM127" i="1" s="1"/>
  <c r="BM128" i="1" s="1"/>
  <c r="BM129" i="1" s="1"/>
  <c r="BM130" i="1" s="1"/>
  <c r="BM131" i="1" s="1"/>
  <c r="BM132" i="1" s="1"/>
  <c r="BM133" i="1" s="1"/>
  <c r="BM134" i="1" s="1"/>
  <c r="BM135" i="1" s="1"/>
  <c r="BM136" i="1" s="1"/>
  <c r="BM137" i="1" s="1"/>
  <c r="BM138" i="1" s="1"/>
  <c r="BM139" i="1" s="1"/>
  <c r="BM140" i="1" s="1"/>
  <c r="BM141" i="1" s="1"/>
  <c r="BM142" i="1" s="1"/>
  <c r="BM143" i="1" s="1"/>
  <c r="BM144" i="1" s="1"/>
  <c r="BM145" i="1" s="1"/>
  <c r="BM146" i="1" s="1"/>
  <c r="BM147" i="1" s="1"/>
  <c r="BM148" i="1" s="1"/>
  <c r="BM149" i="1" s="1"/>
  <c r="BM150" i="1" s="1"/>
  <c r="BM151" i="1" s="1"/>
  <c r="BM152" i="1" s="1"/>
  <c r="BM153" i="1" s="1"/>
  <c r="BM154" i="1" s="1"/>
  <c r="BM155" i="1" s="1"/>
  <c r="BM156" i="1" s="1"/>
  <c r="BM157" i="1" s="1"/>
  <c r="BM158" i="1" s="1"/>
  <c r="H399" i="1"/>
  <c r="M187" i="1"/>
  <c r="L51" i="1"/>
  <c r="L167" i="1"/>
  <c r="K51" i="1"/>
  <c r="BI120" i="1"/>
  <c r="BI123" i="1" s="1"/>
  <c r="BI127" i="1" s="1"/>
  <c r="N227" i="1"/>
  <c r="M159" i="1"/>
  <c r="M160" i="1" s="1"/>
  <c r="L407" i="1"/>
  <c r="I399" i="1"/>
  <c r="I403" i="1" s="1"/>
  <c r="M93" i="1"/>
  <c r="BB110" i="1"/>
  <c r="N17" i="1"/>
  <c r="N12" i="1"/>
  <c r="N99" i="1"/>
  <c r="N113" i="1"/>
  <c r="N24" i="1"/>
  <c r="N97" i="1"/>
  <c r="N90" i="1"/>
  <c r="N214" i="1"/>
  <c r="N123" i="1"/>
  <c r="N216" i="1"/>
  <c r="N243" i="1"/>
  <c r="N236" i="1"/>
  <c r="N209" i="1"/>
  <c r="N368" i="1"/>
  <c r="H403" i="1"/>
  <c r="H400" i="1"/>
  <c r="H408" i="1"/>
  <c r="BD385" i="1"/>
  <c r="BE383" i="1"/>
  <c r="BD37" i="1"/>
  <c r="BE240" i="1" s="1"/>
  <c r="BE419" i="1" s="1"/>
  <c r="V403" i="1"/>
  <c r="V400" i="1"/>
  <c r="V408" i="1"/>
  <c r="H404" i="1"/>
  <c r="H388" i="1"/>
  <c r="H32" i="1"/>
  <c r="H36" i="1"/>
  <c r="H34" i="1"/>
  <c r="BD375" i="1"/>
  <c r="AN422" i="1"/>
  <c r="AN423" i="1" s="1"/>
  <c r="AN424" i="1" s="1"/>
  <c r="BC110" i="1"/>
  <c r="M221" i="1"/>
  <c r="M235" i="1" s="1"/>
  <c r="M237" i="1" s="1"/>
  <c r="L82" i="1"/>
  <c r="AV422" i="1"/>
  <c r="AV423" i="1" s="1"/>
  <c r="AV424" i="1" s="1"/>
  <c r="AY52" i="1"/>
  <c r="AY17" i="1"/>
  <c r="K295" i="1"/>
  <c r="K294" i="1"/>
  <c r="I404" i="1"/>
  <c r="I388" i="1"/>
  <c r="I34" i="1"/>
  <c r="I36" i="1"/>
  <c r="I32" i="1"/>
  <c r="M385" i="1"/>
  <c r="M420" i="1"/>
  <c r="M163" i="1"/>
  <c r="BB210" i="1"/>
  <c r="BH152" i="1"/>
  <c r="BH155" i="1"/>
  <c r="BH149" i="1"/>
  <c r="BH49" i="1"/>
  <c r="BH175" i="1"/>
  <c r="M92" i="1"/>
  <c r="W422" i="1"/>
  <c r="W423" i="1" s="1"/>
  <c r="W424" i="1" s="1"/>
  <c r="K178" i="1"/>
  <c r="L413" i="1"/>
  <c r="L314" i="1"/>
  <c r="L315" i="1" s="1"/>
  <c r="L312" i="1"/>
  <c r="L313" i="1" s="1"/>
  <c r="BG131" i="1"/>
  <c r="P131" i="1"/>
  <c r="AW422" i="1"/>
  <c r="AW423" i="1" s="1"/>
  <c r="AW424" i="1" s="1"/>
  <c r="AA235" i="1"/>
  <c r="AA237" i="1" s="1"/>
  <c r="AA246" i="1" s="1"/>
  <c r="AA247" i="1" s="1"/>
  <c r="I221" i="1"/>
  <c r="I235" i="1" s="1"/>
  <c r="I237" i="1" s="1"/>
  <c r="I246" i="1" s="1"/>
  <c r="I247" i="1" s="1"/>
  <c r="AE235" i="1"/>
  <c r="J221" i="1"/>
  <c r="BG340" i="1"/>
  <c r="BH335" i="1"/>
  <c r="BG354" i="1"/>
  <c r="BF384" i="1"/>
  <c r="BF382" i="1" s="1"/>
  <c r="AJ422" i="1"/>
  <c r="AJ423" i="1"/>
  <c r="AJ424" i="1" s="1"/>
  <c r="N390" i="1"/>
  <c r="N350" i="1"/>
  <c r="N348" i="1"/>
  <c r="N391" i="1"/>
  <c r="N384" i="1"/>
  <c r="N365" i="1"/>
  <c r="N349" i="1"/>
  <c r="N341" i="1"/>
  <c r="N357" i="1" s="1"/>
  <c r="N322" i="1"/>
  <c r="N362" i="1"/>
  <c r="N338" i="1"/>
  <c r="N337" i="1"/>
  <c r="N327" i="1"/>
  <c r="N347" i="1"/>
  <c r="N339" i="1"/>
  <c r="N329" i="1"/>
  <c r="N361" i="1"/>
  <c r="N351" i="1"/>
  <c r="N342" i="1"/>
  <c r="N358" i="1" s="1"/>
  <c r="N331" i="1"/>
  <c r="N330" i="1"/>
  <c r="N324" i="1"/>
  <c r="N323" i="1"/>
  <c r="N340" i="1"/>
  <c r="N356" i="1" s="1"/>
  <c r="N336" i="1"/>
  <c r="N355" i="1" s="1"/>
  <c r="N335" i="1"/>
  <c r="N354" i="1" s="1"/>
  <c r="N332" i="1"/>
  <c r="N328" i="1"/>
  <c r="N267" i="1"/>
  <c r="N283" i="1"/>
  <c r="N421" i="1" s="1"/>
  <c r="N262" i="1"/>
  <c r="N258" i="1"/>
  <c r="N254" i="1"/>
  <c r="N281" i="1"/>
  <c r="N279" i="1"/>
  <c r="N277" i="1"/>
  <c r="N275" i="1"/>
  <c r="N273" i="1"/>
  <c r="N271" i="1"/>
  <c r="N269" i="1"/>
  <c r="N268" i="1"/>
  <c r="N263" i="1"/>
  <c r="N259" i="1"/>
  <c r="N255" i="1"/>
  <c r="N284" i="1"/>
  <c r="N260" i="1"/>
  <c r="N256" i="1"/>
  <c r="N252" i="1"/>
  <c r="N282" i="1"/>
  <c r="N280" i="1"/>
  <c r="N276" i="1"/>
  <c r="N274" i="1"/>
  <c r="N270" i="1"/>
  <c r="N344" i="1" s="1"/>
  <c r="N261" i="1"/>
  <c r="N253" i="1"/>
  <c r="N144" i="1"/>
  <c r="N13" i="1"/>
  <c r="N27" i="1"/>
  <c r="N69" i="1"/>
  <c r="N126" i="1"/>
  <c r="N98" i="1"/>
  <c r="N93" i="1" s="1"/>
  <c r="N118" i="1"/>
  <c r="N38" i="1"/>
  <c r="N103" i="1"/>
  <c r="N108" i="1" s="1"/>
  <c r="N124" i="1"/>
  <c r="N125" i="1"/>
  <c r="N223" i="1"/>
  <c r="N213" i="1"/>
  <c r="N205" i="1"/>
  <c r="N229" i="1"/>
  <c r="N241" i="1"/>
  <c r="N232" i="1"/>
  <c r="N240" i="1"/>
  <c r="N419" i="1" s="1"/>
  <c r="N215" i="1"/>
  <c r="N367" i="1"/>
  <c r="BA24" i="1"/>
  <c r="J302" i="1"/>
  <c r="J303" i="1"/>
  <c r="J296" i="1"/>
  <c r="J201" i="1"/>
  <c r="AB422" i="1"/>
  <c r="AB423" i="1" s="1"/>
  <c r="AB424" i="1" s="1"/>
  <c r="S39" i="1"/>
  <c r="S1" i="1"/>
  <c r="L292" i="1"/>
  <c r="L293" i="1"/>
  <c r="L196" i="1"/>
  <c r="J297" i="1"/>
  <c r="BC115" i="1"/>
  <c r="BC75" i="1" s="1"/>
  <c r="X422" i="1"/>
  <c r="X423" i="1" s="1"/>
  <c r="X424" i="1" s="1"/>
  <c r="AO422" i="1"/>
  <c r="AO423" i="1" s="1"/>
  <c r="AO424" i="1" s="1"/>
  <c r="J398" i="1"/>
  <c r="J304" i="1"/>
  <c r="J195" i="1"/>
  <c r="J28" i="1"/>
  <c r="BG38" i="1"/>
  <c r="AZ52" i="1"/>
  <c r="AZ17" i="1"/>
  <c r="G418" i="1"/>
  <c r="G405" i="1"/>
  <c r="G387" i="1"/>
  <c r="G35" i="1"/>
  <c r="V404" i="1"/>
  <c r="V36" i="1"/>
  <c r="V34" i="1"/>
  <c r="V32" i="1"/>
  <c r="M272" i="1"/>
  <c r="M278" i="1" s="1"/>
  <c r="M285" i="1" s="1"/>
  <c r="M345" i="1"/>
  <c r="M291" i="1"/>
  <c r="M196" i="1" s="1"/>
  <c r="M396" i="1"/>
  <c r="N417" i="1"/>
  <c r="M393" i="1"/>
  <c r="M392" i="1"/>
  <c r="M290" i="1"/>
  <c r="BG78" i="1"/>
  <c r="BG82" i="1" s="1"/>
  <c r="BG57" i="1"/>
  <c r="BG62" i="1" s="1"/>
  <c r="AR422" i="1"/>
  <c r="AR423" i="1" s="1"/>
  <c r="AR424" i="1" s="1"/>
  <c r="AU422" i="1"/>
  <c r="AU423" i="1" s="1"/>
  <c r="AU424" i="1" s="1"/>
  <c r="L178" i="1"/>
  <c r="BE421" i="1"/>
  <c r="BF283" i="1"/>
  <c r="AQ422" i="1"/>
  <c r="AQ423" i="1" s="1"/>
  <c r="AQ424" i="1" s="1"/>
  <c r="BE328" i="1"/>
  <c r="BF267" i="1"/>
  <c r="BF256" i="1"/>
  <c r="BF231" i="1" s="1"/>
  <c r="Y422" i="1"/>
  <c r="Y423" i="1" s="1"/>
  <c r="Y424" i="1" s="1"/>
  <c r="BJ119" i="1"/>
  <c r="BJ124" i="1" s="1"/>
  <c r="BJ99" i="1"/>
  <c r="BJ87" i="1"/>
  <c r="L166" i="1"/>
  <c r="L164" i="1"/>
  <c r="N152" i="1"/>
  <c r="N149" i="1"/>
  <c r="N155" i="1"/>
  <c r="N60" i="1"/>
  <c r="N49" i="1"/>
  <c r="N145" i="1"/>
  <c r="N86" i="1"/>
  <c r="N187" i="1"/>
  <c r="N159" i="1"/>
  <c r="N160" i="1" s="1"/>
  <c r="N221" i="1"/>
  <c r="BH311" i="1"/>
  <c r="BG310" i="1"/>
  <c r="BG315" i="1"/>
  <c r="AM422" i="1"/>
  <c r="AM423" i="1" s="1"/>
  <c r="AM424" i="1" s="1"/>
  <c r="BI128" i="1"/>
  <c r="BI74" i="1"/>
  <c r="AT422" i="1"/>
  <c r="AT423" i="1" s="1"/>
  <c r="AT424" i="1" s="1"/>
  <c r="BA56" i="1"/>
  <c r="BA77" i="1"/>
  <c r="BA81" i="1" s="1"/>
  <c r="BF271" i="1"/>
  <c r="BE234" i="1"/>
  <c r="BG349" i="1"/>
  <c r="BH347" i="1"/>
  <c r="BG361" i="1"/>
  <c r="BJ274" i="1"/>
  <c r="M375" i="1"/>
  <c r="M374" i="1"/>
  <c r="M305" i="1" s="1"/>
  <c r="L402" i="1"/>
  <c r="AP422" i="1"/>
  <c r="AP423" i="1" s="1"/>
  <c r="AP424" i="1" s="1"/>
  <c r="BE206" i="1"/>
  <c r="BE103" i="1"/>
  <c r="BE145" i="1"/>
  <c r="BE48" i="1" s="1"/>
  <c r="AI422" i="1"/>
  <c r="AI423" i="1" s="1"/>
  <c r="AI424" i="1" s="1"/>
  <c r="AS422" i="1"/>
  <c r="AS423" i="1" s="1"/>
  <c r="AS424" i="1" s="1"/>
  <c r="N172" i="1"/>
  <c r="N183" i="1"/>
  <c r="N163" i="1"/>
  <c r="N162" i="1"/>
  <c r="N92" i="1"/>
  <c r="N374" i="1"/>
  <c r="N305" i="1" s="1"/>
  <c r="N375" i="1"/>
  <c r="Z418" i="1"/>
  <c r="Z387" i="1"/>
  <c r="Z405" i="1"/>
  <c r="Z221" i="1"/>
  <c r="Z35" i="1"/>
  <c r="K200" i="1"/>
  <c r="K193" i="1"/>
  <c r="K25" i="1"/>
  <c r="AM227" i="1"/>
  <c r="L227" i="1" s="1"/>
  <c r="L221" i="1"/>
  <c r="BH313" i="1"/>
  <c r="BG312" i="1"/>
  <c r="BD113" i="1"/>
  <c r="BD104" i="1"/>
  <c r="BD114" i="1" s="1"/>
  <c r="M186" i="1"/>
  <c r="M58" i="1"/>
  <c r="M75" i="1"/>
  <c r="M46" i="1"/>
  <c r="M20" i="1"/>
  <c r="M79" i="1"/>
  <c r="M83" i="1" s="1"/>
  <c r="AZ45" i="1"/>
  <c r="AZ50" i="1"/>
  <c r="AZ11" i="1"/>
  <c r="AF422" i="1"/>
  <c r="AF423" i="1" s="1"/>
  <c r="AF424" i="1" s="1"/>
  <c r="G39" i="1"/>
  <c r="G1" i="1"/>
  <c r="AY50" i="1"/>
  <c r="AY45" i="1"/>
  <c r="AY11" i="1"/>
  <c r="M397" i="1"/>
  <c r="M257" i="1"/>
  <c r="M2" i="1"/>
  <c r="M162" i="1"/>
  <c r="BH22" i="1"/>
  <c r="BF137" i="1"/>
  <c r="BE89" i="1"/>
  <c r="BE92" i="1" s="1"/>
  <c r="L308" i="1"/>
  <c r="L309" i="1"/>
  <c r="L264" i="1"/>
  <c r="L286" i="1" s="1"/>
  <c r="AI378" i="1"/>
  <c r="AI259" i="1"/>
  <c r="AH258" i="1"/>
  <c r="J259" i="1"/>
  <c r="K378" i="1" s="1"/>
  <c r="M182" i="1"/>
  <c r="M77" i="1"/>
  <c r="M73" i="1"/>
  <c r="M56" i="1"/>
  <c r="M44" i="1"/>
  <c r="M14" i="1"/>
  <c r="BB73" i="1"/>
  <c r="BB79" i="1"/>
  <c r="BB83" i="1" s="1"/>
  <c r="K413" i="1"/>
  <c r="K314" i="1"/>
  <c r="K312" i="1"/>
  <c r="K313" i="1" s="1"/>
  <c r="AH422" i="1"/>
  <c r="AH423" i="1" s="1"/>
  <c r="AH424" i="1" s="1"/>
  <c r="J413" i="1"/>
  <c r="J312" i="1"/>
  <c r="J313" i="1" s="1"/>
  <c r="J314" i="1"/>
  <c r="BE329" i="1"/>
  <c r="BF276" i="1"/>
  <c r="AI227" i="1"/>
  <c r="K227" i="1" s="1"/>
  <c r="K221" i="1"/>
  <c r="AA422" i="1"/>
  <c r="AA423" i="1" s="1"/>
  <c r="AA424" i="1" s="1"/>
  <c r="AE422" i="1"/>
  <c r="AE423" i="1" s="1"/>
  <c r="AE424" i="1" s="1"/>
  <c r="BF356" i="1"/>
  <c r="BF331" i="1"/>
  <c r="BI105" i="1"/>
  <c r="BI60" i="1"/>
  <c r="BI43" i="1" s="1"/>
  <c r="M155" i="1"/>
  <c r="M145" i="1"/>
  <c r="M152" i="1"/>
  <c r="M149" i="1"/>
  <c r="M60" i="1"/>
  <c r="M49" i="1"/>
  <c r="O69" i="1"/>
  <c r="O6" i="1"/>
  <c r="O382" i="1" s="1"/>
  <c r="P5" i="1"/>
  <c r="N44" i="1"/>
  <c r="N14" i="1"/>
  <c r="N192" i="1" s="1"/>
  <c r="N110" i="1"/>
  <c r="L200" i="1"/>
  <c r="L193" i="1"/>
  <c r="L25" i="1"/>
  <c r="Z39" i="1"/>
  <c r="Z1" i="1"/>
  <c r="BE420" i="1"/>
  <c r="BF279" i="1"/>
  <c r="BH78" i="1"/>
  <c r="BH57" i="1"/>
  <c r="BH62" i="1" s="1"/>
  <c r="BE318" i="1"/>
  <c r="N73" i="1" l="1"/>
  <c r="N74" i="1" s="1"/>
  <c r="N127" i="1" s="1"/>
  <c r="I408" i="1"/>
  <c r="N194" i="1"/>
  <c r="N46" i="1"/>
  <c r="N77" i="1"/>
  <c r="N182" i="1"/>
  <c r="N235" i="1"/>
  <c r="N237" i="1" s="1"/>
  <c r="N246" i="1" s="1"/>
  <c r="N247" i="1" s="1"/>
  <c r="N58" i="1"/>
  <c r="N57" i="1" s="1"/>
  <c r="N62" i="1" s="1"/>
  <c r="N75" i="1"/>
  <c r="I400" i="1"/>
  <c r="BI275" i="1"/>
  <c r="BH224" i="1"/>
  <c r="N79" i="1"/>
  <c r="N186" i="1"/>
  <c r="BH82" i="1"/>
  <c r="N56" i="1"/>
  <c r="J315" i="1"/>
  <c r="K315" i="1"/>
  <c r="M74" i="1"/>
  <c r="M127" i="1" s="1"/>
  <c r="N20" i="1"/>
  <c r="O213" i="1"/>
  <c r="O18" i="1"/>
  <c r="O38" i="1"/>
  <c r="O70" i="1"/>
  <c r="O215" i="1"/>
  <c r="BE90" i="1"/>
  <c r="BE93" i="1" s="1"/>
  <c r="O12" i="1"/>
  <c r="O120" i="1"/>
  <c r="O105" i="1"/>
  <c r="O227" i="1"/>
  <c r="N379" i="1"/>
  <c r="O239" i="1"/>
  <c r="O31" i="1"/>
  <c r="O123" i="1"/>
  <c r="O216" i="1"/>
  <c r="O234" i="1"/>
  <c r="M317" i="1"/>
  <c r="AZ51" i="1"/>
  <c r="BD110" i="1"/>
  <c r="K297" i="1"/>
  <c r="N373" i="1"/>
  <c r="N167" i="1"/>
  <c r="L168" i="1"/>
  <c r="N396" i="1"/>
  <c r="O21" i="1"/>
  <c r="O115" i="1"/>
  <c r="O158" i="1"/>
  <c r="O207" i="1"/>
  <c r="K235" i="1"/>
  <c r="K237" i="1" s="1"/>
  <c r="K246" i="1" s="1"/>
  <c r="K247" i="1" s="1"/>
  <c r="BF213" i="1"/>
  <c r="AY51" i="1"/>
  <c r="M63" i="1"/>
  <c r="BD115" i="1"/>
  <c r="BD75" i="1" s="1"/>
  <c r="N372" i="1"/>
  <c r="N52" i="1"/>
  <c r="M246" i="1"/>
  <c r="M247" i="1" s="1"/>
  <c r="M407" i="1"/>
  <c r="N171" i="1"/>
  <c r="M167" i="1"/>
  <c r="BM159" i="1"/>
  <c r="BM160" i="1" s="1"/>
  <c r="BM161" i="1" s="1"/>
  <c r="BM162" i="1" s="1"/>
  <c r="M52" i="1"/>
  <c r="J364" i="1"/>
  <c r="N48" i="1"/>
  <c r="M48" i="1"/>
  <c r="O110" i="1"/>
  <c r="L302" i="1"/>
  <c r="L303" i="1"/>
  <c r="L201" i="1"/>
  <c r="O37" i="1"/>
  <c r="O125" i="1"/>
  <c r="O126" i="1"/>
  <c r="O97" i="1"/>
  <c r="O206" i="1"/>
  <c r="O214" i="1"/>
  <c r="P137" i="1"/>
  <c r="M190" i="1"/>
  <c r="M191" i="1" s="1"/>
  <c r="M185" i="1"/>
  <c r="M23" i="1"/>
  <c r="Z235" i="1"/>
  <c r="Z237" i="1" s="1"/>
  <c r="Z246" i="1" s="1"/>
  <c r="Z247" i="1" s="1"/>
  <c r="H221" i="1"/>
  <c r="H235" i="1" s="1"/>
  <c r="H237" i="1" s="1"/>
  <c r="H246" i="1" s="1"/>
  <c r="H247" i="1" s="1"/>
  <c r="BA61" i="1"/>
  <c r="BA44" i="1" s="1"/>
  <c r="BA58" i="1"/>
  <c r="BA63" i="1" s="1"/>
  <c r="BA46" i="1" s="1"/>
  <c r="BF420" i="1"/>
  <c r="BG279" i="1"/>
  <c r="N402" i="1"/>
  <c r="N310" i="1"/>
  <c r="N311" i="1" s="1"/>
  <c r="N181" i="1"/>
  <c r="N177" i="1"/>
  <c r="N176" i="1"/>
  <c r="O13" i="1"/>
  <c r="O67" i="1"/>
  <c r="O71" i="1"/>
  <c r="O90" i="1"/>
  <c r="O89" i="1"/>
  <c r="O113" i="1"/>
  <c r="O103" i="1"/>
  <c r="O202" i="1"/>
  <c r="O225" i="1"/>
  <c r="O118" i="1"/>
  <c r="O210" i="1"/>
  <c r="O224" i="1"/>
  <c r="O231" i="1"/>
  <c r="O243" i="1"/>
  <c r="O238" i="1"/>
  <c r="M61" i="1"/>
  <c r="M57" i="1"/>
  <c r="M62" i="1" s="1"/>
  <c r="M166" i="1"/>
  <c r="M164" i="1"/>
  <c r="M308" i="1"/>
  <c r="M309" i="1"/>
  <c r="M264" i="1"/>
  <c r="M286" i="1" s="1"/>
  <c r="BH312" i="1"/>
  <c r="BI313" i="1"/>
  <c r="N166" i="1"/>
  <c r="N164" i="1"/>
  <c r="BE209" i="1"/>
  <c r="BE210" i="1" s="1"/>
  <c r="BE236" i="1" s="1"/>
  <c r="M192" i="1"/>
  <c r="M373" i="1"/>
  <c r="BG271" i="1"/>
  <c r="BF234" i="1"/>
  <c r="BH315" i="1"/>
  <c r="BI311" i="1"/>
  <c r="BH310" i="1"/>
  <c r="N83" i="1"/>
  <c r="BJ86" i="1"/>
  <c r="BF328" i="1"/>
  <c r="BG267" i="1"/>
  <c r="M293" i="1"/>
  <c r="M292" i="1"/>
  <c r="V39" i="1"/>
  <c r="V1" i="1"/>
  <c r="J30" i="1"/>
  <c r="J197" i="1"/>
  <c r="BC73" i="1"/>
  <c r="BC79" i="1"/>
  <c r="BC83" i="1" s="1"/>
  <c r="L299" i="1"/>
  <c r="L297" i="1"/>
  <c r="L295" i="1"/>
  <c r="L294" i="1"/>
  <c r="L300" i="1"/>
  <c r="N397" i="1"/>
  <c r="N257" i="1"/>
  <c r="N2" i="1"/>
  <c r="N318" i="1"/>
  <c r="I418" i="1"/>
  <c r="I422" i="1" s="1"/>
  <c r="I405" i="1"/>
  <c r="I387" i="1"/>
  <c r="I35" i="1"/>
  <c r="BF318" i="1"/>
  <c r="L398" i="1"/>
  <c r="L304" i="1"/>
  <c r="L195" i="1"/>
  <c r="L28" i="1"/>
  <c r="N81" i="1"/>
  <c r="N78" i="1"/>
  <c r="O384" i="1"/>
  <c r="O362" i="1"/>
  <c r="O361" i="1"/>
  <c r="O338" i="1"/>
  <c r="O336" i="1"/>
  <c r="O355" i="1" s="1"/>
  <c r="O331" i="1"/>
  <c r="O329" i="1"/>
  <c r="O323" i="1"/>
  <c r="O347" i="1"/>
  <c r="O339" i="1"/>
  <c r="O328" i="1"/>
  <c r="O349" i="1"/>
  <c r="O340" i="1"/>
  <c r="O356" i="1" s="1"/>
  <c r="O335" i="1"/>
  <c r="O354" i="1" s="1"/>
  <c r="O348" i="1"/>
  <c r="O337" i="1"/>
  <c r="O283" i="1"/>
  <c r="O421" i="1" s="1"/>
  <c r="O279" i="1"/>
  <c r="O277" i="1"/>
  <c r="O275" i="1"/>
  <c r="O271" i="1"/>
  <c r="O263" i="1"/>
  <c r="O267" i="1"/>
  <c r="O256" i="1"/>
  <c r="O282" i="1"/>
  <c r="O280" i="1"/>
  <c r="O276" i="1"/>
  <c r="O274" i="1"/>
  <c r="O261" i="1"/>
  <c r="O262" i="1"/>
  <c r="O144" i="1"/>
  <c r="O27" i="1"/>
  <c r="O96" i="1"/>
  <c r="O19" i="1"/>
  <c r="O65" i="1"/>
  <c r="O99" i="1"/>
  <c r="O66" i="1"/>
  <c r="O114" i="1"/>
  <c r="O104" i="1"/>
  <c r="O205" i="1"/>
  <c r="O175" i="1"/>
  <c r="O124" i="1"/>
  <c r="O209" i="1"/>
  <c r="O226" i="1"/>
  <c r="O245" i="1"/>
  <c r="O232" i="1"/>
  <c r="O240" i="1"/>
  <c r="O419" i="1" s="1"/>
  <c r="O367" i="1"/>
  <c r="BI149" i="1"/>
  <c r="BI155" i="1"/>
  <c r="BI152" i="1"/>
  <c r="BI49" i="1"/>
  <c r="BI175" i="1"/>
  <c r="BF329" i="1"/>
  <c r="BG276" i="1"/>
  <c r="BB56" i="1"/>
  <c r="BB77" i="1"/>
  <c r="BB81" i="1" s="1"/>
  <c r="AI377" i="1"/>
  <c r="J258" i="1"/>
  <c r="K377" i="1" s="1"/>
  <c r="BG137" i="1"/>
  <c r="BF89" i="1"/>
  <c r="BF92" i="1" s="1"/>
  <c r="M318" i="1"/>
  <c r="L235" i="1"/>
  <c r="L237" i="1" s="1"/>
  <c r="L246" i="1" s="1"/>
  <c r="L247" i="1" s="1"/>
  <c r="K303" i="1"/>
  <c r="K302" i="1"/>
  <c r="K201" i="1"/>
  <c r="K296" i="1"/>
  <c r="M372" i="1"/>
  <c r="BH361" i="1"/>
  <c r="BI347" i="1"/>
  <c r="BH349" i="1"/>
  <c r="N185" i="1"/>
  <c r="N190" i="1"/>
  <c r="N191" i="1" s="1"/>
  <c r="N23" i="1"/>
  <c r="BJ105" i="1"/>
  <c r="BJ60" i="1"/>
  <c r="BJ43" i="1" s="1"/>
  <c r="BF421" i="1"/>
  <c r="BG283" i="1"/>
  <c r="L296" i="1"/>
  <c r="N407" i="1"/>
  <c r="N316" i="1"/>
  <c r="N317" i="1"/>
  <c r="N420" i="1"/>
  <c r="AF235" i="1"/>
  <c r="AE237" i="1"/>
  <c r="AE246" i="1" s="1"/>
  <c r="AE247" i="1" s="1"/>
  <c r="BH131" i="1"/>
  <c r="H418" i="1"/>
  <c r="H405" i="1"/>
  <c r="H387" i="1"/>
  <c r="H35" i="1"/>
  <c r="P6" i="1"/>
  <c r="P368" i="1" s="1"/>
  <c r="Q5" i="1"/>
  <c r="O242" i="1"/>
  <c r="O368" i="1"/>
  <c r="M402" i="1"/>
  <c r="M310" i="1"/>
  <c r="M311" i="1" s="1"/>
  <c r="M189" i="1"/>
  <c r="M181" i="1"/>
  <c r="M177" i="1"/>
  <c r="M176" i="1"/>
  <c r="M81" i="1"/>
  <c r="M78" i="1"/>
  <c r="M82" i="1" s="1"/>
  <c r="AJ378" i="1"/>
  <c r="AJ259" i="1"/>
  <c r="AI258" i="1"/>
  <c r="AJ377" i="1" s="1"/>
  <c r="BI22" i="1"/>
  <c r="AY182" i="1"/>
  <c r="AY14" i="1"/>
  <c r="BD79" i="1"/>
  <c r="BD73" i="1"/>
  <c r="Z422" i="1"/>
  <c r="Z423" i="1"/>
  <c r="Z424" i="1" s="1"/>
  <c r="BI78" i="1"/>
  <c r="BI82" i="1" s="1"/>
  <c r="BI57" i="1"/>
  <c r="BI62" i="1" s="1"/>
  <c r="BG256" i="1"/>
  <c r="BG231" i="1" s="1"/>
  <c r="G422" i="1"/>
  <c r="G423" i="1" s="1"/>
  <c r="G424" i="1" s="1"/>
  <c r="BH38" i="1"/>
  <c r="BJ120" i="1"/>
  <c r="BJ123" i="1" s="1"/>
  <c r="BJ127" i="1" s="1"/>
  <c r="N345" i="1"/>
  <c r="N291" i="1"/>
  <c r="BH354" i="1"/>
  <c r="BH340" i="1"/>
  <c r="BI335" i="1"/>
  <c r="BB344" i="1"/>
  <c r="BB270" i="1" s="1"/>
  <c r="BB236" i="1"/>
  <c r="O236" i="1" s="1"/>
  <c r="M316" i="1"/>
  <c r="I39" i="1"/>
  <c r="I1" i="1"/>
  <c r="K299" i="1"/>
  <c r="AY186" i="1"/>
  <c r="AY20" i="1"/>
  <c r="N50" i="1"/>
  <c r="N45" i="1"/>
  <c r="N61" i="1"/>
  <c r="O43" i="1"/>
  <c r="O22" i="1"/>
  <c r="O87" i="1"/>
  <c r="O98" i="1"/>
  <c r="O119" i="1"/>
  <c r="O241" i="1"/>
  <c r="M50" i="1"/>
  <c r="M45" i="1"/>
  <c r="AZ182" i="1"/>
  <c r="AZ14" i="1"/>
  <c r="K398" i="1"/>
  <c r="K304" i="1"/>
  <c r="K195" i="1"/>
  <c r="K28" i="1"/>
  <c r="BE113" i="1"/>
  <c r="BE104" i="1"/>
  <c r="BE114" i="1" s="1"/>
  <c r="V405" i="1"/>
  <c r="V35" i="1"/>
  <c r="AZ186" i="1"/>
  <c r="AZ20" i="1"/>
  <c r="BA222" i="1"/>
  <c r="BA371" i="1" s="1"/>
  <c r="BA259" i="1"/>
  <c r="O417" i="1"/>
  <c r="N392" i="1"/>
  <c r="N393" i="1"/>
  <c r="N290" i="1"/>
  <c r="N272" i="1"/>
  <c r="N278" i="1" s="1"/>
  <c r="N285" i="1" s="1"/>
  <c r="BG384" i="1"/>
  <c r="BG356" i="1"/>
  <c r="BC344" i="1" s="1"/>
  <c r="BC270" i="1" s="1"/>
  <c r="BG331" i="1"/>
  <c r="BF143" i="1"/>
  <c r="K300" i="1"/>
  <c r="H39" i="1"/>
  <c r="H1" i="1"/>
  <c r="BE385" i="1"/>
  <c r="BF383" i="1"/>
  <c r="BE37" i="1"/>
  <c r="BF240" i="1" s="1"/>
  <c r="BF419" i="1" s="1"/>
  <c r="N63" i="1" l="1"/>
  <c r="O187" i="1"/>
  <c r="O183" i="1"/>
  <c r="O92" i="1"/>
  <c r="O163" i="1"/>
  <c r="O162" i="1"/>
  <c r="BJ275" i="1"/>
  <c r="BJ224" i="1" s="1"/>
  <c r="BI224" i="1"/>
  <c r="J399" i="1"/>
  <c r="J403" i="1" s="1"/>
  <c r="BG213" i="1"/>
  <c r="O109" i="1"/>
  <c r="BE115" i="1"/>
  <c r="BE75" i="1" s="1"/>
  <c r="O86" i="1"/>
  <c r="O167" i="1"/>
  <c r="K364" i="1"/>
  <c r="M51" i="1"/>
  <c r="BD83" i="1"/>
  <c r="M168" i="1"/>
  <c r="N178" i="1"/>
  <c r="O383" i="1"/>
  <c r="O385" i="1" s="1"/>
  <c r="BM163" i="1"/>
  <c r="BM164" i="1" s="1"/>
  <c r="L364" i="1"/>
  <c r="O159" i="1"/>
  <c r="O160" i="1" s="1"/>
  <c r="N51" i="1"/>
  <c r="P70" i="1"/>
  <c r="O171" i="1"/>
  <c r="O375" i="1"/>
  <c r="BF385" i="1"/>
  <c r="BF37" i="1"/>
  <c r="BG240" i="1" s="1"/>
  <c r="BG419" i="1" s="1"/>
  <c r="J408" i="1"/>
  <c r="BE73" i="1"/>
  <c r="BE79" i="1"/>
  <c r="BE83" i="1" s="1"/>
  <c r="BJ128" i="1"/>
  <c r="BJ74" i="1"/>
  <c r="BD77" i="1"/>
  <c r="BD56" i="1"/>
  <c r="BJ22" i="1"/>
  <c r="Q6" i="1"/>
  <c r="Q368" i="1" s="1"/>
  <c r="P18" i="1"/>
  <c r="P67" i="1"/>
  <c r="P43" i="1"/>
  <c r="P89" i="1"/>
  <c r="P126" i="1"/>
  <c r="P202" i="1"/>
  <c r="P119" i="1"/>
  <c r="P214" i="1"/>
  <c r="P245" i="1"/>
  <c r="H422" i="1"/>
  <c r="H423" i="1" s="1"/>
  <c r="O420" i="1"/>
  <c r="BG318" i="1"/>
  <c r="J388" i="1"/>
  <c r="J404" i="1"/>
  <c r="J36" i="1"/>
  <c r="J34" i="1"/>
  <c r="J32" i="1"/>
  <c r="BI315" i="1"/>
  <c r="BJ311" i="1"/>
  <c r="BI310" i="1"/>
  <c r="BJ313" i="1"/>
  <c r="BJ312" i="1" s="1"/>
  <c r="BI312" i="1"/>
  <c r="N189" i="1"/>
  <c r="BG420" i="1"/>
  <c r="BH279" i="1"/>
  <c r="BI340" i="1"/>
  <c r="BI354" i="1"/>
  <c r="BJ335" i="1"/>
  <c r="N293" i="1"/>
  <c r="N292" i="1"/>
  <c r="N196" i="1"/>
  <c r="BI38" i="1"/>
  <c r="P349" i="1"/>
  <c r="P347" i="1"/>
  <c r="P384" i="1"/>
  <c r="P362" i="1"/>
  <c r="P329" i="1"/>
  <c r="P361" i="1"/>
  <c r="P340" i="1"/>
  <c r="P356" i="1" s="1"/>
  <c r="P335" i="1"/>
  <c r="P354" i="1" s="1"/>
  <c r="P331" i="1"/>
  <c r="P348" i="1"/>
  <c r="P337" i="1"/>
  <c r="P336" i="1"/>
  <c r="P355" i="1" s="1"/>
  <c r="P339" i="1"/>
  <c r="P338" i="1"/>
  <c r="P328" i="1"/>
  <c r="P323" i="1"/>
  <c r="P282" i="1"/>
  <c r="P280" i="1"/>
  <c r="P279" i="1"/>
  <c r="P277" i="1"/>
  <c r="P276" i="1"/>
  <c r="P275" i="1"/>
  <c r="P274" i="1"/>
  <c r="P271" i="1"/>
  <c r="P267" i="1"/>
  <c r="P256" i="1"/>
  <c r="P261" i="1"/>
  <c r="P262" i="1"/>
  <c r="P283" i="1"/>
  <c r="P421" i="1" s="1"/>
  <c r="P263" i="1"/>
  <c r="P144" i="1"/>
  <c r="P66" i="1"/>
  <c r="P71" i="1"/>
  <c r="P105" i="1"/>
  <c r="P19" i="1"/>
  <c r="P65" i="1"/>
  <c r="P99" i="1"/>
  <c r="P98" i="1"/>
  <c r="P124" i="1"/>
  <c r="P205" i="1"/>
  <c r="P226" i="1"/>
  <c r="P125" i="1"/>
  <c r="P238" i="1"/>
  <c r="P227" i="1"/>
  <c r="P239" i="1"/>
  <c r="P225" i="1"/>
  <c r="BJ155" i="1"/>
  <c r="BJ152" i="1"/>
  <c r="BJ149" i="1"/>
  <c r="BJ49" i="1"/>
  <c r="BJ175" i="1"/>
  <c r="BH137" i="1"/>
  <c r="BH213" i="1" s="1"/>
  <c r="BG89" i="1"/>
  <c r="BG92" i="1" s="1"/>
  <c r="BB61" i="1"/>
  <c r="BB44" i="1" s="1"/>
  <c r="BB58" i="1"/>
  <c r="BB63" i="1" s="1"/>
  <c r="BB46" i="1" s="1"/>
  <c r="O188" i="1"/>
  <c r="O172" i="1"/>
  <c r="N82" i="1"/>
  <c r="BE375" i="1"/>
  <c r="BH384" i="1"/>
  <c r="BH382" i="1" s="1"/>
  <c r="BH356" i="1"/>
  <c r="BH331" i="1"/>
  <c r="AY253" i="1"/>
  <c r="AY192" i="1"/>
  <c r="AY181" i="1"/>
  <c r="AY177" i="1"/>
  <c r="AY176" i="1"/>
  <c r="AY316" i="1"/>
  <c r="AY317" i="1"/>
  <c r="AY373" i="1"/>
  <c r="AY269" i="1"/>
  <c r="AY372" i="1"/>
  <c r="M413" i="1"/>
  <c r="M312" i="1"/>
  <c r="M313" i="1" s="1"/>
  <c r="M314" i="1"/>
  <c r="P12" i="1"/>
  <c r="P97" i="1"/>
  <c r="P27" i="1"/>
  <c r="P96" i="1"/>
  <c r="P21" i="1"/>
  <c r="P69" i="1"/>
  <c r="P118" i="1"/>
  <c r="P158" i="1"/>
  <c r="P175" i="1"/>
  <c r="P224" i="1"/>
  <c r="P232" i="1"/>
  <c r="P240" i="1"/>
  <c r="P419" i="1" s="1"/>
  <c r="P241" i="1"/>
  <c r="P213" i="1"/>
  <c r="P367" i="1"/>
  <c r="BI131" i="1"/>
  <c r="AG235" i="1"/>
  <c r="AF237" i="1"/>
  <c r="AF246" i="1" s="1"/>
  <c r="AF247" i="1" s="1"/>
  <c r="AF227" i="1"/>
  <c r="BG329" i="1"/>
  <c r="BH276" i="1"/>
  <c r="O270" i="1"/>
  <c r="O344" i="1" s="1"/>
  <c r="N309" i="1"/>
  <c r="N308" i="1"/>
  <c r="N264" i="1"/>
  <c r="N286" i="1" s="1"/>
  <c r="BC77" i="1"/>
  <c r="BC81" i="1" s="1"/>
  <c r="BC56" i="1"/>
  <c r="BG328" i="1"/>
  <c r="BH267" i="1"/>
  <c r="N168" i="1"/>
  <c r="O68" i="1"/>
  <c r="BA52" i="1"/>
  <c r="BA17" i="1"/>
  <c r="M200" i="1"/>
  <c r="M299" i="1" s="1"/>
  <c r="M193" i="1"/>
  <c r="M25" i="1"/>
  <c r="O164" i="1"/>
  <c r="AZ185" i="1"/>
  <c r="AZ190" i="1"/>
  <c r="AZ191" i="1" s="1"/>
  <c r="AZ23" i="1"/>
  <c r="K30" i="1"/>
  <c r="K197" i="1"/>
  <c r="AZ253" i="1"/>
  <c r="AZ181" i="1"/>
  <c r="AZ177" i="1"/>
  <c r="AZ176" i="1"/>
  <c r="AZ192" i="1"/>
  <c r="AZ317" i="1"/>
  <c r="AZ316" i="1"/>
  <c r="AZ373" i="1"/>
  <c r="AZ269" i="1"/>
  <c r="AZ372" i="1"/>
  <c r="O145" i="1"/>
  <c r="O155" i="1"/>
  <c r="O149" i="1"/>
  <c r="O152" i="1"/>
  <c r="O49" i="1"/>
  <c r="O60" i="1"/>
  <c r="BF206" i="1"/>
  <c r="P206" i="1" s="1"/>
  <c r="BF103" i="1"/>
  <c r="P103" i="1" s="1"/>
  <c r="BF90" i="1"/>
  <c r="BF93" i="1" s="1"/>
  <c r="BF145" i="1"/>
  <c r="BF48" i="1" s="1"/>
  <c r="P143" i="1"/>
  <c r="BA260" i="1"/>
  <c r="BG382" i="1"/>
  <c r="BG383" i="1" s="1"/>
  <c r="BA374" i="1"/>
  <c r="BA305" i="1" s="1"/>
  <c r="BA377" i="1"/>
  <c r="BA378" i="1"/>
  <c r="BA379" i="1"/>
  <c r="BE110" i="1"/>
  <c r="AY185" i="1"/>
  <c r="AY190" i="1"/>
  <c r="AY191" i="1" s="1"/>
  <c r="AY23" i="1"/>
  <c r="BB375" i="1"/>
  <c r="BB258" i="1"/>
  <c r="BH256" i="1"/>
  <c r="BH231" i="1" s="1"/>
  <c r="AK378" i="1"/>
  <c r="AK259" i="1"/>
  <c r="AJ258" i="1"/>
  <c r="AK377" i="1" s="1"/>
  <c r="M178" i="1"/>
  <c r="M315" i="1"/>
  <c r="P13" i="1"/>
  <c r="P38" i="1"/>
  <c r="P31" i="1"/>
  <c r="P120" i="1"/>
  <c r="P22" i="1"/>
  <c r="P87" i="1"/>
  <c r="P123" i="1"/>
  <c r="P215" i="1"/>
  <c r="P216" i="1"/>
  <c r="P207" i="1"/>
  <c r="P234" i="1"/>
  <c r="P242" i="1"/>
  <c r="P231" i="1"/>
  <c r="P243" i="1"/>
  <c r="P382" i="1"/>
  <c r="BG143" i="1"/>
  <c r="BG421" i="1"/>
  <c r="BH283" i="1"/>
  <c r="N193" i="1"/>
  <c r="N200" i="1"/>
  <c r="N25" i="1"/>
  <c r="BI361" i="1"/>
  <c r="BI349" i="1"/>
  <c r="BJ347" i="1"/>
  <c r="L30" i="1"/>
  <c r="L197" i="1"/>
  <c r="M295" i="1"/>
  <c r="M294" i="1"/>
  <c r="BH271" i="1"/>
  <c r="BG234" i="1"/>
  <c r="O108" i="1"/>
  <c r="BA50" i="1"/>
  <c r="BA45" i="1"/>
  <c r="BA11" i="1"/>
  <c r="O93" i="1"/>
  <c r="O166" i="1" l="1"/>
  <c r="P86" i="1"/>
  <c r="M300" i="1"/>
  <c r="J400" i="1"/>
  <c r="P37" i="1"/>
  <c r="Q27" i="1"/>
  <c r="Q118" i="1"/>
  <c r="Q226" i="1"/>
  <c r="Q66" i="1"/>
  <c r="Q243" i="1"/>
  <c r="Q175" i="1"/>
  <c r="P383" i="1"/>
  <c r="P385" i="1" s="1"/>
  <c r="Q124" i="1"/>
  <c r="Q31" i="1"/>
  <c r="Q123" i="1"/>
  <c r="Q225" i="1"/>
  <c r="Q245" i="1"/>
  <c r="BM165" i="1"/>
  <c r="BM166" i="1" s="1"/>
  <c r="BM167" i="1" s="1"/>
  <c r="BM168" i="1" s="1"/>
  <c r="BM169" i="1" s="1"/>
  <c r="BM170" i="1" s="1"/>
  <c r="BM171" i="1" s="1"/>
  <c r="BM172" i="1" s="1"/>
  <c r="BM173" i="1" s="1"/>
  <c r="BM174" i="1" s="1"/>
  <c r="BM175" i="1" s="1"/>
  <c r="BM176" i="1" s="1"/>
  <c r="BM177" i="1" s="1"/>
  <c r="BM178" i="1" s="1"/>
  <c r="BM179" i="1" s="1"/>
  <c r="BM180" i="1" s="1"/>
  <c r="BM181" i="1" s="1"/>
  <c r="BM182" i="1" s="1"/>
  <c r="BM183" i="1" s="1"/>
  <c r="BM184" i="1" s="1"/>
  <c r="BM185" i="1" s="1"/>
  <c r="BM186" i="1" s="1"/>
  <c r="BM187" i="1" s="1"/>
  <c r="BM188" i="1" s="1"/>
  <c r="BM189" i="1" s="1"/>
  <c r="BM190" i="1" s="1"/>
  <c r="BM191" i="1" s="1"/>
  <c r="BM192" i="1" s="1"/>
  <c r="BM193" i="1" s="1"/>
  <c r="BM194" i="1" s="1"/>
  <c r="BM195" i="1" s="1"/>
  <c r="BM196" i="1" s="1"/>
  <c r="BM197" i="1" s="1"/>
  <c r="BM198" i="1" s="1"/>
  <c r="BM199" i="1" s="1"/>
  <c r="BM200" i="1" s="1"/>
  <c r="BM201" i="1" s="1"/>
  <c r="BM202" i="1" s="1"/>
  <c r="BM203" i="1" s="1"/>
  <c r="BM204" i="1" s="1"/>
  <c r="BM205" i="1" s="1"/>
  <c r="BM206" i="1" s="1"/>
  <c r="BM207" i="1" s="1"/>
  <c r="BM208" i="1" s="1"/>
  <c r="BM209" i="1" s="1"/>
  <c r="BM210" i="1" s="1"/>
  <c r="BM211" i="1" s="1"/>
  <c r="BM212" i="1" s="1"/>
  <c r="BM213" i="1" s="1"/>
  <c r="BM214" i="1" s="1"/>
  <c r="BM215" i="1" s="1"/>
  <c r="BM216" i="1" s="1"/>
  <c r="BM217" i="1" s="1"/>
  <c r="BM218" i="1" s="1"/>
  <c r="BM219" i="1" s="1"/>
  <c r="BM220" i="1" s="1"/>
  <c r="BM221" i="1" s="1"/>
  <c r="BM222" i="1" s="1"/>
  <c r="BM223" i="1" s="1"/>
  <c r="BM224" i="1" s="1"/>
  <c r="BM225" i="1" s="1"/>
  <c r="BM226" i="1" s="1"/>
  <c r="BM227" i="1" s="1"/>
  <c r="BM228" i="1" s="1"/>
  <c r="BM229" i="1" s="1"/>
  <c r="BM230" i="1" s="1"/>
  <c r="BM231" i="1" s="1"/>
  <c r="BM232" i="1" s="1"/>
  <c r="BM233" i="1" s="1"/>
  <c r="BM234" i="1" s="1"/>
  <c r="BM235" i="1" s="1"/>
  <c r="BM236" i="1" s="1"/>
  <c r="K399" i="1"/>
  <c r="K400" i="1" s="1"/>
  <c r="P159" i="1"/>
  <c r="P160" i="1" s="1"/>
  <c r="AY189" i="1"/>
  <c r="Q22" i="1"/>
  <c r="Q18" i="1"/>
  <c r="Q96" i="1"/>
  <c r="Q214" i="1"/>
  <c r="Q242" i="1"/>
  <c r="BA51" i="1"/>
  <c r="L399" i="1"/>
  <c r="L400" i="1" s="1"/>
  <c r="O168" i="1"/>
  <c r="M297" i="1"/>
  <c r="AY178" i="1"/>
  <c r="BH143" i="1"/>
  <c r="BH103" i="1" s="1"/>
  <c r="Q69" i="1"/>
  <c r="Q67" i="1"/>
  <c r="Q87" i="1"/>
  <c r="Q207" i="1"/>
  <c r="Q216" i="1"/>
  <c r="O48" i="1"/>
  <c r="BG385" i="1"/>
  <c r="BH383" i="1"/>
  <c r="BG37" i="1"/>
  <c r="BH240" i="1" s="1"/>
  <c r="BH419" i="1" s="1"/>
  <c r="BH206" i="1"/>
  <c r="BH209" i="1" s="1"/>
  <c r="BH210" i="1" s="1"/>
  <c r="BH236" i="1" s="1"/>
  <c r="BH421" i="1"/>
  <c r="BI283" i="1"/>
  <c r="BC258" i="1"/>
  <c r="O258" i="1"/>
  <c r="BA186" i="1"/>
  <c r="BA20" i="1"/>
  <c r="BH234" i="1"/>
  <c r="BI271" i="1"/>
  <c r="N398" i="1"/>
  <c r="N304" i="1"/>
  <c r="N195" i="1"/>
  <c r="N28" i="1"/>
  <c r="BF113" i="1"/>
  <c r="BF104" i="1"/>
  <c r="BF110" i="1" s="1"/>
  <c r="M398" i="1"/>
  <c r="M304" i="1"/>
  <c r="M195" i="1"/>
  <c r="M28" i="1"/>
  <c r="BH328" i="1"/>
  <c r="BI267" i="1"/>
  <c r="AG237" i="1"/>
  <c r="AG246" i="1" s="1"/>
  <c r="AG247" i="1" s="1"/>
  <c r="AH235" i="1"/>
  <c r="AG227" i="1"/>
  <c r="P420" i="1"/>
  <c r="BH420" i="1"/>
  <c r="BI279" i="1"/>
  <c r="BJ349" i="1"/>
  <c r="BJ361" i="1"/>
  <c r="N303" i="1"/>
  <c r="N302" i="1"/>
  <c r="N201" i="1"/>
  <c r="P184" i="1"/>
  <c r="P171" i="1"/>
  <c r="BI256" i="1"/>
  <c r="BI231" i="1" s="1"/>
  <c r="BF209" i="1"/>
  <c r="AZ189" i="1"/>
  <c r="K404" i="1"/>
  <c r="K388" i="1"/>
  <c r="K32" i="1"/>
  <c r="K36" i="1"/>
  <c r="K34" i="1"/>
  <c r="BD344" i="1"/>
  <c r="BD270" i="1" s="1"/>
  <c r="AY229" i="1"/>
  <c r="AZ229" i="1"/>
  <c r="P90" i="1"/>
  <c r="P93" i="1" s="1"/>
  <c r="BJ38" i="1"/>
  <c r="N296" i="1"/>
  <c r="J418" i="1"/>
  <c r="J405" i="1"/>
  <c r="J387" i="1"/>
  <c r="J35" i="1"/>
  <c r="P68" i="1"/>
  <c r="Q21" i="1"/>
  <c r="Q13" i="1"/>
  <c r="Q65" i="1"/>
  <c r="Q70" i="1"/>
  <c r="Q71" i="1"/>
  <c r="Q105" i="1"/>
  <c r="Q43" i="1"/>
  <c r="Q224" i="1"/>
  <c r="Q120" i="1"/>
  <c r="Q238" i="1"/>
  <c r="Q202" i="1"/>
  <c r="Q227" i="1"/>
  <c r="Q239" i="1"/>
  <c r="BA182" i="1"/>
  <c r="BA14" i="1"/>
  <c r="AY200" i="1"/>
  <c r="AY193" i="1"/>
  <c r="AY25" i="1"/>
  <c r="L404" i="1"/>
  <c r="L388" i="1"/>
  <c r="L32" i="1"/>
  <c r="L36" i="1"/>
  <c r="L34" i="1"/>
  <c r="BG206" i="1"/>
  <c r="BG90" i="1"/>
  <c r="BG93" i="1" s="1"/>
  <c r="BG103" i="1"/>
  <c r="BG145" i="1"/>
  <c r="BG48" i="1" s="1"/>
  <c r="AL378" i="1"/>
  <c r="AL259" i="1"/>
  <c r="AK258" i="1"/>
  <c r="AL377" i="1" s="1"/>
  <c r="BB24" i="1"/>
  <c r="AZ178" i="1"/>
  <c r="AZ200" i="1"/>
  <c r="AZ193" i="1"/>
  <c r="AZ25" i="1"/>
  <c r="M303" i="1"/>
  <c r="M302" i="1"/>
  <c r="M201" i="1"/>
  <c r="M296" i="1"/>
  <c r="BC58" i="1"/>
  <c r="BC63" i="1" s="1"/>
  <c r="BC46" i="1" s="1"/>
  <c r="BC61" i="1"/>
  <c r="BC44" i="1" s="1"/>
  <c r="BH329" i="1"/>
  <c r="BI276" i="1"/>
  <c r="BJ131" i="1"/>
  <c r="Q131" i="1" s="1"/>
  <c r="P92" i="1"/>
  <c r="BB52" i="1"/>
  <c r="BB17" i="1"/>
  <c r="BH89" i="1"/>
  <c r="BH92" i="1" s="1"/>
  <c r="BI137" i="1"/>
  <c r="N294" i="1"/>
  <c r="N300" i="1"/>
  <c r="N299" i="1"/>
  <c r="N297" i="1"/>
  <c r="N295" i="1"/>
  <c r="BI356" i="1"/>
  <c r="BI331" i="1"/>
  <c r="J1" i="1"/>
  <c r="J39" i="1"/>
  <c r="P187" i="1"/>
  <c r="Q361" i="1"/>
  <c r="Q339" i="1"/>
  <c r="Q337" i="1"/>
  <c r="Q335" i="1"/>
  <c r="Q354" i="1" s="1"/>
  <c r="Q349" i="1"/>
  <c r="Q323" i="1"/>
  <c r="Q348" i="1"/>
  <c r="Q336" i="1"/>
  <c r="Q355" i="1" s="1"/>
  <c r="Q338" i="1"/>
  <c r="Q362" i="1"/>
  <c r="Q347" i="1"/>
  <c r="Q261" i="1"/>
  <c r="Q282" i="1"/>
  <c r="Q280" i="1"/>
  <c r="Q274" i="1"/>
  <c r="Q262" i="1"/>
  <c r="Q263" i="1"/>
  <c r="Q277" i="1"/>
  <c r="Q275" i="1"/>
  <c r="Q19" i="1"/>
  <c r="Q12" i="1"/>
  <c r="Q98" i="1"/>
  <c r="Q119" i="1"/>
  <c r="Q97" i="1"/>
  <c r="Q125" i="1"/>
  <c r="Q99" i="1"/>
  <c r="Q86" i="1" s="1"/>
  <c r="Q158" i="1"/>
  <c r="Q215" i="1"/>
  <c r="Q126" i="1"/>
  <c r="Q232" i="1"/>
  <c r="Q205" i="1"/>
  <c r="Q241" i="1"/>
  <c r="Q367" i="1"/>
  <c r="BD61" i="1"/>
  <c r="BD44" i="1" s="1"/>
  <c r="BD58" i="1"/>
  <c r="BD63" i="1" s="1"/>
  <c r="BD46" i="1" s="1"/>
  <c r="BE77" i="1"/>
  <c r="BE81" i="1" s="1"/>
  <c r="BE56" i="1"/>
  <c r="P183" i="1"/>
  <c r="P162" i="1"/>
  <c r="P163" i="1"/>
  <c r="AY413" i="1"/>
  <c r="AY254" i="1"/>
  <c r="AY268" i="1"/>
  <c r="BI384" i="1"/>
  <c r="BI382" i="1" s="1"/>
  <c r="BB50" i="1"/>
  <c r="BB45" i="1"/>
  <c r="BB11" i="1"/>
  <c r="N413" i="1"/>
  <c r="N312" i="1"/>
  <c r="N313" i="1" s="1"/>
  <c r="N314" i="1"/>
  <c r="BJ310" i="1"/>
  <c r="BJ315" i="1"/>
  <c r="BH318" i="1"/>
  <c r="H424" i="1"/>
  <c r="I417" i="1"/>
  <c r="I423" i="1" s="1"/>
  <c r="I424" i="1" s="1"/>
  <c r="P152" i="1"/>
  <c r="P149" i="1"/>
  <c r="P145" i="1"/>
  <c r="P48" i="1" s="1"/>
  <c r="P155" i="1"/>
  <c r="P60" i="1"/>
  <c r="P49" i="1"/>
  <c r="BD81" i="1"/>
  <c r="P188" i="1"/>
  <c r="P172" i="1"/>
  <c r="BJ354" i="1"/>
  <c r="BJ340" i="1"/>
  <c r="BJ78" i="1"/>
  <c r="BJ82" i="1" s="1"/>
  <c r="BJ57" i="1"/>
  <c r="BJ62" i="1" s="1"/>
  <c r="L408" i="1" l="1"/>
  <c r="K403" i="1"/>
  <c r="Q68" i="1"/>
  <c r="L403" i="1"/>
  <c r="BH145" i="1"/>
  <c r="BH48" i="1" s="1"/>
  <c r="K408" i="1"/>
  <c r="BI143" i="1"/>
  <c r="Q159" i="1"/>
  <c r="Q160" i="1" s="1"/>
  <c r="BB51" i="1"/>
  <c r="M364" i="1"/>
  <c r="P167" i="1"/>
  <c r="N364" i="1"/>
  <c r="BM237" i="1"/>
  <c r="BB182" i="1"/>
  <c r="BB14" i="1"/>
  <c r="Q163" i="1"/>
  <c r="Q183" i="1"/>
  <c r="Q162" i="1"/>
  <c r="L405" i="1"/>
  <c r="L418" i="1"/>
  <c r="L387" i="1"/>
  <c r="L35" i="1"/>
  <c r="P166" i="1"/>
  <c r="P164" i="1"/>
  <c r="AY302" i="1"/>
  <c r="AY303" i="1"/>
  <c r="AY201" i="1"/>
  <c r="Q187" i="1"/>
  <c r="N315" i="1"/>
  <c r="BE61" i="1"/>
  <c r="BE44" i="1" s="1"/>
  <c r="BE58" i="1"/>
  <c r="BE63" i="1" s="1"/>
  <c r="BE46" i="1" s="1"/>
  <c r="BJ137" i="1"/>
  <c r="BJ143" i="1" s="1"/>
  <c r="BI89" i="1"/>
  <c r="BI92" i="1" s="1"/>
  <c r="BI213" i="1"/>
  <c r="BC50" i="1"/>
  <c r="BC45" i="1"/>
  <c r="BC11" i="1"/>
  <c r="AZ201" i="1"/>
  <c r="BB222" i="1"/>
  <c r="O24" i="1"/>
  <c r="BB259" i="1"/>
  <c r="AY398" i="1"/>
  <c r="AY399" i="1" s="1"/>
  <c r="AY304" i="1"/>
  <c r="AY195" i="1"/>
  <c r="AY28" i="1"/>
  <c r="BA253" i="1"/>
  <c r="BA181" i="1"/>
  <c r="BA177" i="1"/>
  <c r="BA176" i="1"/>
  <c r="BA192" i="1"/>
  <c r="BA373" i="1"/>
  <c r="BA316" i="1"/>
  <c r="BA317" i="1"/>
  <c r="BA269" i="1"/>
  <c r="BA372" i="1"/>
  <c r="Q155" i="1"/>
  <c r="Q152" i="1"/>
  <c r="Q149" i="1"/>
  <c r="Q60" i="1"/>
  <c r="Q49" i="1"/>
  <c r="BE344" i="1"/>
  <c r="BE270" i="1" s="1"/>
  <c r="K418" i="1"/>
  <c r="K405" i="1"/>
  <c r="K387" i="1"/>
  <c r="K35" i="1"/>
  <c r="BJ256" i="1"/>
  <c r="BJ231" i="1" s="1"/>
  <c r="Q231" i="1" s="1"/>
  <c r="M30" i="1"/>
  <c r="M197" i="1"/>
  <c r="BF114" i="1"/>
  <c r="P114" i="1" s="1"/>
  <c r="P104" i="1"/>
  <c r="N30" i="1"/>
  <c r="N197" i="1"/>
  <c r="BI234" i="1"/>
  <c r="BJ271" i="1"/>
  <c r="BA190" i="1"/>
  <c r="BA191" i="1" s="1"/>
  <c r="BA185" i="1"/>
  <c r="BA23" i="1"/>
  <c r="BD258" i="1"/>
  <c r="BH375" i="1"/>
  <c r="BC52" i="1"/>
  <c r="BC17" i="1"/>
  <c r="BI420" i="1"/>
  <c r="BJ279" i="1"/>
  <c r="BI328" i="1"/>
  <c r="BJ267" i="1"/>
  <c r="Q38" i="1"/>
  <c r="BI329" i="1"/>
  <c r="BJ276" i="1"/>
  <c r="AZ398" i="1"/>
  <c r="AZ399" i="1" s="1"/>
  <c r="AZ195" i="1"/>
  <c r="J422" i="1"/>
  <c r="J423" i="1" s="1"/>
  <c r="J424" i="1" s="1"/>
  <c r="K1" i="1"/>
  <c r="K39" i="1"/>
  <c r="BF210" i="1"/>
  <c r="P209" i="1"/>
  <c r="P113" i="1"/>
  <c r="P108" i="1" s="1"/>
  <c r="BI421" i="1"/>
  <c r="BJ283" i="1"/>
  <c r="BH113" i="1"/>
  <c r="BH104" i="1"/>
  <c r="BH114" i="1" s="1"/>
  <c r="BH385" i="1"/>
  <c r="BI383" i="1"/>
  <c r="BH37" i="1"/>
  <c r="BJ356" i="1"/>
  <c r="BF344" i="1" s="1"/>
  <c r="BJ331" i="1"/>
  <c r="Q331" i="1" s="1"/>
  <c r="BJ384" i="1"/>
  <c r="Q384" i="1" s="1"/>
  <c r="BJ382" i="1"/>
  <c r="Q382" i="1" s="1"/>
  <c r="BG209" i="1"/>
  <c r="AY272" i="1"/>
  <c r="AY233" i="1"/>
  <c r="BD52" i="1"/>
  <c r="BD17" i="1"/>
  <c r="Q172" i="1"/>
  <c r="Q188" i="1"/>
  <c r="Q340" i="1"/>
  <c r="Q356" i="1" s="1"/>
  <c r="BB186" i="1"/>
  <c r="BB20" i="1"/>
  <c r="BI318" i="1"/>
  <c r="AY230" i="1"/>
  <c r="BD45" i="1"/>
  <c r="BD50" i="1"/>
  <c r="BD11" i="1"/>
  <c r="BI206" i="1"/>
  <c r="BI209" i="1" s="1"/>
  <c r="BI210" i="1" s="1"/>
  <c r="BI236" i="1" s="1"/>
  <c r="BI103" i="1"/>
  <c r="BI90" i="1"/>
  <c r="BI93" i="1" s="1"/>
  <c r="BI145" i="1"/>
  <c r="BI48" i="1" s="1"/>
  <c r="AM378" i="1"/>
  <c r="AM259" i="1"/>
  <c r="AL258" i="1"/>
  <c r="K259" i="1"/>
  <c r="L378" i="1" s="1"/>
  <c r="BG113" i="1"/>
  <c r="BG104" i="1"/>
  <c r="BG110" i="1" s="1"/>
  <c r="L1" i="1"/>
  <c r="L39" i="1"/>
  <c r="O11" i="1"/>
  <c r="Q184" i="1"/>
  <c r="Q171" i="1"/>
  <c r="AZ413" i="1"/>
  <c r="AZ268" i="1"/>
  <c r="AZ254" i="1"/>
  <c r="AZ230" i="1" s="1"/>
  <c r="AH227" i="1"/>
  <c r="J227" i="1" s="1"/>
  <c r="J235" i="1" s="1"/>
  <c r="J237" i="1" s="1"/>
  <c r="J246" i="1" s="1"/>
  <c r="J247" i="1" s="1"/>
  <c r="AH237" i="1"/>
  <c r="AH246" i="1" s="1"/>
  <c r="AH247" i="1" s="1"/>
  <c r="O17" i="1"/>
  <c r="BH90" i="1"/>
  <c r="M399" i="1" l="1"/>
  <c r="N399" i="1"/>
  <c r="BA178" i="1"/>
  <c r="BF115" i="1"/>
  <c r="BJ89" i="1"/>
  <c r="P168" i="1"/>
  <c r="Q167" i="1"/>
  <c r="P109" i="1"/>
  <c r="AZ364" i="1"/>
  <c r="AY364" i="1"/>
  <c r="BM238" i="1"/>
  <c r="BM239" i="1" s="1"/>
  <c r="BM240" i="1" s="1"/>
  <c r="BM241" i="1" s="1"/>
  <c r="BM242" i="1" s="1"/>
  <c r="BM243" i="1" s="1"/>
  <c r="BM244" i="1" s="1"/>
  <c r="BM245" i="1" s="1"/>
  <c r="BM246" i="1" s="1"/>
  <c r="BM247" i="1" s="1"/>
  <c r="BM248" i="1" s="1"/>
  <c r="BM249" i="1" s="1"/>
  <c r="BM250" i="1" s="1"/>
  <c r="BM251" i="1" s="1"/>
  <c r="BM252" i="1" s="1"/>
  <c r="BM253" i="1" s="1"/>
  <c r="BM254" i="1" s="1"/>
  <c r="BM255" i="1" s="1"/>
  <c r="BM256" i="1" s="1"/>
  <c r="BM257" i="1" s="1"/>
  <c r="BM258" i="1" s="1"/>
  <c r="BM259" i="1" s="1"/>
  <c r="BM260" i="1" s="1"/>
  <c r="BM261" i="1" s="1"/>
  <c r="BM262" i="1" s="1"/>
  <c r="BM263" i="1" s="1"/>
  <c r="BM264" i="1" s="1"/>
  <c r="BM265" i="1" s="1"/>
  <c r="BM266" i="1" s="1"/>
  <c r="BM267" i="1" s="1"/>
  <c r="BM268" i="1" s="1"/>
  <c r="BM269" i="1" s="1"/>
  <c r="BM270" i="1" s="1"/>
  <c r="BM271" i="1" s="1"/>
  <c r="BM272" i="1" s="1"/>
  <c r="BM273" i="1" s="1"/>
  <c r="BM274" i="1" s="1"/>
  <c r="BM275" i="1" s="1"/>
  <c r="BM276" i="1" s="1"/>
  <c r="BM277" i="1" s="1"/>
  <c r="BM278" i="1" s="1"/>
  <c r="BM279" i="1" s="1"/>
  <c r="BM280" i="1" s="1"/>
  <c r="BM281" i="1" s="1"/>
  <c r="BM282" i="1" s="1"/>
  <c r="BM283" i="1" s="1"/>
  <c r="BM284" i="1" s="1"/>
  <c r="BM285" i="1" s="1"/>
  <c r="BM286" i="1" s="1"/>
  <c r="BM287" i="1" s="1"/>
  <c r="BM288" i="1" s="1"/>
  <c r="BM289" i="1" s="1"/>
  <c r="BM290" i="1" s="1"/>
  <c r="BM291" i="1" s="1"/>
  <c r="BM292" i="1" s="1"/>
  <c r="BM293" i="1" s="1"/>
  <c r="BM294" i="1" s="1"/>
  <c r="BM295" i="1" s="1"/>
  <c r="BM296" i="1" s="1"/>
  <c r="BM297" i="1" s="1"/>
  <c r="BM298" i="1" s="1"/>
  <c r="BM299" i="1" s="1"/>
  <c r="BM300" i="1" s="1"/>
  <c r="BM301" i="1" s="1"/>
  <c r="BM302" i="1" s="1"/>
  <c r="BM303" i="1" s="1"/>
  <c r="BM304" i="1" s="1"/>
  <c r="BM305" i="1" s="1"/>
  <c r="BM306" i="1" s="1"/>
  <c r="BM307" i="1" s="1"/>
  <c r="BM308" i="1" s="1"/>
  <c r="BM309" i="1" s="1"/>
  <c r="BM310" i="1" s="1"/>
  <c r="BM311" i="1" s="1"/>
  <c r="BM312" i="1" s="1"/>
  <c r="BM313" i="1" s="1"/>
  <c r="BM314" i="1" s="1"/>
  <c r="BM315" i="1" s="1"/>
  <c r="BM316" i="1" s="1"/>
  <c r="BM317" i="1" s="1"/>
  <c r="BM318" i="1" s="1"/>
  <c r="BM319" i="1" s="1"/>
  <c r="BM320" i="1" s="1"/>
  <c r="BM321" i="1" s="1"/>
  <c r="BM322" i="1" s="1"/>
  <c r="BM323" i="1" s="1"/>
  <c r="BM324" i="1" s="1"/>
  <c r="BM325" i="1" s="1"/>
  <c r="BM326" i="1" s="1"/>
  <c r="BM327" i="1" s="1"/>
  <c r="BM328" i="1" s="1"/>
  <c r="BM329" i="1" s="1"/>
  <c r="BM330" i="1" s="1"/>
  <c r="BM331" i="1" s="1"/>
  <c r="BM332" i="1" s="1"/>
  <c r="BM333" i="1" s="1"/>
  <c r="BM334" i="1" s="1"/>
  <c r="BM335" i="1" s="1"/>
  <c r="BM336" i="1" s="1"/>
  <c r="BM337" i="1" s="1"/>
  <c r="BM338" i="1" s="1"/>
  <c r="BM339" i="1" s="1"/>
  <c r="BM340" i="1" s="1"/>
  <c r="BM341" i="1" s="1"/>
  <c r="BM342" i="1" s="1"/>
  <c r="BM343" i="1" s="1"/>
  <c r="BM344" i="1" s="1"/>
  <c r="BM345" i="1" s="1"/>
  <c r="BM346" i="1" s="1"/>
  <c r="BM347" i="1" s="1"/>
  <c r="BM348" i="1" s="1"/>
  <c r="BM349" i="1" s="1"/>
  <c r="BM350" i="1" s="1"/>
  <c r="BM351" i="1" s="1"/>
  <c r="BM352" i="1" s="1"/>
  <c r="BM353" i="1" s="1"/>
  <c r="BM354" i="1" s="1"/>
  <c r="BM355" i="1" s="1"/>
  <c r="BM356" i="1" s="1"/>
  <c r="BM357" i="1" s="1"/>
  <c r="BM358" i="1" s="1"/>
  <c r="BM359" i="1" s="1"/>
  <c r="BM360" i="1" s="1"/>
  <c r="BM361" i="1" s="1"/>
  <c r="BM362" i="1" s="1"/>
  <c r="BM363" i="1" s="1"/>
  <c r="BM364" i="1" s="1"/>
  <c r="BM365" i="1" s="1"/>
  <c r="BM366" i="1" s="1"/>
  <c r="BM367" i="1" s="1"/>
  <c r="BM368" i="1" s="1"/>
  <c r="BM369" i="1" s="1"/>
  <c r="BM370" i="1" s="1"/>
  <c r="BM371" i="1" s="1"/>
  <c r="BM372" i="1" s="1"/>
  <c r="BM373" i="1" s="1"/>
  <c r="BM374" i="1" s="1"/>
  <c r="BM375" i="1" s="1"/>
  <c r="BM376" i="1" s="1"/>
  <c r="BM377" i="1" s="1"/>
  <c r="BM378" i="1" s="1"/>
  <c r="BM379" i="1" s="1"/>
  <c r="BM380" i="1" s="1"/>
  <c r="BM381" i="1" s="1"/>
  <c r="BM382" i="1" s="1"/>
  <c r="BM383" i="1" s="1"/>
  <c r="BM384" i="1" s="1"/>
  <c r="BM385" i="1" s="1"/>
  <c r="BM386" i="1" s="1"/>
  <c r="BM387" i="1" s="1"/>
  <c r="BM388" i="1" s="1"/>
  <c r="BM389" i="1" s="1"/>
  <c r="BM390" i="1" s="1"/>
  <c r="BM391" i="1" s="1"/>
  <c r="BM392" i="1" s="1"/>
  <c r="BM393" i="1" s="1"/>
  <c r="BM394" i="1" s="1"/>
  <c r="BM395" i="1" s="1"/>
  <c r="BM396" i="1" s="1"/>
  <c r="BM397" i="1" s="1"/>
  <c r="BM398" i="1" s="1"/>
  <c r="BM399" i="1" s="1"/>
  <c r="BM400" i="1" s="1"/>
  <c r="BM401" i="1" s="1"/>
  <c r="BM402" i="1" s="1"/>
  <c r="BM403" i="1" s="1"/>
  <c r="BM404" i="1" s="1"/>
  <c r="BM405" i="1" s="1"/>
  <c r="BM406" i="1" s="1"/>
  <c r="BM407" i="1" s="1"/>
  <c r="BM408" i="1" s="1"/>
  <c r="BM409" i="1" s="1"/>
  <c r="BM410" i="1" s="1"/>
  <c r="BM411" i="1" s="1"/>
  <c r="BM412" i="1" s="1"/>
  <c r="BM413" i="1" s="1"/>
  <c r="BM414" i="1" s="1"/>
  <c r="BM415" i="1" s="1"/>
  <c r="BM416" i="1" s="1"/>
  <c r="BM417" i="1" s="1"/>
  <c r="BM418" i="1" s="1"/>
  <c r="BM419" i="1" s="1"/>
  <c r="BM420" i="1" s="1"/>
  <c r="BM421" i="1" s="1"/>
  <c r="BM422" i="1" s="1"/>
  <c r="BM423" i="1" s="1"/>
  <c r="BM424" i="1" s="1"/>
  <c r="BM425" i="1" s="1"/>
  <c r="Q137" i="1"/>
  <c r="BD51" i="1"/>
  <c r="BJ213" i="1"/>
  <c r="Q213" i="1" s="1"/>
  <c r="O194" i="1"/>
  <c r="BC51" i="1"/>
  <c r="BG344" i="1"/>
  <c r="BF270" i="1"/>
  <c r="O182" i="1"/>
  <c r="O56" i="1"/>
  <c r="O44" i="1"/>
  <c r="O77" i="1"/>
  <c r="O73" i="1"/>
  <c r="O14" i="1"/>
  <c r="BG114" i="1"/>
  <c r="BG115" i="1" s="1"/>
  <c r="AM377" i="1"/>
  <c r="K258" i="1"/>
  <c r="L377" i="1" s="1"/>
  <c r="BB190" i="1"/>
  <c r="BB191" i="1" s="1"/>
  <c r="BB185" i="1"/>
  <c r="BB23" i="1"/>
  <c r="BA189" i="1"/>
  <c r="L422" i="1"/>
  <c r="L423" i="1" s="1"/>
  <c r="L424" i="1" s="1"/>
  <c r="O186" i="1"/>
  <c r="O79" i="1"/>
  <c r="O83" i="1" s="1"/>
  <c r="O58" i="1"/>
  <c r="O63" i="1" s="1"/>
  <c r="O75" i="1"/>
  <c r="O46" i="1"/>
  <c r="O20" i="1"/>
  <c r="N403" i="1"/>
  <c r="N400" i="1"/>
  <c r="N408" i="1"/>
  <c r="AN378" i="1"/>
  <c r="AN259" i="1"/>
  <c r="AM258" i="1"/>
  <c r="AN377" i="1" s="1"/>
  <c r="BI113" i="1"/>
  <c r="BI104" i="1"/>
  <c r="BI114" i="1" s="1"/>
  <c r="BJ318" i="1"/>
  <c r="BD186" i="1"/>
  <c r="BD20" i="1"/>
  <c r="BI240" i="1"/>
  <c r="BH110" i="1"/>
  <c r="BF236" i="1"/>
  <c r="P210" i="1"/>
  <c r="BE258" i="1"/>
  <c r="Q256" i="1"/>
  <c r="BA229" i="1"/>
  <c r="BB371" i="1"/>
  <c r="O222" i="1"/>
  <c r="O371" i="1" s="1"/>
  <c r="BC182" i="1"/>
  <c r="BC14" i="1"/>
  <c r="BE52" i="1"/>
  <c r="BE17" i="1"/>
  <c r="BB253" i="1"/>
  <c r="BB229" i="1" s="1"/>
  <c r="BB177" i="1"/>
  <c r="BB176" i="1"/>
  <c r="BB181" i="1"/>
  <c r="BB192" i="1"/>
  <c r="BB316" i="1"/>
  <c r="BB317" i="1"/>
  <c r="BB269" i="1"/>
  <c r="O269" i="1" s="1"/>
  <c r="BB373" i="1"/>
  <c r="AZ233" i="1"/>
  <c r="AZ272" i="1"/>
  <c r="BI375" i="1"/>
  <c r="BJ206" i="1"/>
  <c r="Q206" i="1" s="1"/>
  <c r="BJ103" i="1"/>
  <c r="Q103" i="1" s="1"/>
  <c r="BJ90" i="1"/>
  <c r="BJ93" i="1" s="1"/>
  <c r="BJ145" i="1"/>
  <c r="BJ48" i="1" s="1"/>
  <c r="Q144" i="1"/>
  <c r="Q143" i="1"/>
  <c r="BJ383" i="1"/>
  <c r="BI385" i="1"/>
  <c r="BI37" i="1"/>
  <c r="BJ240" i="1" s="1"/>
  <c r="BJ419" i="1" s="1"/>
  <c r="BH115" i="1"/>
  <c r="BH75" i="1" s="1"/>
  <c r="AZ400" i="1"/>
  <c r="BJ420" i="1"/>
  <c r="Q279" i="1"/>
  <c r="Q420" i="1" s="1"/>
  <c r="BC186" i="1"/>
  <c r="BC20" i="1"/>
  <c r="BJ234" i="1"/>
  <c r="Q234" i="1" s="1"/>
  <c r="Q271" i="1"/>
  <c r="N388" i="1"/>
  <c r="N404" i="1"/>
  <c r="N36" i="1"/>
  <c r="N34" i="1"/>
  <c r="N32" i="1"/>
  <c r="M404" i="1"/>
  <c r="M388" i="1"/>
  <c r="M36" i="1"/>
  <c r="M34" i="1"/>
  <c r="M32" i="1"/>
  <c r="K422" i="1"/>
  <c r="K423" i="1" s="1"/>
  <c r="K424" i="1" s="1"/>
  <c r="AY400" i="1"/>
  <c r="BE50" i="1"/>
  <c r="BE45" i="1"/>
  <c r="BE11" i="1"/>
  <c r="Q166" i="1"/>
  <c r="Q164" i="1"/>
  <c r="M400" i="1"/>
  <c r="M403" i="1"/>
  <c r="M408" i="1"/>
  <c r="BH93" i="1"/>
  <c r="BD182" i="1"/>
  <c r="BD14" i="1"/>
  <c r="BG210" i="1"/>
  <c r="BJ421" i="1"/>
  <c r="Q283" i="1"/>
  <c r="Q421" i="1" s="1"/>
  <c r="BF75" i="1"/>
  <c r="P115" i="1"/>
  <c r="P110" i="1" s="1"/>
  <c r="BJ329" i="1"/>
  <c r="Q329" i="1" s="1"/>
  <c r="Q276" i="1"/>
  <c r="BJ328" i="1"/>
  <c r="Q328" i="1" s="1"/>
  <c r="Q267" i="1"/>
  <c r="BA200" i="1"/>
  <c r="BA193" i="1"/>
  <c r="BA25" i="1"/>
  <c r="AY29" i="1"/>
  <c r="O259" i="1"/>
  <c r="BB260" i="1"/>
  <c r="BB178" i="1" l="1"/>
  <c r="O318" i="1"/>
  <c r="BE51" i="1"/>
  <c r="Q168" i="1"/>
  <c r="BI115" i="1"/>
  <c r="BI75" i="1" s="1"/>
  <c r="BI79" i="1" s="1"/>
  <c r="BI83" i="1" s="1"/>
  <c r="O52" i="1"/>
  <c r="O74" i="1"/>
  <c r="O127" i="1" s="1"/>
  <c r="BJ92" i="1"/>
  <c r="Q89" i="1"/>
  <c r="Q92" i="1" s="1"/>
  <c r="Q145" i="1"/>
  <c r="Q48" i="1" s="1"/>
  <c r="BG75" i="1"/>
  <c r="BA201" i="1"/>
  <c r="O372" i="1"/>
  <c r="O379" i="1"/>
  <c r="O377" i="1"/>
  <c r="O378" i="1"/>
  <c r="O374" i="1"/>
  <c r="O305" i="1" s="1"/>
  <c r="BI110" i="1"/>
  <c r="BA413" i="1"/>
  <c r="BA268" i="1"/>
  <c r="BA254" i="1"/>
  <c r="Q90" i="1"/>
  <c r="Q93" i="1" s="1"/>
  <c r="M405" i="1"/>
  <c r="M418" i="1"/>
  <c r="M387" i="1"/>
  <c r="M35" i="1"/>
  <c r="BJ385" i="1"/>
  <c r="BJ37" i="1"/>
  <c r="Q37" i="1" s="1"/>
  <c r="Q383" i="1" s="1"/>
  <c r="Q385" i="1" s="1"/>
  <c r="BB189" i="1"/>
  <c r="O253" i="1"/>
  <c r="BB372" i="1"/>
  <c r="BB377" i="1"/>
  <c r="BB378" i="1"/>
  <c r="BB374" i="1"/>
  <c r="BB305" i="1" s="1"/>
  <c r="BB379" i="1"/>
  <c r="BI419" i="1"/>
  <c r="Q240" i="1"/>
  <c r="Q419" i="1" s="1"/>
  <c r="O310" i="1"/>
  <c r="O311" i="1" s="1"/>
  <c r="O176" i="1"/>
  <c r="O181" i="1"/>
  <c r="O177" i="1"/>
  <c r="O373" i="1"/>
  <c r="O192" i="1"/>
  <c r="O316" i="1"/>
  <c r="O317" i="1"/>
  <c r="O61" i="1"/>
  <c r="O57" i="1"/>
  <c r="O62" i="1" s="1"/>
  <c r="BD253" i="1"/>
  <c r="BD181" i="1"/>
  <c r="BD177" i="1"/>
  <c r="BD176" i="1"/>
  <c r="BD192" i="1"/>
  <c r="BD317" i="1"/>
  <c r="BD316" i="1"/>
  <c r="BD373" i="1"/>
  <c r="BD269" i="1"/>
  <c r="BE182" i="1"/>
  <c r="BE14" i="1"/>
  <c r="M1" i="1"/>
  <c r="M39" i="1"/>
  <c r="N418" i="1"/>
  <c r="N405" i="1"/>
  <c r="N387" i="1"/>
  <c r="N35" i="1"/>
  <c r="BH79" i="1"/>
  <c r="BH73" i="1"/>
  <c r="BC253" i="1"/>
  <c r="BC229" i="1" s="1"/>
  <c r="BC181" i="1"/>
  <c r="BC177" i="1"/>
  <c r="BC176" i="1"/>
  <c r="BC178" i="1" s="1"/>
  <c r="BC192" i="1"/>
  <c r="BC317" i="1"/>
  <c r="BC316" i="1"/>
  <c r="BC373" i="1"/>
  <c r="BC269" i="1"/>
  <c r="O229" i="1"/>
  <c r="BF375" i="1"/>
  <c r="P236" i="1"/>
  <c r="BD185" i="1"/>
  <c r="BD190" i="1"/>
  <c r="BD191" i="1" s="1"/>
  <c r="BD23" i="1"/>
  <c r="AO378" i="1"/>
  <c r="AO259" i="1"/>
  <c r="AN258" i="1"/>
  <c r="AO377" i="1" s="1"/>
  <c r="BB200" i="1"/>
  <c r="BB193" i="1"/>
  <c r="BB25" i="1"/>
  <c r="BC24" i="1"/>
  <c r="O260" i="1"/>
  <c r="BG236" i="1"/>
  <c r="N1" i="1"/>
  <c r="N39" i="1"/>
  <c r="BE186" i="1"/>
  <c r="BE20" i="1"/>
  <c r="BF258" i="1"/>
  <c r="BI73" i="1"/>
  <c r="O190" i="1"/>
  <c r="O191" i="1" s="1"/>
  <c r="O185" i="1"/>
  <c r="O23" i="1"/>
  <c r="O81" i="1"/>
  <c r="O78" i="1"/>
  <c r="O82" i="1" s="1"/>
  <c r="P270" i="1"/>
  <c r="P344" i="1" s="1"/>
  <c r="BA398" i="1"/>
  <c r="BA399" i="1" s="1"/>
  <c r="BA195" i="1"/>
  <c r="AY255" i="1"/>
  <c r="BF73" i="1"/>
  <c r="BF79" i="1"/>
  <c r="BF83" i="1" s="1"/>
  <c r="BC190" i="1"/>
  <c r="BC191" i="1" s="1"/>
  <c r="BC185" i="1"/>
  <c r="BC23" i="1"/>
  <c r="BJ113" i="1"/>
  <c r="BJ104" i="1"/>
  <c r="BJ114" i="1" s="1"/>
  <c r="Q114" i="1" s="1"/>
  <c r="AY30" i="1"/>
  <c r="BJ209" i="1"/>
  <c r="E206" i="1"/>
  <c r="F206" i="1"/>
  <c r="O45" i="1"/>
  <c r="O50" i="1"/>
  <c r="BH344" i="1"/>
  <c r="BG270" i="1"/>
  <c r="Q104" i="1" l="1"/>
  <c r="Q109" i="1" s="1"/>
  <c r="BA364" i="1"/>
  <c r="BJ115" i="1"/>
  <c r="BJ75" i="1" s="1"/>
  <c r="BJ79" i="1" s="1"/>
  <c r="BJ83" i="1" s="1"/>
  <c r="O51" i="1"/>
  <c r="BC189" i="1"/>
  <c r="BJ210" i="1"/>
  <c r="F209" i="1"/>
  <c r="E209" i="1"/>
  <c r="Q209" i="1"/>
  <c r="BB201" i="1"/>
  <c r="O200" i="1"/>
  <c r="O193" i="1"/>
  <c r="O25" i="1"/>
  <c r="BI77" i="1"/>
  <c r="BI56" i="1"/>
  <c r="BE185" i="1"/>
  <c r="BE190" i="1"/>
  <c r="BE191" i="1" s="1"/>
  <c r="BE23" i="1"/>
  <c r="O189" i="1"/>
  <c r="BB413" i="1"/>
  <c r="BB254" i="1"/>
  <c r="BB268" i="1"/>
  <c r="BJ110" i="1"/>
  <c r="BG258" i="1"/>
  <c r="P258" i="1"/>
  <c r="BG375" i="1"/>
  <c r="BB398" i="1"/>
  <c r="BB399" i="1" s="1"/>
  <c r="BB195" i="1"/>
  <c r="AP378" i="1"/>
  <c r="AP259" i="1"/>
  <c r="AO258" i="1"/>
  <c r="AP377" i="1" s="1"/>
  <c r="BD189" i="1"/>
  <c r="O178" i="1"/>
  <c r="M422" i="1"/>
  <c r="M423" i="1" s="1"/>
  <c r="M424" i="1" s="1"/>
  <c r="BA230" i="1"/>
  <c r="BJ73" i="1"/>
  <c r="AY223" i="1"/>
  <c r="AY396" i="1"/>
  <c r="BA400" i="1"/>
  <c r="P375" i="1"/>
  <c r="BD178" i="1"/>
  <c r="BA233" i="1"/>
  <c r="BA272" i="1"/>
  <c r="BG73" i="1"/>
  <c r="BG79" i="1"/>
  <c r="BG83" i="1" s="1"/>
  <c r="BI344" i="1"/>
  <c r="BH270" i="1"/>
  <c r="BC200" i="1"/>
  <c r="BC193" i="1"/>
  <c r="BC25" i="1"/>
  <c r="BC222" i="1"/>
  <c r="BC259" i="1"/>
  <c r="BE253" i="1"/>
  <c r="BE229" i="1" s="1"/>
  <c r="BE177" i="1"/>
  <c r="BE176" i="1"/>
  <c r="BE178" i="1" s="1"/>
  <c r="BE181" i="1"/>
  <c r="BE192" i="1"/>
  <c r="BE316" i="1"/>
  <c r="BE317" i="1"/>
  <c r="BE269" i="1"/>
  <c r="BE373" i="1"/>
  <c r="Q113" i="1"/>
  <c r="Q108" i="1" s="1"/>
  <c r="AY388" i="1"/>
  <c r="AY36" i="1"/>
  <c r="AY34" i="1"/>
  <c r="AY32" i="1"/>
  <c r="BD193" i="1"/>
  <c r="BD200" i="1"/>
  <c r="BH77" i="1"/>
  <c r="BH56" i="1"/>
  <c r="BF77" i="1"/>
  <c r="BF81" i="1" s="1"/>
  <c r="BF56" i="1"/>
  <c r="BD229" i="1"/>
  <c r="N422" i="1"/>
  <c r="N423" i="1" s="1"/>
  <c r="N424" i="1" s="1"/>
  <c r="BE189" i="1" l="1"/>
  <c r="BC268" i="1"/>
  <c r="BH83" i="1"/>
  <c r="BC254" i="1"/>
  <c r="Q115" i="1"/>
  <c r="Q110" i="1" s="1"/>
  <c r="BB364" i="1"/>
  <c r="BC413" i="1"/>
  <c r="BH61" i="1"/>
  <c r="BH44" i="1" s="1"/>
  <c r="BH58" i="1"/>
  <c r="BH63" i="1" s="1"/>
  <c r="BH46" i="1" s="1"/>
  <c r="BC398" i="1"/>
  <c r="BC399" i="1" s="1"/>
  <c r="BC195" i="1"/>
  <c r="BJ344" i="1"/>
  <c r="BJ270" i="1" s="1"/>
  <c r="BI270" i="1"/>
  <c r="BH258" i="1"/>
  <c r="BB233" i="1"/>
  <c r="O233" i="1" s="1"/>
  <c r="BB272" i="1"/>
  <c r="O268" i="1"/>
  <c r="O272" i="1" s="1"/>
  <c r="BI61" i="1"/>
  <c r="BI44" i="1" s="1"/>
  <c r="BI58" i="1"/>
  <c r="BI63" i="1" s="1"/>
  <c r="BI46" i="1" s="1"/>
  <c r="O201" i="1"/>
  <c r="BF61" i="1"/>
  <c r="BF44" i="1" s="1"/>
  <c r="BF58" i="1"/>
  <c r="BF63" i="1" s="1"/>
  <c r="BF46" i="1" s="1"/>
  <c r="AY1" i="1"/>
  <c r="AY39" i="1"/>
  <c r="BC260" i="1"/>
  <c r="BC233" i="1"/>
  <c r="BC272" i="1"/>
  <c r="AQ378" i="1"/>
  <c r="AQ259" i="1"/>
  <c r="AP258" i="1"/>
  <c r="L259" i="1"/>
  <c r="M378" i="1" s="1"/>
  <c r="BC230" i="1"/>
  <c r="O254" i="1"/>
  <c r="BE200" i="1"/>
  <c r="BE193" i="1"/>
  <c r="BI81" i="1"/>
  <c r="BD201" i="1"/>
  <c r="BD364" i="1" s="1"/>
  <c r="BE254" i="1"/>
  <c r="BC201" i="1"/>
  <c r="BC364" i="1" s="1"/>
  <c r="BG77" i="1"/>
  <c r="BG81" i="1" s="1"/>
  <c r="BG56" i="1"/>
  <c r="AY407" i="1"/>
  <c r="AY408" i="1" s="1"/>
  <c r="AY322" i="1"/>
  <c r="AY324" i="1" s="1"/>
  <c r="AY402" i="1"/>
  <c r="AY403" i="1"/>
  <c r="BJ77" i="1"/>
  <c r="BJ81" i="1" s="1"/>
  <c r="BJ56" i="1"/>
  <c r="BB230" i="1"/>
  <c r="O230" i="1" s="1"/>
  <c r="BB400" i="1"/>
  <c r="O398" i="1"/>
  <c r="O195" i="1"/>
  <c r="BD413" i="1"/>
  <c r="BD268" i="1"/>
  <c r="BD254" i="1"/>
  <c r="BD230" i="1" s="1"/>
  <c r="O413" i="1"/>
  <c r="BJ236" i="1"/>
  <c r="Q210" i="1"/>
  <c r="E210" i="1"/>
  <c r="F210" i="1"/>
  <c r="BC371" i="1"/>
  <c r="AY418" i="1"/>
  <c r="AY387" i="1"/>
  <c r="AY221" i="1"/>
  <c r="AY35" i="1"/>
  <c r="O314" i="1" l="1"/>
  <c r="BE268" i="1"/>
  <c r="BE413" i="1"/>
  <c r="O364" i="1"/>
  <c r="BJ61" i="1"/>
  <c r="BJ44" i="1" s="1"/>
  <c r="BJ58" i="1"/>
  <c r="BJ63" i="1" s="1"/>
  <c r="BJ46" i="1" s="1"/>
  <c r="AQ377" i="1"/>
  <c r="L258" i="1"/>
  <c r="M377" i="1" s="1"/>
  <c r="BF50" i="1"/>
  <c r="BF45" i="1"/>
  <c r="BF11" i="1"/>
  <c r="BI52" i="1"/>
  <c r="BI17" i="1"/>
  <c r="BC372" i="1"/>
  <c r="BC374" i="1"/>
  <c r="BC305" i="1" s="1"/>
  <c r="BC377" i="1"/>
  <c r="BC378" i="1"/>
  <c r="BC379" i="1"/>
  <c r="BJ375" i="1"/>
  <c r="Q236" i="1"/>
  <c r="BG58" i="1"/>
  <c r="BG63" i="1" s="1"/>
  <c r="BG46" i="1" s="1"/>
  <c r="BG61" i="1"/>
  <c r="BG44" i="1" s="1"/>
  <c r="AR378" i="1"/>
  <c r="AR259" i="1"/>
  <c r="AQ258" i="1"/>
  <c r="AR377" i="1" s="1"/>
  <c r="BI50" i="1"/>
  <c r="BI45" i="1"/>
  <c r="BI11" i="1"/>
  <c r="Q270" i="1"/>
  <c r="Q344" i="1" s="1"/>
  <c r="BC400" i="1"/>
  <c r="BH17" i="1"/>
  <c r="AY281" i="1"/>
  <c r="AY235" i="1"/>
  <c r="AY237" i="1" s="1"/>
  <c r="O312" i="1"/>
  <c r="O313" i="1" s="1"/>
  <c r="BE230" i="1"/>
  <c r="BD24" i="1"/>
  <c r="BI258" i="1"/>
  <c r="BH81" i="1"/>
  <c r="BH45" i="1"/>
  <c r="BH11" i="1"/>
  <c r="BD233" i="1"/>
  <c r="BD272" i="1"/>
  <c r="BE233" i="1"/>
  <c r="BE272" i="1"/>
  <c r="BE201" i="1"/>
  <c r="BE364" i="1" s="1"/>
  <c r="BF52" i="1"/>
  <c r="BF17" i="1"/>
  <c r="O315" i="1" l="1"/>
  <c r="BH52" i="1"/>
  <c r="BH50" i="1"/>
  <c r="BF51" i="1"/>
  <c r="AY422" i="1"/>
  <c r="AY423" i="1" s="1"/>
  <c r="AY284" i="1"/>
  <c r="BI182" i="1"/>
  <c r="BI14" i="1"/>
  <c r="BG50" i="1"/>
  <c r="BG45" i="1"/>
  <c r="BG11" i="1"/>
  <c r="BI186" i="1"/>
  <c r="BI20" i="1"/>
  <c r="BJ52" i="1"/>
  <c r="BJ17" i="1"/>
  <c r="BF186" i="1"/>
  <c r="BF20" i="1"/>
  <c r="P17" i="1"/>
  <c r="BI51" i="1"/>
  <c r="AS378" i="1"/>
  <c r="AR258" i="1"/>
  <c r="AS377" i="1" s="1"/>
  <c r="BG52" i="1"/>
  <c r="BG17" i="1"/>
  <c r="BJ50" i="1"/>
  <c r="BJ45" i="1"/>
  <c r="BJ11" i="1"/>
  <c r="BH182" i="1"/>
  <c r="BH14" i="1"/>
  <c r="BJ258" i="1"/>
  <c r="BD222" i="1"/>
  <c r="BD25" i="1"/>
  <c r="BD259" i="1"/>
  <c r="BH186" i="1"/>
  <c r="BH20" i="1"/>
  <c r="Q375" i="1"/>
  <c r="BF182" i="1"/>
  <c r="BF14" i="1"/>
  <c r="P11" i="1"/>
  <c r="BG51" i="1" l="1"/>
  <c r="BJ51" i="1"/>
  <c r="P182" i="1"/>
  <c r="P44" i="1"/>
  <c r="P77" i="1"/>
  <c r="P73" i="1"/>
  <c r="P56" i="1"/>
  <c r="P14" i="1"/>
  <c r="BD260" i="1"/>
  <c r="Q258" i="1"/>
  <c r="BI253" i="1"/>
  <c r="BI181" i="1"/>
  <c r="BI177" i="1"/>
  <c r="BI176" i="1"/>
  <c r="BI192" i="1"/>
  <c r="BI316" i="1"/>
  <c r="BI317" i="1"/>
  <c r="BI269" i="1"/>
  <c r="BI373" i="1"/>
  <c r="AY424" i="1"/>
  <c r="AZ417" i="1"/>
  <c r="BF253" i="1"/>
  <c r="BF177" i="1"/>
  <c r="BF176" i="1"/>
  <c r="BF178" i="1" s="1"/>
  <c r="BF181" i="1"/>
  <c r="BF192" i="1"/>
  <c r="BF316" i="1"/>
  <c r="BF317" i="1"/>
  <c r="BF269" i="1"/>
  <c r="P269" i="1" s="1"/>
  <c r="BF373" i="1"/>
  <c r="BD398" i="1"/>
  <c r="BD399" i="1" s="1"/>
  <c r="BD195" i="1"/>
  <c r="BG186" i="1"/>
  <c r="BG20" i="1"/>
  <c r="Q17" i="1"/>
  <c r="BJ186" i="1"/>
  <c r="BJ20" i="1"/>
  <c r="BG182" i="1"/>
  <c r="BG14" i="1"/>
  <c r="BH181" i="1" s="1"/>
  <c r="Q11" i="1"/>
  <c r="BH51" i="1"/>
  <c r="BH185" i="1"/>
  <c r="BH190" i="1"/>
  <c r="BH191" i="1" s="1"/>
  <c r="BH23" i="1"/>
  <c r="BJ182" i="1"/>
  <c r="BJ14" i="1"/>
  <c r="P186" i="1"/>
  <c r="P58" i="1"/>
  <c r="P63" i="1" s="1"/>
  <c r="P75" i="1"/>
  <c r="P46" i="1"/>
  <c r="P20" i="1"/>
  <c r="P79" i="1"/>
  <c r="P83" i="1" s="1"/>
  <c r="AY391" i="1"/>
  <c r="AY390" i="1"/>
  <c r="AY393" i="1"/>
  <c r="AY392" i="1"/>
  <c r="AY327" i="1"/>
  <c r="AY330" i="1" s="1"/>
  <c r="AY332" i="1" s="1"/>
  <c r="AY341" i="1" s="1"/>
  <c r="AY404" i="1"/>
  <c r="AY405" i="1"/>
  <c r="BD371" i="1"/>
  <c r="BH253" i="1"/>
  <c r="BH177" i="1"/>
  <c r="BH176" i="1"/>
  <c r="BH192" i="1"/>
  <c r="BH317" i="1"/>
  <c r="BH316" i="1"/>
  <c r="BH373" i="1"/>
  <c r="BH269" i="1"/>
  <c r="BF190" i="1"/>
  <c r="BF191" i="1" s="1"/>
  <c r="BF185" i="1"/>
  <c r="BF23" i="1"/>
  <c r="BI185" i="1"/>
  <c r="BI190" i="1"/>
  <c r="BI191" i="1" s="1"/>
  <c r="BI23" i="1"/>
  <c r="P318" i="1" l="1"/>
  <c r="BH189" i="1"/>
  <c r="P52" i="1"/>
  <c r="BF189" i="1"/>
  <c r="BH193" i="1"/>
  <c r="BH200" i="1"/>
  <c r="BD372" i="1"/>
  <c r="BD374" i="1"/>
  <c r="BD305" i="1" s="1"/>
  <c r="BD377" i="1"/>
  <c r="BD378" i="1"/>
  <c r="BD379" i="1"/>
  <c r="BJ253" i="1"/>
  <c r="BJ229" i="1" s="1"/>
  <c r="BJ177" i="1"/>
  <c r="BJ176" i="1"/>
  <c r="BJ181" i="1"/>
  <c r="BJ192" i="1"/>
  <c r="BJ316" i="1"/>
  <c r="BJ317" i="1"/>
  <c r="BJ269" i="1"/>
  <c r="Q269" i="1" s="1"/>
  <c r="BJ373" i="1"/>
  <c r="BG190" i="1"/>
  <c r="BG191" i="1" s="1"/>
  <c r="BG185" i="1"/>
  <c r="BG23" i="1"/>
  <c r="BI189" i="1"/>
  <c r="BE24" i="1"/>
  <c r="P57" i="1"/>
  <c r="P62" i="1" s="1"/>
  <c r="P61" i="1"/>
  <c r="BF200" i="1"/>
  <c r="BF193" i="1"/>
  <c r="BH178" i="1"/>
  <c r="BI229" i="1"/>
  <c r="AY357" i="1"/>
  <c r="AY350" i="1"/>
  <c r="AY342" i="1"/>
  <c r="BJ185" i="1"/>
  <c r="BJ190" i="1"/>
  <c r="BJ191" i="1" s="1"/>
  <c r="BJ23" i="1"/>
  <c r="BD400" i="1"/>
  <c r="BI178" i="1"/>
  <c r="P74" i="1"/>
  <c r="P127" i="1" s="1"/>
  <c r="BI200" i="1"/>
  <c r="BI193" i="1"/>
  <c r="Q182" i="1"/>
  <c r="Q77" i="1"/>
  <c r="Q73" i="1"/>
  <c r="Q56" i="1"/>
  <c r="Q44" i="1"/>
  <c r="Q14" i="1"/>
  <c r="BF254" i="1"/>
  <c r="P185" i="1"/>
  <c r="P190" i="1"/>
  <c r="P191" i="1" s="1"/>
  <c r="P23" i="1"/>
  <c r="BG253" i="1"/>
  <c r="BG181" i="1"/>
  <c r="BG177" i="1"/>
  <c r="BG176" i="1"/>
  <c r="BG192" i="1"/>
  <c r="BG316" i="1"/>
  <c r="BG317" i="1"/>
  <c r="BG269" i="1"/>
  <c r="BG373" i="1"/>
  <c r="Q186" i="1"/>
  <c r="Q58" i="1"/>
  <c r="Q63" i="1" s="1"/>
  <c r="Q75" i="1"/>
  <c r="Q46" i="1"/>
  <c r="Q20" i="1"/>
  <c r="Q79" i="1"/>
  <c r="Q83" i="1" s="1"/>
  <c r="BG229" i="1"/>
  <c r="P253" i="1"/>
  <c r="P310" i="1" s="1"/>
  <c r="P311" i="1" s="1"/>
  <c r="BF229" i="1"/>
  <c r="P229" i="1" s="1"/>
  <c r="P181" i="1"/>
  <c r="P177" i="1"/>
  <c r="P176" i="1"/>
  <c r="P317" i="1"/>
  <c r="P316" i="1"/>
  <c r="P192" i="1"/>
  <c r="P373" i="1"/>
  <c r="P50" i="1"/>
  <c r="P45" i="1"/>
  <c r="P78" i="1"/>
  <c r="P82" i="1" s="1"/>
  <c r="P81" i="1"/>
  <c r="BF268" i="1" l="1"/>
  <c r="BG189" i="1"/>
  <c r="BH268" i="1"/>
  <c r="BH272" i="1" s="1"/>
  <c r="BH413" i="1"/>
  <c r="BH254" i="1"/>
  <c r="BF413" i="1"/>
  <c r="Q52" i="1"/>
  <c r="P51" i="1"/>
  <c r="P189" i="1"/>
  <c r="P413" i="1" s="1"/>
  <c r="P178" i="1"/>
  <c r="Q190" i="1"/>
  <c r="Q191" i="1" s="1"/>
  <c r="Q185" i="1"/>
  <c r="Q23" i="1"/>
  <c r="BG268" i="1"/>
  <c r="P200" i="1"/>
  <c r="P193" i="1"/>
  <c r="BF233" i="1"/>
  <c r="P233" i="1" s="1"/>
  <c r="BF272" i="1"/>
  <c r="P268" i="1"/>
  <c r="P272" i="1" s="1"/>
  <c r="Q61" i="1"/>
  <c r="Q57" i="1"/>
  <c r="Q62" i="1" s="1"/>
  <c r="BJ200" i="1"/>
  <c r="BJ193" i="1"/>
  <c r="BJ189" i="1"/>
  <c r="Q74" i="1"/>
  <c r="Q127" i="1" s="1"/>
  <c r="BJ178" i="1"/>
  <c r="BG178" i="1"/>
  <c r="BH229" i="1"/>
  <c r="Q229" i="1" s="1"/>
  <c r="Q177" i="1"/>
  <c r="Q176" i="1"/>
  <c r="Q181" i="1"/>
  <c r="Q192" i="1"/>
  <c r="Q316" i="1"/>
  <c r="Q317" i="1"/>
  <c r="Q373" i="1"/>
  <c r="Q81" i="1"/>
  <c r="Q78" i="1"/>
  <c r="Q82" i="1" s="1"/>
  <c r="BI201" i="1"/>
  <c r="BI364" i="1" s="1"/>
  <c r="BE222" i="1"/>
  <c r="BE25" i="1"/>
  <c r="BE259" i="1"/>
  <c r="BI413" i="1"/>
  <c r="BI268" i="1"/>
  <c r="BI254" i="1"/>
  <c r="BH201" i="1"/>
  <c r="BH364" i="1" s="1"/>
  <c r="P254" i="1"/>
  <c r="P312" i="1" s="1"/>
  <c r="P313" i="1" s="1"/>
  <c r="BF230" i="1"/>
  <c r="P230" i="1" s="1"/>
  <c r="Q50" i="1"/>
  <c r="Q45" i="1"/>
  <c r="AY345" i="1"/>
  <c r="AY273" i="1" s="1"/>
  <c r="AY358" i="1"/>
  <c r="BF201" i="1"/>
  <c r="BF364" i="1" s="1"/>
  <c r="BG200" i="1"/>
  <c r="BG193" i="1"/>
  <c r="Q318" i="1"/>
  <c r="Q253" i="1"/>
  <c r="P314" i="1" l="1"/>
  <c r="P315" i="1" s="1"/>
  <c r="BG254" i="1"/>
  <c r="BH230" i="1" s="1"/>
  <c r="BG413" i="1"/>
  <c r="BI230" i="1"/>
  <c r="Q178" i="1"/>
  <c r="Q51" i="1"/>
  <c r="BI233" i="1"/>
  <c r="BI272" i="1"/>
  <c r="BE398" i="1"/>
  <c r="BE399" i="1" s="1"/>
  <c r="BE195" i="1"/>
  <c r="BJ413" i="1"/>
  <c r="BJ268" i="1"/>
  <c r="BJ254" i="1"/>
  <c r="BG233" i="1"/>
  <c r="BG272" i="1"/>
  <c r="BG201" i="1"/>
  <c r="BG364" i="1" s="1"/>
  <c r="BE371" i="1"/>
  <c r="AY291" i="1"/>
  <c r="AY244" i="1"/>
  <c r="AY278" i="1"/>
  <c r="AY285" i="1" s="1"/>
  <c r="AY290" i="1"/>
  <c r="BE260" i="1"/>
  <c r="Q189" i="1"/>
  <c r="BH233" i="1"/>
  <c r="Q310" i="1"/>
  <c r="Q311" i="1" s="1"/>
  <c r="BJ201" i="1"/>
  <c r="BJ364" i="1" s="1"/>
  <c r="P201" i="1"/>
  <c r="Q200" i="1"/>
  <c r="Q193" i="1"/>
  <c r="BG230" i="1" l="1"/>
  <c r="P364" i="1"/>
  <c r="Q254" i="1"/>
  <c r="Q312" i="1" s="1"/>
  <c r="Q313" i="1" s="1"/>
  <c r="Q201" i="1"/>
  <c r="Q364" i="1" s="1"/>
  <c r="AY246" i="1"/>
  <c r="AY252" i="1" s="1"/>
  <c r="AY292" i="1" s="1"/>
  <c r="BE372" i="1"/>
  <c r="BE374" i="1"/>
  <c r="BE305" i="1" s="1"/>
  <c r="BE377" i="1"/>
  <c r="BE378" i="1"/>
  <c r="BE379" i="1"/>
  <c r="BE400" i="1"/>
  <c r="BJ230" i="1"/>
  <c r="Q230" i="1" s="1"/>
  <c r="AY296" i="1"/>
  <c r="AY293" i="1"/>
  <c r="AZ26" i="1"/>
  <c r="Q233" i="1"/>
  <c r="Q413" i="1"/>
  <c r="BF24" i="1"/>
  <c r="BJ233" i="1"/>
  <c r="Q268" i="1"/>
  <c r="Q272" i="1" s="1"/>
  <c r="BJ272" i="1"/>
  <c r="Q314" i="1" l="1"/>
  <c r="Q315" i="1" s="1"/>
  <c r="BF222" i="1"/>
  <c r="BF25" i="1"/>
  <c r="P24" i="1"/>
  <c r="BF259" i="1"/>
  <c r="AZ303" i="1"/>
  <c r="AZ28" i="1"/>
  <c r="AZ304" i="1"/>
  <c r="AZ302" i="1"/>
  <c r="AY365" i="1"/>
  <c r="AY297" i="1"/>
  <c r="AY295" i="1"/>
  <c r="AY294" i="1"/>
  <c r="AY300" i="1"/>
  <c r="AY299" i="1"/>
  <c r="AY351" i="1"/>
  <c r="AY397" i="1"/>
  <c r="AY257" i="1"/>
  <c r="AY247" i="1"/>
  <c r="AY2" i="1"/>
  <c r="BF398" i="1" l="1"/>
  <c r="BF399" i="1" s="1"/>
  <c r="BF195" i="1"/>
  <c r="BF371" i="1"/>
  <c r="P222" i="1"/>
  <c r="P371" i="1" s="1"/>
  <c r="P259" i="1"/>
  <c r="BF260" i="1"/>
  <c r="AY308" i="1"/>
  <c r="AY309" i="1"/>
  <c r="AY264" i="1"/>
  <c r="AY286" i="1" s="1"/>
  <c r="AZ29" i="1"/>
  <c r="AZ30" i="1" s="1"/>
  <c r="P194" i="1"/>
  <c r="P25" i="1"/>
  <c r="AZ388" i="1" l="1"/>
  <c r="AZ32" i="1"/>
  <c r="AZ36" i="1"/>
  <c r="AZ34" i="1"/>
  <c r="AZ255" i="1"/>
  <c r="BG24" i="1"/>
  <c r="P260" i="1"/>
  <c r="P372" i="1"/>
  <c r="P377" i="1"/>
  <c r="P378" i="1"/>
  <c r="P374" i="1"/>
  <c r="P305" i="1" s="1"/>
  <c r="P379" i="1"/>
  <c r="P398" i="1"/>
  <c r="P195" i="1"/>
  <c r="BF372" i="1"/>
  <c r="BF374" i="1"/>
  <c r="BF305" i="1" s="1"/>
  <c r="BF377" i="1"/>
  <c r="BF378" i="1"/>
  <c r="BF379" i="1"/>
  <c r="BF400" i="1"/>
  <c r="AZ223" i="1" l="1"/>
  <c r="AZ396" i="1"/>
  <c r="AZ418" i="1"/>
  <c r="AZ387" i="1"/>
  <c r="AZ221" i="1"/>
  <c r="AZ35" i="1"/>
  <c r="BG222" i="1"/>
  <c r="BG25" i="1"/>
  <c r="BG259" i="1"/>
  <c r="AZ1" i="1"/>
  <c r="AZ39" i="1"/>
  <c r="AZ235" i="1" l="1"/>
  <c r="AZ237" i="1" s="1"/>
  <c r="AZ281" i="1"/>
  <c r="AZ407" i="1"/>
  <c r="AZ408" i="1" s="1"/>
  <c r="AZ322" i="1"/>
  <c r="AZ324" i="1" s="1"/>
  <c r="AZ403" i="1"/>
  <c r="AZ402" i="1"/>
  <c r="BG371" i="1"/>
  <c r="BG260" i="1"/>
  <c r="BG398" i="1"/>
  <c r="BG399" i="1" s="1"/>
  <c r="BG195" i="1"/>
  <c r="BH24" i="1" l="1"/>
  <c r="AZ422" i="1"/>
  <c r="AZ423" i="1" s="1"/>
  <c r="AZ284" i="1"/>
  <c r="BG372" i="1"/>
  <c r="BG377" i="1"/>
  <c r="BG374" i="1"/>
  <c r="BG305" i="1" s="1"/>
  <c r="BG378" i="1"/>
  <c r="BG379" i="1"/>
  <c r="BG400" i="1"/>
  <c r="BH222" i="1" l="1"/>
  <c r="BH25" i="1"/>
  <c r="BH259" i="1"/>
  <c r="BA417" i="1"/>
  <c r="AZ424" i="1"/>
  <c r="AZ390" i="1"/>
  <c r="AZ392" i="1"/>
  <c r="AZ391" i="1"/>
  <c r="AZ327" i="1"/>
  <c r="AZ330" i="1" s="1"/>
  <c r="AZ332" i="1" s="1"/>
  <c r="AZ341" i="1" s="1"/>
  <c r="AZ393" i="1"/>
  <c r="AZ404" i="1"/>
  <c r="AZ405" i="1"/>
  <c r="BH260" i="1" l="1"/>
  <c r="AZ357" i="1"/>
  <c r="AZ342" i="1"/>
  <c r="AZ350" i="1"/>
  <c r="BH398" i="1"/>
  <c r="BH399" i="1" s="1"/>
  <c r="BH195" i="1"/>
  <c r="BH371" i="1"/>
  <c r="BI24" i="1" l="1"/>
  <c r="BH372" i="1"/>
  <c r="BH374" i="1"/>
  <c r="BH305" i="1" s="1"/>
  <c r="BH377" i="1"/>
  <c r="BH378" i="1"/>
  <c r="BH379" i="1"/>
  <c r="BH400" i="1"/>
  <c r="AZ358" i="1"/>
  <c r="AZ345" i="1"/>
  <c r="AZ273" i="1" s="1"/>
  <c r="AZ291" i="1" l="1"/>
  <c r="AZ244" i="1"/>
  <c r="AZ278" i="1"/>
  <c r="AZ285" i="1" s="1"/>
  <c r="AZ290" i="1"/>
  <c r="BI222" i="1"/>
  <c r="BI25" i="1"/>
  <c r="BI259" i="1"/>
  <c r="BI398" i="1" l="1"/>
  <c r="BI399" i="1" s="1"/>
  <c r="BI195" i="1"/>
  <c r="BI371" i="1"/>
  <c r="AZ246" i="1"/>
  <c r="AZ252" i="1" s="1"/>
  <c r="BI260" i="1"/>
  <c r="AZ296" i="1"/>
  <c r="AZ293" i="1"/>
  <c r="BA26" i="1"/>
  <c r="AZ397" i="1" l="1"/>
  <c r="AZ351" i="1"/>
  <c r="AZ257" i="1"/>
  <c r="AZ247" i="1"/>
  <c r="AZ2" i="1"/>
  <c r="BA28" i="1"/>
  <c r="BA303" i="1"/>
  <c r="BA302" i="1"/>
  <c r="BA304" i="1"/>
  <c r="BJ24" i="1"/>
  <c r="AZ292" i="1"/>
  <c r="BI372" i="1"/>
  <c r="BI374" i="1"/>
  <c r="BI305" i="1" s="1"/>
  <c r="BI377" i="1"/>
  <c r="BI378" i="1"/>
  <c r="BI379" i="1"/>
  <c r="BI400" i="1"/>
  <c r="AZ365" i="1" l="1"/>
  <c r="AZ299" i="1"/>
  <c r="AZ294" i="1"/>
  <c r="AZ295" i="1"/>
  <c r="AZ300" i="1"/>
  <c r="AZ297" i="1"/>
  <c r="BA29" i="1"/>
  <c r="BA30" i="1"/>
  <c r="AZ309" i="1"/>
  <c r="AZ308" i="1"/>
  <c r="AZ264" i="1"/>
  <c r="AZ286" i="1" s="1"/>
  <c r="BJ222" i="1"/>
  <c r="BJ25" i="1"/>
  <c r="Q24" i="1"/>
  <c r="BJ259" i="1"/>
  <c r="BJ371" i="1" l="1"/>
  <c r="Q222" i="1"/>
  <c r="Q371" i="1" s="1"/>
  <c r="BA388" i="1"/>
  <c r="BA32" i="1"/>
  <c r="BA36" i="1"/>
  <c r="BA34" i="1"/>
  <c r="Q259" i="1"/>
  <c r="BJ260" i="1"/>
  <c r="Q260" i="1" s="1"/>
  <c r="BA255" i="1"/>
  <c r="Q194" i="1"/>
  <c r="Q25" i="1"/>
  <c r="BJ398" i="1"/>
  <c r="BJ399" i="1" s="1"/>
  <c r="BJ195" i="1"/>
  <c r="BJ400" i="1" l="1"/>
  <c r="BA223" i="1"/>
  <c r="BA396" i="1"/>
  <c r="BA1" i="1"/>
  <c r="BA39" i="1"/>
  <c r="Q372" i="1"/>
  <c r="Q377" i="1"/>
  <c r="Q374" i="1"/>
  <c r="Q305" i="1" s="1"/>
  <c r="Q378" i="1"/>
  <c r="Q379" i="1"/>
  <c r="Q398" i="1"/>
  <c r="Q195" i="1"/>
  <c r="BA418" i="1"/>
  <c r="BA387" i="1"/>
  <c r="BA221" i="1"/>
  <c r="BA35" i="1"/>
  <c r="BJ372" i="1"/>
  <c r="BJ374" i="1"/>
  <c r="BJ305" i="1" s="1"/>
  <c r="BJ377" i="1"/>
  <c r="BJ378" i="1"/>
  <c r="BJ379" i="1"/>
  <c r="BA235" i="1" l="1"/>
  <c r="BA237" i="1" s="1"/>
  <c r="BA281" i="1"/>
  <c r="BA407" i="1"/>
  <c r="BA408" i="1" s="1"/>
  <c r="BA322" i="1"/>
  <c r="BA324" i="1" s="1"/>
  <c r="BA402" i="1"/>
  <c r="BA403" i="1"/>
  <c r="BA422" i="1" l="1"/>
  <c r="BA423" i="1" s="1"/>
  <c r="BA284" i="1"/>
  <c r="BA424" i="1" l="1"/>
  <c r="BB417" i="1"/>
  <c r="BA393" i="1"/>
  <c r="BA392" i="1"/>
  <c r="BA391" i="1"/>
  <c r="BA390" i="1"/>
  <c r="BA327" i="1"/>
  <c r="BA330" i="1" s="1"/>
  <c r="BA332" i="1" s="1"/>
  <c r="BA341" i="1" s="1"/>
  <c r="BA404" i="1"/>
  <c r="BA405" i="1"/>
  <c r="BA357" i="1" l="1"/>
  <c r="BA342" i="1"/>
  <c r="BA350" i="1"/>
  <c r="BA345" i="1" l="1"/>
  <c r="BA273" i="1" s="1"/>
  <c r="BA358" i="1"/>
  <c r="BA291" i="1" l="1"/>
  <c r="BA244" i="1"/>
  <c r="BA278" i="1"/>
  <c r="BA285" i="1" s="1"/>
  <c r="BA290" i="1"/>
  <c r="BA246" i="1" l="1"/>
  <c r="BA252" i="1" s="1"/>
  <c r="BA292" i="1" s="1"/>
  <c r="BA293" i="1"/>
  <c r="BA296" i="1"/>
  <c r="BB26" i="1"/>
  <c r="BA365" i="1" l="1"/>
  <c r="BA300" i="1"/>
  <c r="BA294" i="1"/>
  <c r="BA299" i="1"/>
  <c r="BA297" i="1"/>
  <c r="BA295" i="1"/>
  <c r="BB28" i="1"/>
  <c r="BB303" i="1"/>
  <c r="BB302" i="1"/>
  <c r="BB304" i="1"/>
  <c r="O26" i="1"/>
  <c r="BA397" i="1"/>
  <c r="BA351" i="1"/>
  <c r="BA247" i="1"/>
  <c r="BA257" i="1"/>
  <c r="BA2" i="1"/>
  <c r="BA308" i="1" l="1"/>
  <c r="BA309" i="1"/>
  <c r="BA264" i="1"/>
  <c r="BA286" i="1" s="1"/>
  <c r="O303" i="1"/>
  <c r="O304" i="1"/>
  <c r="O302" i="1"/>
  <c r="O28" i="1"/>
  <c r="BB29" i="1"/>
  <c r="O29" i="1" l="1"/>
  <c r="O197" i="1" s="1"/>
  <c r="BB255" i="1"/>
  <c r="BB30" i="1"/>
  <c r="O399" i="1" l="1"/>
  <c r="O400" i="1" s="1"/>
  <c r="BB388" i="1"/>
  <c r="BB36" i="1"/>
  <c r="BB34" i="1"/>
  <c r="BB32" i="1"/>
  <c r="BB223" i="1"/>
  <c r="O223" i="1" s="1"/>
  <c r="O255" i="1"/>
  <c r="O396" i="1" s="1"/>
  <c r="BB396" i="1"/>
  <c r="O30" i="1"/>
  <c r="O388" i="1" l="1"/>
  <c r="O32" i="1"/>
  <c r="O36" i="1"/>
  <c r="O34" i="1"/>
  <c r="O407" i="1"/>
  <c r="O408" i="1" s="1"/>
  <c r="O402" i="1"/>
  <c r="BB1" i="1"/>
  <c r="BB39" i="1"/>
  <c r="O403" i="1"/>
  <c r="BB407" i="1"/>
  <c r="BB408" i="1" s="1"/>
  <c r="BB322" i="1"/>
  <c r="BB402" i="1"/>
  <c r="BB403" i="1"/>
  <c r="BB418" i="1"/>
  <c r="BB387" i="1"/>
  <c r="BB221" i="1"/>
  <c r="BB35" i="1"/>
  <c r="O418" i="1" l="1"/>
  <c r="O387" i="1"/>
  <c r="O35" i="1"/>
  <c r="BB235" i="1"/>
  <c r="BB237" i="1" s="1"/>
  <c r="O221" i="1"/>
  <c r="O235" i="1" s="1"/>
  <c r="O237" i="1" s="1"/>
  <c r="BB281" i="1"/>
  <c r="BB324" i="1"/>
  <c r="O322" i="1"/>
  <c r="O1" i="1"/>
  <c r="O39" i="1"/>
  <c r="BB422" i="1" l="1"/>
  <c r="BB423" i="1" s="1"/>
  <c r="BB284" i="1"/>
  <c r="O281" i="1"/>
  <c r="O422" i="1" s="1"/>
  <c r="O423" i="1" s="1"/>
  <c r="O324" i="1"/>
  <c r="BB392" i="1" l="1"/>
  <c r="BB393" i="1"/>
  <c r="BB391" i="1"/>
  <c r="O391" i="1" s="1"/>
  <c r="BB390" i="1"/>
  <c r="O390" i="1" s="1"/>
  <c r="BB327" i="1"/>
  <c r="O284" i="1"/>
  <c r="BB404" i="1"/>
  <c r="BB405" i="1"/>
  <c r="BB424" i="1"/>
  <c r="BC417" i="1"/>
  <c r="O327" i="1" l="1"/>
  <c r="BB330" i="1"/>
  <c r="P417" i="1"/>
  <c r="O393" i="1"/>
  <c r="O392" i="1"/>
  <c r="O404" i="1"/>
  <c r="O405" i="1"/>
  <c r="O424" i="1"/>
  <c r="BB332" i="1" l="1"/>
  <c r="O330" i="1"/>
  <c r="BB341" i="1" l="1"/>
  <c r="O332" i="1"/>
  <c r="BB357" i="1" l="1"/>
  <c r="BB342" i="1"/>
  <c r="BB350" i="1"/>
  <c r="O350" i="1" s="1"/>
  <c r="O341" i="1"/>
  <c r="O357" i="1" s="1"/>
  <c r="BB358" i="1" l="1"/>
  <c r="BB345" i="1"/>
  <c r="BB273" i="1" s="1"/>
  <c r="O342" i="1"/>
  <c r="O358" i="1" s="1"/>
  <c r="BB291" i="1" l="1"/>
  <c r="O273" i="1"/>
  <c r="BB244" i="1"/>
  <c r="BB278" i="1"/>
  <c r="BB285" i="1" s="1"/>
  <c r="BB290" i="1"/>
  <c r="O345" i="1" l="1"/>
  <c r="O291" i="1"/>
  <c r="O278" i="1"/>
  <c r="O285" i="1" s="1"/>
  <c r="O290" i="1"/>
  <c r="O244" i="1"/>
  <c r="O246" i="1" s="1"/>
  <c r="BB246" i="1"/>
  <c r="BB252" i="1" s="1"/>
  <c r="BB292" i="1" s="1"/>
  <c r="BB293" i="1"/>
  <c r="BB296" i="1"/>
  <c r="BC26" i="1"/>
  <c r="BB365" i="1" l="1"/>
  <c r="O365" i="1" s="1"/>
  <c r="BB300" i="1"/>
  <c r="BB297" i="1"/>
  <c r="BB295" i="1"/>
  <c r="BB299" i="1"/>
  <c r="BB294" i="1"/>
  <c r="BC28" i="1"/>
  <c r="BC302" i="1"/>
  <c r="BC304" i="1"/>
  <c r="BC303" i="1"/>
  <c r="BB397" i="1"/>
  <c r="BB351" i="1"/>
  <c r="O351" i="1" s="1"/>
  <c r="BB247" i="1"/>
  <c r="BB257" i="1"/>
  <c r="BB2" i="1"/>
  <c r="O252" i="1"/>
  <c r="O293" i="1"/>
  <c r="O292" i="1"/>
  <c r="O296" i="1"/>
  <c r="O196" i="1"/>
  <c r="BB309" i="1" l="1"/>
  <c r="BB308" i="1"/>
  <c r="BB264" i="1"/>
  <c r="BB286" i="1" s="1"/>
  <c r="BC29" i="1"/>
  <c r="BC30" i="1" s="1"/>
  <c r="O295" i="1"/>
  <c r="O300" i="1"/>
  <c r="O299" i="1"/>
  <c r="O294" i="1"/>
  <c r="O297" i="1"/>
  <c r="O397" i="1"/>
  <c r="O257" i="1"/>
  <c r="O247" i="1"/>
  <c r="O2" i="1"/>
  <c r="O309" i="1" l="1"/>
  <c r="O308" i="1"/>
  <c r="O264" i="1"/>
  <c r="O286" i="1" s="1"/>
  <c r="BC388" i="1"/>
  <c r="BC36" i="1"/>
  <c r="BC34" i="1"/>
  <c r="BC32" i="1"/>
  <c r="BC255" i="1"/>
  <c r="BC223" i="1" l="1"/>
  <c r="BC396" i="1"/>
  <c r="BC418" i="1"/>
  <c r="BC387" i="1"/>
  <c r="BC221" i="1"/>
  <c r="BC35" i="1"/>
  <c r="BC1" i="1"/>
  <c r="BC39" i="1"/>
  <c r="BC235" i="1" l="1"/>
  <c r="BC237" i="1" s="1"/>
  <c r="BC281" i="1"/>
  <c r="BC407" i="1"/>
  <c r="BC408" i="1" s="1"/>
  <c r="BC322" i="1"/>
  <c r="BC324" i="1" s="1"/>
  <c r="BC402" i="1"/>
  <c r="BC403" i="1"/>
  <c r="BC422" i="1" l="1"/>
  <c r="BC423" i="1" s="1"/>
  <c r="BC284" i="1"/>
  <c r="BC391" i="1" l="1"/>
  <c r="BC393" i="1"/>
  <c r="BC390" i="1"/>
  <c r="BC392" i="1"/>
  <c r="BC327" i="1"/>
  <c r="BC330" i="1" s="1"/>
  <c r="BC332" i="1" s="1"/>
  <c r="BC341" i="1" s="1"/>
  <c r="BC404" i="1"/>
  <c r="BC405" i="1"/>
  <c r="BC424" i="1"/>
  <c r="BD417" i="1"/>
  <c r="BC357" i="1" l="1"/>
  <c r="BC342" i="1"/>
  <c r="BC350" i="1"/>
  <c r="BC345" i="1" l="1"/>
  <c r="BC273" i="1" s="1"/>
  <c r="BC358" i="1"/>
  <c r="BC291" i="1" l="1"/>
  <c r="BC244" i="1"/>
  <c r="BC278" i="1"/>
  <c r="BC285" i="1" s="1"/>
  <c r="BC290" i="1"/>
  <c r="BC246" i="1" l="1"/>
  <c r="BC252" i="1" s="1"/>
  <c r="BC292" i="1" s="1"/>
  <c r="BC296" i="1"/>
  <c r="BC293" i="1"/>
  <c r="BD26" i="1"/>
  <c r="BD302" i="1" l="1"/>
  <c r="BD303" i="1"/>
  <c r="BD28" i="1"/>
  <c r="BD304" i="1"/>
  <c r="BC351" i="1"/>
  <c r="BC397" i="1"/>
  <c r="BC247" i="1"/>
  <c r="BC257" i="1"/>
  <c r="BC2" i="1"/>
  <c r="BC365" i="1"/>
  <c r="BC297" i="1"/>
  <c r="BC295" i="1"/>
  <c r="BC294" i="1"/>
  <c r="BC300" i="1"/>
  <c r="BC299" i="1"/>
  <c r="BD29" i="1" l="1"/>
  <c r="BC309" i="1"/>
  <c r="BC308" i="1"/>
  <c r="BC264" i="1"/>
  <c r="BC286" i="1" s="1"/>
  <c r="BD255" i="1" l="1"/>
  <c r="BD30" i="1"/>
  <c r="BD388" i="1" l="1"/>
  <c r="BD32" i="1"/>
  <c r="BD36" i="1"/>
  <c r="BD34" i="1"/>
  <c r="BD223" i="1"/>
  <c r="BD396" i="1"/>
  <c r="BD407" i="1" l="1"/>
  <c r="BD408" i="1" s="1"/>
  <c r="BD322" i="1"/>
  <c r="BD324" i="1" s="1"/>
  <c r="BD402" i="1"/>
  <c r="BD403" i="1"/>
  <c r="BD418" i="1"/>
  <c r="BD387" i="1"/>
  <c r="BD221" i="1"/>
  <c r="BD35" i="1"/>
  <c r="BD1" i="1"/>
  <c r="BD39" i="1"/>
  <c r="BD235" i="1" l="1"/>
  <c r="BD237" i="1" s="1"/>
  <c r="BD281" i="1"/>
  <c r="BD422" i="1" l="1"/>
  <c r="BD423" i="1" s="1"/>
  <c r="BD284" i="1"/>
  <c r="BD390" i="1" l="1"/>
  <c r="BD392" i="1"/>
  <c r="BD393" i="1"/>
  <c r="BD391" i="1"/>
  <c r="BD327" i="1"/>
  <c r="BD330" i="1" s="1"/>
  <c r="BD332" i="1" s="1"/>
  <c r="BD341" i="1" s="1"/>
  <c r="BD404" i="1"/>
  <c r="BD405" i="1"/>
  <c r="BE417" i="1"/>
  <c r="BD424" i="1"/>
  <c r="BD357" i="1" l="1"/>
  <c r="BD342" i="1"/>
  <c r="BD350" i="1"/>
  <c r="BD358" i="1" l="1"/>
  <c r="BD345" i="1"/>
  <c r="BD273" i="1" s="1"/>
  <c r="BD291" i="1" l="1"/>
  <c r="BD244" i="1"/>
  <c r="BD278" i="1"/>
  <c r="BD285" i="1" s="1"/>
  <c r="BD290" i="1"/>
  <c r="BD246" i="1" l="1"/>
  <c r="BD252" i="1" s="1"/>
  <c r="BD292" i="1" s="1"/>
  <c r="BD296" i="1"/>
  <c r="BD293" i="1"/>
  <c r="BE26" i="1"/>
  <c r="BD365" i="1" l="1"/>
  <c r="BD299" i="1"/>
  <c r="BD294" i="1"/>
  <c r="BD297" i="1"/>
  <c r="BD295" i="1"/>
  <c r="BD300" i="1"/>
  <c r="BE303" i="1"/>
  <c r="BE302" i="1"/>
  <c r="BE304" i="1"/>
  <c r="BE28" i="1"/>
  <c r="BD397" i="1"/>
  <c r="BD351" i="1"/>
  <c r="BD257" i="1"/>
  <c r="BD247" i="1"/>
  <c r="BD2" i="1"/>
  <c r="BD309" i="1" l="1"/>
  <c r="BD308" i="1"/>
  <c r="BD264" i="1"/>
  <c r="BD286" i="1" s="1"/>
  <c r="BE29" i="1"/>
  <c r="BE30" i="1" s="1"/>
  <c r="BE388" i="1" l="1"/>
  <c r="BE32" i="1"/>
  <c r="BE36" i="1"/>
  <c r="BE34" i="1"/>
  <c r="BE255" i="1"/>
  <c r="BE223" i="1" l="1"/>
  <c r="BE396" i="1"/>
  <c r="BE418" i="1"/>
  <c r="BE387" i="1"/>
  <c r="BE221" i="1"/>
  <c r="BE35" i="1"/>
  <c r="BE1" i="1"/>
  <c r="BE39" i="1"/>
  <c r="BE235" i="1" l="1"/>
  <c r="BE237" i="1" s="1"/>
  <c r="BE281" i="1"/>
  <c r="BE407" i="1"/>
  <c r="BE408" i="1" s="1"/>
  <c r="BE322" i="1"/>
  <c r="BE324" i="1" s="1"/>
  <c r="BE402" i="1"/>
  <c r="BE403" i="1"/>
  <c r="BE422" i="1" l="1"/>
  <c r="BE423" i="1" s="1"/>
  <c r="BE284" i="1"/>
  <c r="BE393" i="1" l="1"/>
  <c r="BE391" i="1"/>
  <c r="BE392" i="1"/>
  <c r="BE327" i="1"/>
  <c r="BE330" i="1" s="1"/>
  <c r="BE332" i="1" s="1"/>
  <c r="BE341" i="1" s="1"/>
  <c r="BE390" i="1"/>
  <c r="BE404" i="1"/>
  <c r="BE405" i="1"/>
  <c r="BF417" i="1"/>
  <c r="BE424" i="1"/>
  <c r="BE357" i="1" l="1"/>
  <c r="BE342" i="1"/>
  <c r="BE350" i="1"/>
  <c r="BE345" i="1" l="1"/>
  <c r="BE273" i="1" s="1"/>
  <c r="BE358" i="1"/>
  <c r="BE291" i="1" l="1"/>
  <c r="BE244" i="1"/>
  <c r="BE278" i="1"/>
  <c r="BE285" i="1" s="1"/>
  <c r="BE290" i="1"/>
  <c r="BE246" i="1" l="1"/>
  <c r="BE252" i="1" s="1"/>
  <c r="BE292" i="1" s="1"/>
  <c r="BE296" i="1"/>
  <c r="BE293" i="1"/>
  <c r="BF26" i="1"/>
  <c r="BE365" i="1" l="1"/>
  <c r="BE295" i="1"/>
  <c r="BE300" i="1"/>
  <c r="BE294" i="1"/>
  <c r="BE299" i="1"/>
  <c r="BE297" i="1"/>
  <c r="BF302" i="1"/>
  <c r="BF303" i="1"/>
  <c r="BF304" i="1"/>
  <c r="BF28" i="1"/>
  <c r="P26" i="1"/>
  <c r="BE397" i="1"/>
  <c r="BE351" i="1"/>
  <c r="BE257" i="1"/>
  <c r="BE247" i="1"/>
  <c r="BE2" i="1"/>
  <c r="P302" i="1" l="1"/>
  <c r="P303" i="1"/>
  <c r="P304" i="1"/>
  <c r="P28" i="1"/>
  <c r="BE308" i="1"/>
  <c r="BE309" i="1"/>
  <c r="BE264" i="1"/>
  <c r="BE286" i="1" s="1"/>
  <c r="BF29" i="1"/>
  <c r="BF30" i="1" s="1"/>
  <c r="P29" i="1" l="1"/>
  <c r="P197" i="1" s="1"/>
  <c r="P399" i="1" s="1"/>
  <c r="BF255" i="1"/>
  <c r="BF388" i="1"/>
  <c r="BF36" i="1"/>
  <c r="BF34" i="1"/>
  <c r="BF32" i="1"/>
  <c r="P30" i="1" l="1"/>
  <c r="BF418" i="1"/>
  <c r="BF387" i="1"/>
  <c r="BF221" i="1"/>
  <c r="BF35" i="1"/>
  <c r="BF1" i="1"/>
  <c r="BF39" i="1"/>
  <c r="BF223" i="1"/>
  <c r="P223" i="1" s="1"/>
  <c r="P255" i="1"/>
  <c r="P396" i="1" s="1"/>
  <c r="BF396" i="1"/>
  <c r="P400" i="1"/>
  <c r="P388" i="1" l="1"/>
  <c r="P32" i="1"/>
  <c r="P34" i="1"/>
  <c r="P36" i="1"/>
  <c r="BF407" i="1"/>
  <c r="BF408" i="1" s="1"/>
  <c r="BF322" i="1"/>
  <c r="BF402" i="1"/>
  <c r="BF403" i="1"/>
  <c r="P407" i="1"/>
  <c r="P408" i="1" s="1"/>
  <c r="P402" i="1"/>
  <c r="P418" i="1"/>
  <c r="P387" i="1"/>
  <c r="P35" i="1"/>
  <c r="P403" i="1"/>
  <c r="BF235" i="1"/>
  <c r="BF237" i="1" s="1"/>
  <c r="P221" i="1"/>
  <c r="P235" i="1" s="1"/>
  <c r="P237" i="1" s="1"/>
  <c r="BF281" i="1"/>
  <c r="P1" i="1"/>
  <c r="P39" i="1"/>
  <c r="BF422" i="1" l="1"/>
  <c r="BF423" i="1" s="1"/>
  <c r="BF284" i="1"/>
  <c r="P281" i="1"/>
  <c r="P422" i="1" s="1"/>
  <c r="P423" i="1" s="1"/>
  <c r="BF324" i="1"/>
  <c r="P322" i="1"/>
  <c r="BF392" i="1" l="1"/>
  <c r="BF391" i="1"/>
  <c r="P391" i="1" s="1"/>
  <c r="BF390" i="1"/>
  <c r="P390" i="1" s="1"/>
  <c r="BF393" i="1"/>
  <c r="BF327" i="1"/>
  <c r="P327" i="1" s="1"/>
  <c r="P284" i="1"/>
  <c r="BF404" i="1"/>
  <c r="BF405" i="1"/>
  <c r="BF330" i="1"/>
  <c r="P324" i="1"/>
  <c r="BF424" i="1"/>
  <c r="BG417" i="1"/>
  <c r="BF332" i="1" l="1"/>
  <c r="P330" i="1"/>
  <c r="Q417" i="1"/>
  <c r="P393" i="1"/>
  <c r="P392" i="1"/>
  <c r="P404" i="1"/>
  <c r="P405" i="1"/>
  <c r="P424" i="1"/>
  <c r="BF341" i="1" l="1"/>
  <c r="P332" i="1"/>
  <c r="BF357" i="1" l="1"/>
  <c r="BF350" i="1"/>
  <c r="P350" i="1" s="1"/>
  <c r="BF342" i="1"/>
  <c r="P341" i="1"/>
  <c r="P357" i="1" s="1"/>
  <c r="BF358" i="1" l="1"/>
  <c r="BF345" i="1"/>
  <c r="BF273" i="1" s="1"/>
  <c r="P342" i="1"/>
  <c r="P358" i="1" s="1"/>
  <c r="BF291" i="1" l="1"/>
  <c r="P273" i="1"/>
  <c r="BF244" i="1"/>
  <c r="BF278" i="1"/>
  <c r="BF285" i="1" s="1"/>
  <c r="BF290" i="1"/>
  <c r="P244" i="1" l="1"/>
  <c r="P246" i="1" s="1"/>
  <c r="BF246" i="1"/>
  <c r="BF252" i="1" s="1"/>
  <c r="BF292" i="1" s="1"/>
  <c r="P345" i="1"/>
  <c r="P291" i="1"/>
  <c r="P278" i="1"/>
  <c r="P285" i="1" s="1"/>
  <c r="P290" i="1"/>
  <c r="BF293" i="1"/>
  <c r="BF296" i="1"/>
  <c r="BG26" i="1"/>
  <c r="BF365" i="1" l="1"/>
  <c r="P365" i="1" s="1"/>
  <c r="BF300" i="1"/>
  <c r="BF297" i="1"/>
  <c r="BF295" i="1"/>
  <c r="BF294" i="1"/>
  <c r="BF299" i="1"/>
  <c r="P296" i="1"/>
  <c r="P293" i="1"/>
  <c r="P196" i="1"/>
  <c r="BG302" i="1"/>
  <c r="BG303" i="1"/>
  <c r="BG304" i="1"/>
  <c r="BG28" i="1"/>
  <c r="BF397" i="1"/>
  <c r="BF351" i="1"/>
  <c r="P351" i="1" s="1"/>
  <c r="BF247" i="1"/>
  <c r="BF257" i="1"/>
  <c r="BF2" i="1"/>
  <c r="P252" i="1"/>
  <c r="P292" i="1" s="1"/>
  <c r="P299" i="1" l="1"/>
  <c r="P297" i="1"/>
  <c r="P300" i="1"/>
  <c r="P294" i="1"/>
  <c r="P295" i="1"/>
  <c r="BF309" i="1"/>
  <c r="BF308" i="1"/>
  <c r="BF264" i="1"/>
  <c r="BF286" i="1" s="1"/>
  <c r="BG29" i="1"/>
  <c r="P397" i="1"/>
  <c r="P257" i="1"/>
  <c r="P247" i="1"/>
  <c r="BG255" i="1" l="1"/>
  <c r="P309" i="1"/>
  <c r="P308" i="1"/>
  <c r="P264" i="1"/>
  <c r="P286" i="1" s="1"/>
  <c r="BG30" i="1"/>
  <c r="BG388" i="1" l="1"/>
  <c r="BG36" i="1"/>
  <c r="BG34" i="1"/>
  <c r="BG32" i="1"/>
  <c r="BG223" i="1"/>
  <c r="BG396" i="1"/>
  <c r="BG1" i="1" l="1"/>
  <c r="BG39" i="1"/>
  <c r="BG407" i="1"/>
  <c r="BG408" i="1" s="1"/>
  <c r="BG322" i="1"/>
  <c r="BG324" i="1" s="1"/>
  <c r="BG402" i="1"/>
  <c r="BG403" i="1"/>
  <c r="BG418" i="1"/>
  <c r="BG387" i="1"/>
  <c r="BG221" i="1"/>
  <c r="BG35" i="1"/>
  <c r="BG235" i="1" l="1"/>
  <c r="BG237" i="1" s="1"/>
  <c r="BG281" i="1"/>
  <c r="BG422" i="1" l="1"/>
  <c r="BG423" i="1" s="1"/>
  <c r="BG284" i="1"/>
  <c r="BG391" i="1" l="1"/>
  <c r="BG393" i="1"/>
  <c r="BG392" i="1"/>
  <c r="BG390" i="1"/>
  <c r="BG327" i="1"/>
  <c r="BG330" i="1" s="1"/>
  <c r="BG332" i="1" s="1"/>
  <c r="BG341" i="1" s="1"/>
  <c r="BG404" i="1"/>
  <c r="BG405" i="1"/>
  <c r="BG424" i="1"/>
  <c r="BH417" i="1"/>
  <c r="BG357" i="1" l="1"/>
  <c r="BG342" i="1"/>
  <c r="BG350" i="1"/>
  <c r="BG345" i="1" l="1"/>
  <c r="BG273" i="1" s="1"/>
  <c r="BG358" i="1"/>
  <c r="BG291" i="1" l="1"/>
  <c r="BG244" i="1"/>
  <c r="BG278" i="1"/>
  <c r="BG285" i="1" s="1"/>
  <c r="BG290" i="1"/>
  <c r="BG246" i="1" l="1"/>
  <c r="BG252" i="1" s="1"/>
  <c r="BG292" i="1" s="1"/>
  <c r="BG293" i="1"/>
  <c r="BG296" i="1"/>
  <c r="BH26" i="1"/>
  <c r="BG365" i="1" l="1"/>
  <c r="BG300" i="1"/>
  <c r="BG299" i="1"/>
  <c r="BG297" i="1"/>
  <c r="BG295" i="1"/>
  <c r="BG294" i="1"/>
  <c r="BH302" i="1"/>
  <c r="BH303" i="1"/>
  <c r="BH28" i="1"/>
  <c r="BH304" i="1"/>
  <c r="BG397" i="1"/>
  <c r="BG351" i="1"/>
  <c r="BG247" i="1"/>
  <c r="BG257" i="1"/>
  <c r="BG2" i="1"/>
  <c r="BG309" i="1" l="1"/>
  <c r="BG308" i="1"/>
  <c r="BG264" i="1"/>
  <c r="BG286" i="1" s="1"/>
  <c r="BH29" i="1"/>
  <c r="BH255" i="1" l="1"/>
  <c r="BH30" i="1"/>
  <c r="BH388" i="1" l="1"/>
  <c r="BH32" i="1"/>
  <c r="BH34" i="1"/>
  <c r="BH36" i="1"/>
  <c r="BH223" i="1"/>
  <c r="BH396" i="1"/>
  <c r="BH407" i="1" l="1"/>
  <c r="BH408" i="1" s="1"/>
  <c r="BH322" i="1"/>
  <c r="BH324" i="1" s="1"/>
  <c r="BH403" i="1"/>
  <c r="BH402" i="1"/>
  <c r="BH1" i="1"/>
  <c r="BH39" i="1"/>
  <c r="BH418" i="1"/>
  <c r="BH387" i="1"/>
  <c r="BH221" i="1"/>
  <c r="BH35" i="1"/>
  <c r="BH235" i="1" l="1"/>
  <c r="BH237" i="1" s="1"/>
  <c r="BH281" i="1"/>
  <c r="BH422" i="1" l="1"/>
  <c r="BH423" i="1" s="1"/>
  <c r="BH284" i="1"/>
  <c r="BH390" i="1" l="1"/>
  <c r="BH392" i="1"/>
  <c r="BH391" i="1"/>
  <c r="BH393" i="1"/>
  <c r="BH327" i="1"/>
  <c r="BH330" i="1" s="1"/>
  <c r="BH332" i="1" s="1"/>
  <c r="BH341" i="1" s="1"/>
  <c r="BH404" i="1"/>
  <c r="BH405" i="1"/>
  <c r="BH424" i="1"/>
  <c r="BI417" i="1"/>
  <c r="BH357" i="1" l="1"/>
  <c r="BH350" i="1"/>
  <c r="BH342" i="1"/>
  <c r="BH358" i="1" l="1"/>
  <c r="BH345" i="1"/>
  <c r="BH273" i="1" s="1"/>
  <c r="BH291" i="1" l="1"/>
  <c r="BH244" i="1"/>
  <c r="BH278" i="1"/>
  <c r="BH285" i="1" s="1"/>
  <c r="BH290" i="1"/>
  <c r="BH246" i="1" l="1"/>
  <c r="BH252" i="1" s="1"/>
  <c r="BH292" i="1" s="1"/>
  <c r="BH296" i="1"/>
  <c r="BH293" i="1"/>
  <c r="BI26" i="1"/>
  <c r="BH365" i="1" l="1"/>
  <c r="BH299" i="1"/>
  <c r="BH294" i="1"/>
  <c r="BH297" i="1"/>
  <c r="BH295" i="1"/>
  <c r="BH300" i="1"/>
  <c r="BI302" i="1"/>
  <c r="BI303" i="1"/>
  <c r="BI304" i="1"/>
  <c r="BI28" i="1"/>
  <c r="BH397" i="1"/>
  <c r="BH351" i="1"/>
  <c r="BH257" i="1"/>
  <c r="BH247" i="1"/>
  <c r="BH2" i="1"/>
  <c r="BI29" i="1" l="1"/>
  <c r="BI30" i="1" s="1"/>
  <c r="BH309" i="1"/>
  <c r="BH308" i="1"/>
  <c r="BH264" i="1"/>
  <c r="BH286" i="1" s="1"/>
  <c r="BI388" i="1" l="1"/>
  <c r="BI32" i="1"/>
  <c r="BI36" i="1"/>
  <c r="BI34" i="1"/>
  <c r="BI255" i="1"/>
  <c r="BI418" i="1" l="1"/>
  <c r="BI387" i="1"/>
  <c r="BI221" i="1"/>
  <c r="BI35" i="1"/>
  <c r="BI223" i="1"/>
  <c r="BI396" i="1"/>
  <c r="BI1" i="1"/>
  <c r="BI39" i="1"/>
  <c r="BI407" i="1" l="1"/>
  <c r="BI408" i="1" s="1"/>
  <c r="BI322" i="1"/>
  <c r="BI324" i="1" s="1"/>
  <c r="BI402" i="1"/>
  <c r="BI403" i="1"/>
  <c r="BI235" i="1"/>
  <c r="BI237" i="1" s="1"/>
  <c r="BI281" i="1"/>
  <c r="BI422" i="1" l="1"/>
  <c r="BI423" i="1" s="1"/>
  <c r="BI284" i="1"/>
  <c r="BI424" i="1" l="1"/>
  <c r="BJ417" i="1"/>
  <c r="BI393" i="1"/>
  <c r="BI391" i="1"/>
  <c r="BI390" i="1"/>
  <c r="BI327" i="1"/>
  <c r="BI330" i="1" s="1"/>
  <c r="BI332" i="1" s="1"/>
  <c r="BI341" i="1" s="1"/>
  <c r="BI392" i="1"/>
  <c r="BI404" i="1"/>
  <c r="BI405" i="1"/>
  <c r="BI357" i="1" l="1"/>
  <c r="BI350" i="1"/>
  <c r="BI342" i="1"/>
  <c r="BI345" i="1" l="1"/>
  <c r="BI273" i="1" s="1"/>
  <c r="BI358" i="1"/>
  <c r="BI291" i="1" l="1"/>
  <c r="BI244" i="1"/>
  <c r="BI278" i="1"/>
  <c r="BI285" i="1" s="1"/>
  <c r="BI290" i="1"/>
  <c r="BI246" i="1" l="1"/>
  <c r="BI252" i="1" s="1"/>
  <c r="BI292" i="1" s="1"/>
  <c r="BI296" i="1"/>
  <c r="BI293" i="1"/>
  <c r="BJ26" i="1"/>
  <c r="BJ303" i="1" l="1"/>
  <c r="BJ302" i="1"/>
  <c r="BJ304" i="1"/>
  <c r="BJ28" i="1"/>
  <c r="Q26" i="1"/>
  <c r="BI397" i="1"/>
  <c r="BI351" i="1"/>
  <c r="BI257" i="1"/>
  <c r="BI247" i="1"/>
  <c r="BI2" i="1"/>
  <c r="BI365" i="1"/>
  <c r="BI297" i="1"/>
  <c r="BI295" i="1"/>
  <c r="BI300" i="1"/>
  <c r="BI294" i="1"/>
  <c r="BI299" i="1"/>
  <c r="BI308" i="1" l="1"/>
  <c r="BI309" i="1"/>
  <c r="BI264" i="1"/>
  <c r="BI286" i="1" s="1"/>
  <c r="BJ29" i="1"/>
  <c r="BJ30" i="1" s="1"/>
  <c r="Q302" i="1"/>
  <c r="Q303" i="1"/>
  <c r="Q304" i="1"/>
  <c r="Q28" i="1"/>
  <c r="BJ388" i="1" l="1"/>
  <c r="BJ36" i="1"/>
  <c r="BJ34" i="1"/>
  <c r="BJ32" i="1"/>
  <c r="Q29" i="1"/>
  <c r="Q197" i="1" s="1"/>
  <c r="Q399" i="1" s="1"/>
  <c r="BJ255" i="1"/>
  <c r="BJ1" i="1" l="1"/>
  <c r="BJ39" i="1"/>
  <c r="BJ223" i="1"/>
  <c r="Q223" i="1" s="1"/>
  <c r="Q255" i="1"/>
  <c r="Q396" i="1" s="1"/>
  <c r="BJ396" i="1"/>
  <c r="Q30" i="1"/>
  <c r="Q400" i="1"/>
  <c r="BJ418" i="1"/>
  <c r="BJ387" i="1"/>
  <c r="BJ221" i="1"/>
  <c r="BJ35" i="1"/>
  <c r="Q407" i="1" l="1"/>
  <c r="Q408" i="1" s="1"/>
  <c r="Q402" i="1"/>
  <c r="BJ235" i="1"/>
  <c r="BJ237" i="1" s="1"/>
  <c r="Q221" i="1"/>
  <c r="Q235" i="1" s="1"/>
  <c r="Q237" i="1" s="1"/>
  <c r="BJ281" i="1"/>
  <c r="Q388" i="1"/>
  <c r="Q36" i="1"/>
  <c r="Q34" i="1"/>
  <c r="Q32" i="1"/>
  <c r="Q403" i="1"/>
  <c r="BJ407" i="1"/>
  <c r="BJ408" i="1" s="1"/>
  <c r="BJ322" i="1"/>
  <c r="BJ403" i="1"/>
  <c r="BJ402" i="1"/>
  <c r="BJ324" i="1" l="1"/>
  <c r="Q322" i="1"/>
  <c r="Q418" i="1"/>
  <c r="Q387" i="1"/>
  <c r="Q35" i="1"/>
  <c r="Q1" i="1"/>
  <c r="Q39" i="1"/>
  <c r="BJ422" i="1"/>
  <c r="BJ423" i="1" s="1"/>
  <c r="Q281" i="1"/>
  <c r="Q422" i="1" s="1"/>
  <c r="BJ284" i="1"/>
  <c r="BJ424" i="1" l="1"/>
  <c r="Q324" i="1"/>
  <c r="BJ392" i="1"/>
  <c r="BJ393" i="1"/>
  <c r="BJ390" i="1"/>
  <c r="Q390" i="1" s="1"/>
  <c r="BJ391" i="1"/>
  <c r="Q391" i="1" s="1"/>
  <c r="BJ327" i="1"/>
  <c r="Q327" i="1" s="1"/>
  <c r="Q284" i="1"/>
  <c r="BJ404" i="1"/>
  <c r="BJ405" i="1"/>
  <c r="Q423" i="1"/>
  <c r="Q392" i="1" l="1"/>
  <c r="Q393" i="1"/>
  <c r="Q404" i="1"/>
  <c r="Q405" i="1"/>
  <c r="Q424" i="1"/>
  <c r="BJ330" i="1"/>
  <c r="BJ332" i="1" l="1"/>
  <c r="Q330" i="1"/>
  <c r="BJ341" i="1" l="1"/>
  <c r="Q332" i="1"/>
  <c r="BJ357" i="1" l="1"/>
  <c r="Q341" i="1"/>
  <c r="Q357" i="1" s="1"/>
  <c r="BJ350" i="1"/>
  <c r="Q350" i="1" s="1"/>
  <c r="BJ342" i="1"/>
  <c r="BJ345" i="1" l="1"/>
  <c r="BJ273" i="1" s="1"/>
  <c r="BJ358" i="1"/>
  <c r="Q342" i="1"/>
  <c r="Q358" i="1" s="1"/>
  <c r="BJ291" i="1" l="1"/>
  <c r="Q273" i="1"/>
  <c r="BJ244" i="1"/>
  <c r="BJ278" i="1"/>
  <c r="BJ285" i="1" s="1"/>
  <c r="BJ290" i="1"/>
  <c r="Q244" i="1" l="1"/>
  <c r="Q246" i="1" s="1"/>
  <c r="BJ246" i="1"/>
  <c r="BJ252" i="1" s="1"/>
  <c r="BJ292" i="1" s="1"/>
  <c r="Q345" i="1"/>
  <c r="Q291" i="1"/>
  <c r="Q278" i="1"/>
  <c r="Q285" i="1" s="1"/>
  <c r="Q290" i="1"/>
  <c r="BJ293" i="1"/>
  <c r="BJ296" i="1"/>
  <c r="BJ365" i="1" l="1"/>
  <c r="Q365" i="1" s="1"/>
  <c r="BJ300" i="1"/>
  <c r="BJ297" i="1"/>
  <c r="BJ295" i="1"/>
  <c r="BJ294" i="1"/>
  <c r="BJ299" i="1"/>
  <c r="Q293" i="1"/>
  <c r="Q296" i="1"/>
  <c r="Q196" i="1"/>
  <c r="BJ397" i="1"/>
  <c r="BJ351" i="1"/>
  <c r="Q351" i="1" s="1"/>
  <c r="BJ257" i="1"/>
  <c r="BJ247" i="1"/>
  <c r="BJ2" i="1"/>
  <c r="Q252" i="1"/>
  <c r="Q397" i="1" l="1"/>
  <c r="Q257" i="1"/>
  <c r="Q247" i="1"/>
  <c r="BJ309" i="1"/>
  <c r="BJ308" i="1"/>
  <c r="BJ264" i="1"/>
  <c r="BJ286" i="1" s="1"/>
  <c r="Q292" i="1"/>
  <c r="Q300" i="1" l="1"/>
  <c r="Q297" i="1"/>
  <c r="Q295" i="1"/>
  <c r="Q294" i="1"/>
  <c r="Q299" i="1"/>
  <c r="Q308" i="1"/>
  <c r="Q309" i="1"/>
  <c r="Q264" i="1"/>
  <c r="Q286" i="1" s="1"/>
</calcChain>
</file>

<file path=xl/comments1.xml><?xml version="1.0" encoding="utf-8"?>
<comments xmlns="http://schemas.openxmlformats.org/spreadsheetml/2006/main">
  <authors>
    <author>Lynagh, Connor J (Research)</author>
  </authors>
  <commentList>
    <comment ref="BA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assumed end of 2Q</t>
        </r>
      </text>
    </comment>
    <comment ref="C17" authorId="0">
      <text>
        <r>
          <rPr>
            <sz val="9"/>
            <color indexed="81"/>
            <rFont val="Tahoma"/>
            <family val="2"/>
          </rPr>
          <t>changed segment reporting structure in 2Q11; segment profit not reported for 2006-07</t>
        </r>
      </text>
    </comment>
    <comment ref="D17" authorId="0">
      <text>
        <r>
          <rPr>
            <sz val="9"/>
            <color indexed="81"/>
            <rFont val="Tahoma"/>
            <family val="2"/>
          </rPr>
          <t>changed segment reporting structure in 2Q11; segment profit not reported for 2006-07</t>
        </r>
      </text>
    </comment>
    <comment ref="C18" authorId="0">
      <text>
        <r>
          <rPr>
            <sz val="9"/>
            <color indexed="81"/>
            <rFont val="Tahoma"/>
            <family val="2"/>
          </rPr>
          <t>changed segment reporting structure in 2Q11; segment profit not reported for 2006-07</t>
        </r>
      </text>
    </comment>
    <comment ref="D18" authorId="0">
      <text>
        <r>
          <rPr>
            <sz val="9"/>
            <color indexed="81"/>
            <rFont val="Tahoma"/>
            <family val="2"/>
          </rPr>
          <t>changed segment reporting structure in 2Q11; segment profit not reported for 2006-07</t>
        </r>
      </text>
    </comment>
    <comment ref="AX2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~$5.5mm was purchase accounting</t>
        </r>
      </text>
    </comment>
    <comment ref="AY2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some startup costs still</t>
        </r>
      </text>
    </comment>
    <comment ref="AG22" authorId="0">
      <text>
        <r>
          <rPr>
            <sz val="9"/>
            <color indexed="81"/>
            <rFont val="Tahoma"/>
            <family val="2"/>
          </rPr>
          <t>$11-12m/q in 2h
adj for refinancing cost</t>
        </r>
      </text>
    </comment>
    <comment ref="AH22" authorId="0">
      <text>
        <r>
          <rPr>
            <sz val="9"/>
            <color indexed="81"/>
            <rFont val="Tahoma"/>
            <family val="2"/>
          </rPr>
          <t>$11-12m/q in 2h
adj for estimated nonrecurring m&amp;a and bus. Dev. expenses</t>
        </r>
      </text>
    </comment>
    <comment ref="AI22" authorId="0">
      <text>
        <r>
          <rPr>
            <sz val="9"/>
            <color indexed="81"/>
            <rFont val="Tahoma"/>
            <family val="2"/>
          </rPr>
          <t>includes ~$2mm in BD/M&amp;A expenses</t>
        </r>
      </text>
    </comment>
    <comment ref="AJ22" authorId="0">
      <text>
        <r>
          <rPr>
            <sz val="9"/>
            <color indexed="81"/>
            <rFont val="Tahoma"/>
            <family val="2"/>
          </rPr>
          <t>includes ~$2mm in BD expenses</t>
        </r>
      </text>
    </comment>
    <comment ref="AK22" authorId="0">
      <text>
        <r>
          <rPr>
            <sz val="9"/>
            <color indexed="81"/>
            <rFont val="Tahoma"/>
            <family val="2"/>
          </rPr>
          <t>includes ~$1.3mm in BD expenses</t>
        </r>
      </text>
    </comment>
    <comment ref="AL22" authorId="0">
      <text>
        <r>
          <rPr>
            <sz val="9"/>
            <color indexed="81"/>
            <rFont val="Tahoma"/>
            <family val="2"/>
          </rPr>
          <t>includes $6.5mm BD expense</t>
        </r>
      </text>
    </comment>
    <comment ref="AM22" authorId="0">
      <text>
        <r>
          <rPr>
            <sz val="9"/>
            <color indexed="81"/>
            <rFont val="Tahoma"/>
            <family val="2"/>
          </rPr>
          <t>assume all restructuring &amp; BD expense here; exclude portion of BD expense attributable to adverse arbitration ruling</t>
        </r>
      </text>
    </comment>
    <comment ref="AN22" authorId="0">
      <text>
        <r>
          <rPr>
            <sz val="9"/>
            <color indexed="81"/>
            <rFont val="Tahoma"/>
            <family val="2"/>
          </rPr>
          <t>assume .02 of restructuring here
SG&amp;A, normalize for stock comp expense</t>
        </r>
      </text>
    </comment>
    <comment ref="AO22" authorId="0">
      <text>
        <r>
          <rPr>
            <sz val="9"/>
            <color indexed="81"/>
            <rFont val="Tahoma"/>
            <family val="2"/>
          </rPr>
          <t>guide to 15-15.5mm
actual excludes 0.5 in restructuring expenses</t>
        </r>
      </text>
    </comment>
    <comment ref="AP22" authorId="0">
      <text>
        <r>
          <rPr>
            <sz val="9"/>
            <color indexed="81"/>
            <rFont val="Tahoma"/>
            <family val="2"/>
          </rPr>
          <t>guide to 13-13.5mm, actual excludes 2.1mm of restructuring costs</t>
        </r>
      </text>
    </comment>
    <comment ref="AQ22" authorId="0">
      <text>
        <r>
          <rPr>
            <sz val="9"/>
            <color indexed="81"/>
            <rFont val="Tahoma"/>
            <family val="2"/>
          </rPr>
          <t>excludes gain on insurance settlement and restructuring costs, net
1.2mm in restructuring</t>
        </r>
      </text>
    </comment>
    <comment ref="AR2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1mm BD and 1.5 equity comp coming back, 15.5 normal</t>
        </r>
      </text>
    </comment>
    <comment ref="AS2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BD expenses, excluding deal fees etc. assume $1mm in "normal" expense</t>
        </r>
      </text>
    </comment>
    <comment ref="AT2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excluding BD expenses, assume $1mm in "normal"</t>
        </r>
      </text>
    </comment>
    <comment ref="BA22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EP minerals appears to have ~$30mm of G&amp;A</t>
        </r>
      </text>
    </comment>
    <comment ref="AG24" authorId="0">
      <text>
        <r>
          <rPr>
            <sz val="9"/>
            <color indexed="81"/>
            <rFont val="Tahoma"/>
            <family val="2"/>
          </rPr>
          <t>9.3m/q in 2h</t>
        </r>
      </text>
    </comment>
    <comment ref="AH24" authorId="0">
      <text>
        <r>
          <rPr>
            <sz val="9"/>
            <color indexed="81"/>
            <rFont val="Tahoma"/>
            <family val="2"/>
          </rPr>
          <t>9.3m/q in 2h</t>
        </r>
      </text>
    </comment>
    <comment ref="AP24" authorId="0">
      <text>
        <r>
          <rPr>
            <sz val="9"/>
            <color indexed="81"/>
            <rFont val="Tahoma"/>
            <family val="2"/>
          </rPr>
          <t>1.1mm in equipment write-offs</t>
        </r>
      </text>
    </comment>
    <comment ref="AT2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20</t>
        </r>
      </text>
    </comment>
    <comment ref="AY2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$33mm</t>
        </r>
      </text>
    </comment>
    <comment ref="B27" authorId="0">
      <text>
        <r>
          <rPr>
            <sz val="9"/>
            <color indexed="81"/>
            <rFont val="Tahoma"/>
            <family val="2"/>
          </rPr>
          <t>mainly OPEB expense and stock comp</t>
        </r>
      </text>
    </comment>
    <comment ref="AD27" authorId="0">
      <text>
        <r>
          <rPr>
            <sz val="9"/>
            <color indexed="81"/>
            <rFont val="Tahoma"/>
            <family val="2"/>
          </rPr>
          <t>backing out $3.7m silicosis insurance settlement</t>
        </r>
      </text>
    </comment>
    <comment ref="AE27" authorId="0">
      <text>
        <r>
          <rPr>
            <sz val="9"/>
            <color indexed="81"/>
            <rFont val="Tahoma"/>
            <family val="2"/>
          </rPr>
          <t>adj for secondary offering expenses</t>
        </r>
      </text>
    </comment>
    <comment ref="AE29" authorId="0">
      <text>
        <r>
          <rPr>
            <sz val="9"/>
            <color indexed="81"/>
            <rFont val="Tahoma"/>
            <family val="2"/>
          </rPr>
          <t>adj for secondary offering expenses</t>
        </r>
      </text>
    </comment>
    <comment ref="AN29" authorId="0">
      <text>
        <r>
          <rPr>
            <sz val="9"/>
            <color indexed="81"/>
            <rFont val="Tahoma"/>
            <family val="2"/>
          </rPr>
          <t>tax benefit of .12/sh due to effective tax rate change</t>
        </r>
      </text>
    </comment>
    <comment ref="AS2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1.8mm tax effect of transaction costs; 2.1mm is a discrete item</t>
        </r>
      </text>
    </comment>
    <comment ref="AX2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excluding deferred tax benefit</t>
        </r>
      </text>
    </comment>
    <comment ref="G31" authorId="0">
      <text>
        <r>
          <rPr>
            <sz val="9"/>
            <color indexed="81"/>
            <rFont val="Tahoma"/>
            <family val="2"/>
          </rPr>
          <t>early extinguishment of debt</t>
        </r>
      </text>
    </comment>
    <comment ref="H31" authorId="0">
      <text>
        <r>
          <rPr>
            <sz val="9"/>
            <color indexed="81"/>
            <rFont val="Tahoma"/>
            <family val="2"/>
          </rPr>
          <t>early extinguishment of debt</t>
        </r>
      </text>
    </comment>
    <comment ref="T31" authorId="0">
      <text>
        <r>
          <rPr>
            <sz val="9"/>
            <color indexed="81"/>
            <rFont val="Tahoma"/>
            <family val="2"/>
          </rPr>
          <t>early extinguishment of debt</t>
        </r>
      </text>
    </comment>
    <comment ref="W31" authorId="0">
      <text>
        <r>
          <rPr>
            <sz val="9"/>
            <color indexed="81"/>
            <rFont val="Tahoma"/>
            <family val="2"/>
          </rPr>
          <t>advisory fee</t>
        </r>
      </text>
    </comment>
    <comment ref="X31" authorId="0">
      <text>
        <r>
          <rPr>
            <sz val="9"/>
            <color indexed="81"/>
            <rFont val="Tahoma"/>
            <family val="2"/>
          </rPr>
          <t>early extinguishment of debt and advisory fee</t>
        </r>
      </text>
    </comment>
    <comment ref="Z31" authorId="0">
      <text>
        <r>
          <rPr>
            <sz val="9"/>
            <color indexed="81"/>
            <rFont val="Tahoma"/>
            <family val="2"/>
          </rPr>
          <t>advisory fees, incl termination of advisory agreement payment</t>
        </r>
      </text>
    </comment>
    <comment ref="AE31" authorId="0">
      <text>
        <r>
          <rPr>
            <sz val="9"/>
            <color indexed="81"/>
            <rFont val="Tahoma"/>
            <family val="2"/>
          </rPr>
          <t>adj for secondary offering expenses</t>
        </r>
      </text>
    </comment>
    <comment ref="AG31" authorId="0">
      <text>
        <r>
          <rPr>
            <sz val="9"/>
            <color indexed="81"/>
            <rFont val="Tahoma"/>
            <family val="2"/>
          </rPr>
          <t>refinancing cost</t>
        </r>
      </text>
    </comment>
    <comment ref="AH31" authorId="0">
      <text>
        <r>
          <rPr>
            <sz val="9"/>
            <color indexed="81"/>
            <rFont val="Tahoma"/>
            <family val="2"/>
          </rPr>
          <t>est. non recurring m&amp;a and bus. Dev. expenses</t>
        </r>
      </text>
    </comment>
    <comment ref="AM31" authorId="0">
      <text>
        <r>
          <rPr>
            <sz val="9"/>
            <color indexed="81"/>
            <rFont val="Tahoma"/>
            <family val="2"/>
          </rPr>
          <t>$0.13 per share</t>
        </r>
      </text>
    </comment>
    <comment ref="I43" authorId="0">
      <text>
        <r>
          <rPr>
            <sz val="9"/>
            <color indexed="81"/>
            <rFont val="Tahoma"/>
            <family val="2"/>
          </rPr>
          <t>capacity will be 3.1m tons, up from 1.9m tons with 1100k ton from Ottawa expansion and 200k+ tons from Rockwood MI plant, though only assuming 100k tons -- don't want to sell the full 200k tons because would unbalance the sales mix vs production mix, driving up cost / hurting how much they can sell out of what they bring from the ground</t>
        </r>
      </text>
    </comment>
    <comment ref="J43" authorId="0">
      <text>
        <r>
          <rPr>
            <sz val="9"/>
            <color indexed="81"/>
            <rFont val="Tahoma"/>
            <family val="2"/>
          </rPr>
          <t>targeting another plant in WI/Minn, completion by YE 2013 but evidently no impact in 2013</t>
        </r>
      </text>
    </comment>
    <comment ref="K43" authorId="0">
      <text>
        <r>
          <rPr>
            <sz val="9"/>
            <color indexed="81"/>
            <rFont val="Tahoma"/>
            <family val="2"/>
          </rPr>
          <t xml:space="preserve"> 4.6 mm tons run rate with Sparta 2</t>
        </r>
      </text>
    </comment>
    <comment ref="L43" authorId="0">
      <text>
        <r>
          <rPr>
            <sz val="9"/>
            <color indexed="81"/>
            <rFont val="Tahoma"/>
            <family val="2"/>
          </rPr>
          <t>currently on track to be at 6m on the year</t>
        </r>
      </text>
    </comment>
    <comment ref="AC46" authorId="0">
      <text>
        <r>
          <rPr>
            <sz val="9"/>
            <color indexed="81"/>
            <rFont val="Tahoma"/>
            <family val="2"/>
          </rPr>
          <t xml:space="preserve"> dryer out, 100 mesh impact, some pricing. Assuming ~$0.80/shr from pricing, $2 from dryer, $1.30 from 100 mesh</t>
        </r>
      </text>
    </comment>
    <comment ref="AD46" authorId="0">
      <text>
        <r>
          <rPr>
            <sz val="9"/>
            <color indexed="81"/>
            <rFont val="Tahoma"/>
            <family val="2"/>
          </rPr>
          <t>100 mesh vols out boosts  contr margin, spot pricing takes out $0.50/ton</t>
        </r>
      </text>
    </comment>
    <comment ref="L49" authorId="0">
      <text>
        <r>
          <rPr>
            <sz val="9"/>
            <color indexed="81"/>
            <rFont val="Tahoma"/>
            <family val="2"/>
          </rPr>
          <t>per SLCA, would be down 20% in a no-recovery scenario in 2015 - we model a setp up in 4Q</t>
        </r>
      </text>
    </comment>
    <comment ref="AW6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~10% uplift in capital cost and returns</t>
        </r>
      </text>
    </comment>
    <comment ref="AW7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~10% uplift in capital cost and returns</t>
        </r>
      </text>
    </comment>
    <comment ref="AX70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taking down expectations somewhat; could be $1.2-$1.5mm</t>
        </r>
      </text>
    </comment>
    <comment ref="AV7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45 as of call, moving to 55</t>
        </r>
      </text>
    </comment>
    <comment ref="BC12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near-term contracted amount is sustainable run-rate</t>
        </r>
      </text>
    </comment>
    <comment ref="AX13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1.1</t>
        </r>
      </text>
    </comment>
    <comment ref="AY13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1.1</t>
        </r>
      </text>
    </comment>
    <comment ref="AX13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acquired, impact 4Q slightly; expanding to 1.6</t>
        </r>
      </text>
    </comment>
    <comment ref="BA13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expanding to 1.6, assume 2Q18</t>
        </r>
      </text>
    </comment>
    <comment ref="AX13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initial production by Dec., not modeling any major contribution in 4Q</t>
        </r>
      </text>
    </comment>
    <comment ref="AY13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initial production in early 2018, fully ramped by 4Q</t>
        </r>
      </text>
    </comment>
    <comment ref="AZ13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initial production in early 2018, fully ramped by 4Q</t>
        </r>
      </text>
    </comment>
    <comment ref="BA13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initial production in early 2018, fully ramped by 4Q</t>
        </r>
      </text>
    </comment>
    <comment ref="AX13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1.2mm tpy expansion</t>
        </r>
      </text>
    </comment>
    <comment ref="AY13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1.2mm tpy expansion</t>
        </r>
      </text>
    </comment>
    <comment ref="AZ13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initial production in March, not modeling a major contribution in 1Q, assume  a 2Q ramp</t>
        </r>
      </text>
    </comment>
    <comment ref="BA13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initial production in March, not modeling a major contribution in 1Q, assume  a 2Q ramp</t>
        </r>
      </text>
    </comment>
    <comment ref="AY13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400k expansion</t>
        </r>
      </text>
    </comment>
    <comment ref="AZ13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400k expansion</t>
        </r>
      </text>
    </comment>
    <comment ref="AK143" authorId="0">
      <text>
        <r>
          <rPr>
            <sz val="9"/>
            <color indexed="81"/>
            <rFont val="Tahoma"/>
            <family val="2"/>
          </rPr>
          <t>addition of Utica, Cadre</t>
        </r>
      </text>
    </comment>
    <comment ref="AQ14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shifting more industrial volumes to O&amp;G</t>
        </r>
      </text>
    </comment>
    <comment ref="AR14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probably 2.2 out of new mine</t>
        </r>
      </text>
    </comment>
    <comment ref="AS143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probably 2.2 out of new mine</t>
        </r>
      </text>
    </comment>
    <comment ref="B14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Annualized</t>
        </r>
      </text>
    </comment>
    <comment ref="B164" authorId="0">
      <text>
        <r>
          <rPr>
            <sz val="9"/>
            <color indexed="81"/>
            <rFont val="Tahoma"/>
            <family val="2"/>
          </rPr>
          <t xml:space="preserve"> continued margin expansion; targeting $10+ mm in add'l EBITDA by 2015</t>
        </r>
      </text>
    </comment>
    <comment ref="AX19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$25mm in 4Q</t>
        </r>
      </text>
    </comment>
    <comment ref="AY19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~$33mm</t>
        </r>
      </text>
    </comment>
    <comment ref="J197" authorId="0">
      <text>
        <r>
          <rPr>
            <sz val="9"/>
            <color indexed="81"/>
            <rFont val="Tahoma"/>
            <family val="2"/>
          </rPr>
          <t xml:space="preserve"> 27-29%
Aug 13: 27-28%</t>
        </r>
      </text>
    </comment>
    <comment ref="K197" authorId="0">
      <text>
        <r>
          <rPr>
            <sz val="9"/>
            <color indexed="81"/>
            <rFont val="Tahoma"/>
            <family val="2"/>
          </rPr>
          <t xml:space="preserve"> 25%
apr: 25%</t>
        </r>
      </text>
    </comment>
    <comment ref="L197" authorId="0">
      <text>
        <r>
          <rPr>
            <sz val="9"/>
            <color indexed="81"/>
            <rFont val="Tahoma"/>
            <family val="2"/>
          </rPr>
          <t xml:space="preserve"> 25 for 2015</t>
        </r>
      </text>
    </comment>
    <comment ref="AD197" authorId="0">
      <text>
        <r>
          <rPr>
            <sz val="9"/>
            <color indexed="81"/>
            <rFont val="Tahoma"/>
            <family val="2"/>
          </rPr>
          <t xml:space="preserve"> might see a little more, but negligible, true up in 4q</t>
        </r>
      </text>
    </comment>
    <comment ref="AY19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18-20%</t>
        </r>
      </text>
    </comment>
    <comment ref="J200" authorId="0">
      <text>
        <r>
          <rPr>
            <sz val="9"/>
            <color indexed="81"/>
            <rFont val="Tahoma"/>
            <family val="2"/>
          </rPr>
          <t xml:space="preserve"> growth projects add $40m ebitda exit 2013</t>
        </r>
      </text>
    </comment>
    <comment ref="K200" authorId="0">
      <text>
        <r>
          <rPr>
            <sz val="9"/>
            <color indexed="81"/>
            <rFont val="Tahoma"/>
            <family val="2"/>
          </rPr>
          <t xml:space="preserve"> can add ~$50-60mm in EBITDA by 2014 vs 2012 from Sparta Phase I and RCS Phase I
Sept 12: $50-60m ebitda contribution from Sparta 1 and RCS 1, exiting at $65m run rate
april 14: guiding upper end of 180-200 range</t>
        </r>
      </text>
    </comment>
    <comment ref="I201" authorId="0">
      <text>
        <r>
          <rPr>
            <sz val="9"/>
            <color indexed="81"/>
            <rFont val="Tahoma"/>
            <family val="2"/>
          </rPr>
          <t xml:space="preserve"> 140-150
May 2012: 142-150
Jul 2012: 142-150, but lower end of range</t>
        </r>
      </text>
    </comment>
    <comment ref="J201" authorId="0">
      <text>
        <r>
          <rPr>
            <sz val="9"/>
            <color indexed="81"/>
            <rFont val="Tahoma"/>
            <family val="2"/>
          </rPr>
          <t xml:space="preserve"> Adj EBITDA of $165-175m
Apr13: adj ebitda 165-175
Aug 13: adj ebitda 165-175</t>
        </r>
      </text>
    </comment>
    <comment ref="K201" authorId="0">
      <text>
        <r>
          <rPr>
            <sz val="9"/>
            <color indexed="81"/>
            <rFont val="Tahoma"/>
            <family val="2"/>
          </rPr>
          <t>230-240, modeling a beat</t>
        </r>
      </text>
    </comment>
    <comment ref="AA201" authorId="0">
      <text>
        <r>
          <rPr>
            <sz val="9"/>
            <color indexed="81"/>
            <rFont val="Tahoma"/>
            <family val="2"/>
          </rPr>
          <t xml:space="preserve"> 34-36</t>
        </r>
      </text>
    </comment>
    <comment ref="AB201" authorId="0">
      <text>
        <r>
          <rPr>
            <sz val="9"/>
            <color indexed="81"/>
            <rFont val="Tahoma"/>
            <family val="2"/>
          </rPr>
          <t xml:space="preserve"> 72-75 for 1H, so 35-38 for 2Q</t>
        </r>
      </text>
    </comment>
    <comment ref="AC201" authorId="0">
      <text>
        <r>
          <rPr>
            <sz val="9"/>
            <color indexed="81"/>
            <rFont val="Tahoma"/>
            <family val="2"/>
          </rPr>
          <t xml:space="preserve"> 33-37</t>
        </r>
      </text>
    </comment>
    <comment ref="AD201" authorId="0">
      <text>
        <r>
          <rPr>
            <sz val="9"/>
            <color indexed="81"/>
            <rFont val="Tahoma"/>
            <family val="2"/>
          </rPr>
          <t xml:space="preserve"> 2H guideded at 68-76, less 3Q at 33-37, gets to ~35-38 in 4Q
3q12: FY 144-148, so 4q12 at 32.4-36.4</t>
        </r>
      </text>
    </comment>
    <comment ref="AE201" authorId="0">
      <text>
        <r>
          <rPr>
            <sz val="9"/>
            <color indexed="81"/>
            <rFont val="Tahoma"/>
            <family val="2"/>
          </rPr>
          <t xml:space="preserve"> 36-39</t>
        </r>
      </text>
    </comment>
    <comment ref="AF201" authorId="0">
      <text>
        <r>
          <rPr>
            <sz val="9"/>
            <color indexed="81"/>
            <rFont val="Tahoma"/>
            <family val="2"/>
          </rPr>
          <t xml:space="preserve"> 39-42</t>
        </r>
      </text>
    </comment>
    <comment ref="AG201" authorId="0">
      <text>
        <r>
          <rPr>
            <sz val="9"/>
            <color indexed="81"/>
            <rFont val="Tahoma"/>
            <family val="2"/>
          </rPr>
          <t>mid point of 170 for FY guidance implies $45 per quarter in 2H</t>
        </r>
      </text>
    </comment>
    <comment ref="AH201" authorId="0">
      <text>
        <r>
          <rPr>
            <sz val="9"/>
            <color indexed="81"/>
            <rFont val="Tahoma"/>
            <family val="2"/>
          </rPr>
          <t>mid point of 170 for FY guidance implies $45 per quarter in 2H
3q: reiterated 165-175</t>
        </r>
      </text>
    </comment>
    <comment ref="AU20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implied by near-term guidance: $50mm capex less $25mm for sandbox so ~$6mm/Q maintenance</t>
        </r>
      </text>
    </comment>
    <comment ref="BA20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adding $5mm/yr for EP minerals</t>
        </r>
      </text>
    </comment>
    <comment ref="B20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newbuild at $30/ton - most likely not going to be white sand</t>
        </r>
      </text>
    </comment>
    <comment ref="BB20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$50/ton for new capacity</t>
        </r>
      </text>
    </comment>
    <comment ref="B20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newbuild at $1.2mm/crew, based in initial guidance for $25mm for 20 new crews</t>
        </r>
      </text>
    </comment>
    <comment ref="AV20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increasing content per crew, now more like $1.3mm cost per crew</t>
        </r>
      </text>
    </comment>
    <comment ref="AX20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moving even higher, more like $1.8mm</t>
        </r>
      </text>
    </comment>
    <comment ref="AY20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plus some extra to bring old crews up to newer size</t>
        </r>
      </text>
    </comment>
    <comment ref="AY21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est - targeting all in mine growth capex of ~$170mm</t>
        </r>
      </text>
    </comment>
    <comment ref="AX21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$375 for full-year</t>
        </r>
      </text>
    </comment>
    <comment ref="AM235" authorId="0">
      <text>
        <r>
          <rPr>
            <sz val="9"/>
            <color indexed="81"/>
            <rFont val="Tahoma"/>
            <family val="2"/>
          </rPr>
          <t>conversation</t>
        </r>
      </text>
    </comment>
    <comment ref="H236" authorId="0">
      <text>
        <r>
          <rPr>
            <sz val="9"/>
            <color indexed="81"/>
            <rFont val="Tahoma"/>
            <family val="2"/>
          </rPr>
          <t>51.9m per mgmt guidance; 40.5 growth, 11.4 maint</t>
        </r>
      </text>
    </comment>
    <comment ref="I236" authorId="0">
      <text>
        <r>
          <rPr>
            <sz val="9"/>
            <color indexed="81"/>
            <rFont val="Tahoma"/>
            <family val="2"/>
          </rPr>
          <t>78.8 per mgmt guidance, 67.5m growth, 11.3m maint
Mar 2012: $70-95m
May 2012: 100-115m
Jul 2012: 90-110m
3q12: 98-108m</t>
        </r>
      </text>
    </comment>
    <comment ref="J236" authorId="0">
      <text>
        <r>
          <rPr>
            <sz val="9"/>
            <color indexed="81"/>
            <rFont val="Tahoma"/>
            <family val="2"/>
          </rPr>
          <t xml:space="preserve"> 
15 maint capex. 
Expected ~10m growth capex ex Sparta
Sparta going to cost $50-60m, with 2012 capex guidance increased by ~25m, so assuming remainder in 2013
Feb 13: $50-$60m
Apr13: 50-60
Aug 13: 60-70, adding another facility for 1Q14 online in Utica, Illinois</t>
        </r>
      </text>
    </comment>
    <comment ref="K236" authorId="0">
      <text>
        <r>
          <rPr>
            <sz val="9"/>
            <color indexed="81"/>
            <rFont val="Tahoma"/>
            <family val="2"/>
          </rPr>
          <t xml:space="preserve"> 75-85
apr: 80mm
aug: 95-105</t>
        </r>
      </text>
    </comment>
    <comment ref="L236" authorId="0">
      <text>
        <r>
          <rPr>
            <sz val="9"/>
            <color indexed="81"/>
            <rFont val="Tahoma"/>
            <family val="2"/>
          </rPr>
          <t>50-55mm for the year</t>
        </r>
      </text>
    </comment>
    <comment ref="AN236" authorId="0">
      <text>
        <r>
          <rPr>
            <sz val="9"/>
            <color indexed="81"/>
            <rFont val="Tahoma"/>
            <family val="2"/>
          </rPr>
          <t>60-80 for the year</t>
        </r>
      </text>
    </comment>
    <comment ref="AY236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~$150</t>
        </r>
      </text>
    </comment>
    <comment ref="AK238" authorId="0">
      <text>
        <r>
          <rPr>
            <sz val="9"/>
            <color indexed="81"/>
            <rFont val="Tahoma"/>
            <family val="2"/>
          </rPr>
          <t>Cadre acquisition</t>
        </r>
      </text>
    </comment>
    <comment ref="AN238" authorId="0">
      <text>
        <r>
          <rPr>
            <sz val="9"/>
            <color indexed="81"/>
            <rFont val="Tahoma"/>
            <family val="2"/>
          </rPr>
          <t>maturities of long-term inv. excluded because accounted for as a cash equiv.</t>
        </r>
      </text>
    </comment>
    <comment ref="AR23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excludes maturities of ST investments as these are included in cash &amp; equiv. on balance sheet</t>
        </r>
      </text>
    </comment>
    <comment ref="AS23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cash portion of NBR and sandbox deals</t>
        </r>
      </text>
    </comment>
    <comment ref="AW23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MS sand</t>
        </r>
      </text>
    </comment>
    <comment ref="AZ23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EP minerals</t>
        </r>
      </text>
    </comment>
    <comment ref="AY239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transload sales</t>
        </r>
      </text>
    </comment>
    <comment ref="AT241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net proceeds from stock offering</t>
        </r>
      </text>
    </comment>
    <comment ref="AK243" authorId="0">
      <text>
        <r>
          <rPr>
            <sz val="9"/>
            <color indexed="81"/>
            <rFont val="Tahoma"/>
            <family val="2"/>
          </rPr>
          <t>advance from customer</t>
        </r>
      </text>
    </comment>
    <comment ref="AA244" authorId="0">
      <text>
        <r>
          <rPr>
            <sz val="9"/>
            <color indexed="81"/>
            <rFont val="Tahoma"/>
            <family val="2"/>
          </rPr>
          <t>the $15m note to parent is a loan from Golden Gate, doesn't need to be repaid post IPO</t>
        </r>
      </text>
    </comment>
    <comment ref="AG244" authorId="0">
      <text>
        <r>
          <rPr>
            <sz val="9"/>
            <color indexed="81"/>
            <rFont val="Tahoma"/>
            <family val="2"/>
          </rPr>
          <t>refinanced on july 23 prior facility, replaced with $375m facility and $50m revolver</t>
        </r>
      </text>
    </comment>
    <comment ref="AY25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transload sale</t>
        </r>
      </text>
    </comment>
    <comment ref="AZ25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60% of EP minerals acquisition is PP&amp;E, 40% goodwill</t>
        </r>
      </text>
    </comment>
    <comment ref="AY27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assume $5mm/Q recognized from prepayment contracts</t>
        </r>
      </text>
    </comment>
    <comment ref="Y292" authorId="0">
      <text>
        <r>
          <rPr>
            <sz val="9"/>
            <color indexed="81"/>
            <rFont val="Tahoma"/>
            <family val="2"/>
          </rPr>
          <t>pro forma for transaction, net debt would be $150m, as $34.5m increase to cash and lose $15m parent note. Showing actual historicals in model</t>
        </r>
      </text>
    </comment>
    <comment ref="AA292" authorId="0">
      <text>
        <r>
          <rPr>
            <sz val="9"/>
            <color indexed="81"/>
            <rFont val="Tahoma"/>
            <family val="2"/>
          </rPr>
          <t>this net debt number is now adjusted for i) equity issuance and ii) cancellation of parent note</t>
        </r>
      </text>
    </comment>
    <comment ref="B323" authorId="0">
      <text>
        <r>
          <rPr>
            <sz val="9"/>
            <color indexed="81"/>
            <rFont val="Tahoma"/>
            <family val="2"/>
          </rPr>
          <t>=actual cash in historicals</t>
        </r>
      </text>
    </comment>
    <comment ref="AQ335" authorId="0">
      <text>
        <r>
          <rPr>
            <sz val="9"/>
            <color indexed="81"/>
            <rFont val="Tahoma"/>
            <family val="2"/>
          </rPr>
          <t>5.1mm amortization per year</t>
        </r>
      </text>
    </comment>
    <comment ref="AZ335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refinanced as part of transaction</t>
        </r>
      </text>
    </comment>
    <comment ref="AZ34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refinanced w/ EP minerals transaction</t>
        </r>
      </text>
    </comment>
    <comment ref="B368" authorId="0">
      <text>
        <r>
          <rPr>
            <sz val="9"/>
            <color indexed="81"/>
            <rFont val="Tahoma"/>
            <family val="2"/>
          </rPr>
          <t>transloads</t>
        </r>
      </text>
    </comment>
    <comment ref="AQ36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est.</t>
        </r>
      </text>
    </comment>
    <comment ref="AR368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est.</t>
        </r>
      </text>
    </comment>
    <comment ref="AS37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targeting ~$5mm in add'l D&amp;A from NBR, assume another $5mm for sandbox</t>
        </r>
      </text>
    </comment>
    <comment ref="AT377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~$20mm guidance</t>
        </r>
      </text>
    </comment>
    <comment ref="AS38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$90mm of deal value for NBR plus 4.2mm for Sandbox</t>
        </r>
      </text>
    </comment>
    <comment ref="AT384" authorId="0">
      <text>
        <r>
          <rPr>
            <b/>
            <sz val="9"/>
            <color indexed="81"/>
            <rFont val="Tahoma"/>
            <family val="2"/>
          </rPr>
          <t>Lynagh, Connor J (Research):</t>
        </r>
        <r>
          <rPr>
            <sz val="9"/>
            <color indexed="81"/>
            <rFont val="Tahoma"/>
            <family val="2"/>
          </rPr>
          <t xml:space="preserve">
greenshoe exercised, total 10.35mm shares</t>
        </r>
      </text>
    </comment>
  </commentList>
</comments>
</file>

<file path=xl/sharedStrings.xml><?xml version="1.0" encoding="utf-8"?>
<sst xmlns="http://schemas.openxmlformats.org/spreadsheetml/2006/main" count="1043" uniqueCount="852">
  <si>
    <t>Total Liabilities</t>
  </si>
  <si>
    <t>Income Statement</t>
  </si>
  <si>
    <t>($ in Millions)</t>
  </si>
  <si>
    <t>SG&amp;A</t>
  </si>
  <si>
    <t>DD&amp;A</t>
  </si>
  <si>
    <t>EBT</t>
  </si>
  <si>
    <t>EBIT</t>
  </si>
  <si>
    <t>Interest Expense</t>
  </si>
  <si>
    <t>Income Taxes</t>
  </si>
  <si>
    <t>Net Income (Operating)</t>
  </si>
  <si>
    <t>One Time Charges</t>
  </si>
  <si>
    <t>Net Income (GAAP)</t>
  </si>
  <si>
    <t>EPS (Operating)</t>
  </si>
  <si>
    <t>EPS (GAAP)</t>
  </si>
  <si>
    <t>CEPS (Operating)</t>
  </si>
  <si>
    <t>Diluted Shares Outstanding</t>
  </si>
  <si>
    <t>Dividend per Share</t>
  </si>
  <si>
    <t>Oil &amp; Gas Proppants</t>
  </si>
  <si>
    <t>Industrial &amp; Specialty Products</t>
  </si>
  <si>
    <t>Total Revenue</t>
  </si>
  <si>
    <t>Revenue:</t>
  </si>
  <si>
    <t>SG&amp;A % of Revenue</t>
  </si>
  <si>
    <t>1Q10</t>
  </si>
  <si>
    <t>2Q10</t>
  </si>
  <si>
    <t>3Q10</t>
  </si>
  <si>
    <t>4Q10</t>
  </si>
  <si>
    <t>1Q11</t>
  </si>
  <si>
    <t>2Q11</t>
  </si>
  <si>
    <t>3Q11</t>
  </si>
  <si>
    <t>x</t>
  </si>
  <si>
    <t>Sequential Growth</t>
  </si>
  <si>
    <t>Average Realized Price per Ton ($)</t>
  </si>
  <si>
    <t>Average Production Cost per Ton ($)</t>
  </si>
  <si>
    <t>US Land Rig Count</t>
  </si>
  <si>
    <t>US Horizontal Rig Count</t>
  </si>
  <si>
    <t>Tons Sold per Rig</t>
  </si>
  <si>
    <t>Tons Sold per Horizontal Rig</t>
  </si>
  <si>
    <t>Tons Sold (000s)</t>
  </si>
  <si>
    <t>EBITDA</t>
  </si>
  <si>
    <t>YoY Growth</t>
  </si>
  <si>
    <t>Cash Flow Statement</t>
  </si>
  <si>
    <t>Operating Cash Flow</t>
  </si>
  <si>
    <t>Deferred Taxes</t>
  </si>
  <si>
    <t>Stock Compensation Expense</t>
  </si>
  <si>
    <t>Δ in Operating Assets/Liabilities:</t>
  </si>
  <si>
    <t>Δ in Receivables</t>
  </si>
  <si>
    <t>Δ in Inventories</t>
  </si>
  <si>
    <t>Other</t>
  </si>
  <si>
    <t>Cash from Operations (CFO)</t>
  </si>
  <si>
    <t>Capital Expenditures</t>
  </si>
  <si>
    <t>Free Cash Flow</t>
  </si>
  <si>
    <t>Acquisitions &amp; Investments</t>
  </si>
  <si>
    <t>Asset Disposals</t>
  </si>
  <si>
    <t>Dividends</t>
  </si>
  <si>
    <t>Equity Issues / Options Activity</t>
  </si>
  <si>
    <t>Purchase of Treasury Shares</t>
  </si>
  <si>
    <t>Net Change in Debt</t>
  </si>
  <si>
    <t>Increase (Decrease) in Cash</t>
  </si>
  <si>
    <t>Index: BOP</t>
  </si>
  <si>
    <t>Index: EOP</t>
  </si>
  <si>
    <t>Deferred Revenues</t>
  </si>
  <si>
    <t>Δ in Prepaid Expenses / Other Current Assets</t>
  </si>
  <si>
    <t>Δ in Income Taxes</t>
  </si>
  <si>
    <t>Δ in Accounts Payable &amp; Accrued Liabilities</t>
  </si>
  <si>
    <t>Balance Sheet</t>
  </si>
  <si>
    <t>Assets:</t>
  </si>
  <si>
    <t>Cash &amp; Equivalents</t>
  </si>
  <si>
    <t>Inventory</t>
  </si>
  <si>
    <t>Deferred Income Taxes</t>
  </si>
  <si>
    <t>Total Current Assets</t>
  </si>
  <si>
    <t>Gross PP&amp;E</t>
  </si>
  <si>
    <t>Accumulated Depreciation</t>
  </si>
  <si>
    <t>Net PP&amp;E</t>
  </si>
  <si>
    <t>Goodwill</t>
  </si>
  <si>
    <t>Intangible Assets</t>
  </si>
  <si>
    <t>Total Assets</t>
  </si>
  <si>
    <t>Liabilities &amp; Equity:</t>
  </si>
  <si>
    <t>Accounts Payable</t>
  </si>
  <si>
    <t>Accrued Liabilities</t>
  </si>
  <si>
    <t>Other Current Liabilities</t>
  </si>
  <si>
    <t>Total Current Liabilities</t>
  </si>
  <si>
    <t>LT Debt</t>
  </si>
  <si>
    <t>Common Stock</t>
  </si>
  <si>
    <t>Additional Paid in Capital</t>
  </si>
  <si>
    <t>Retained Earnings</t>
  </si>
  <si>
    <t>Accum. Other Comprehensive</t>
  </si>
  <si>
    <t>Shareholders' Equity</t>
  </si>
  <si>
    <t>Total Liabilities &amp; Equity</t>
  </si>
  <si>
    <t>Receivables</t>
  </si>
  <si>
    <t>Prepaid Expenses / Other Current Assets</t>
  </si>
  <si>
    <t>Book Overdraft</t>
  </si>
  <si>
    <t>Deferred Revenue</t>
  </si>
  <si>
    <t>Pension/Post Retirement Benefits Liability</t>
  </si>
  <si>
    <t>Supporting Schedules</t>
  </si>
  <si>
    <t>Total Capital</t>
  </si>
  <si>
    <t>Total Debt</t>
  </si>
  <si>
    <t>Net Debt</t>
  </si>
  <si>
    <t>Book Value</t>
  </si>
  <si>
    <t>Tangible Book Value</t>
  </si>
  <si>
    <t>Working Capital Management:</t>
  </si>
  <si>
    <t>Current Ratio</t>
  </si>
  <si>
    <t>Receivables Turnover (times)</t>
  </si>
  <si>
    <t>Receivables Days (DSO)</t>
  </si>
  <si>
    <t>Inventory Turnover (times)</t>
  </si>
  <si>
    <t>Days of  Inventory on Hand</t>
  </si>
  <si>
    <t>Payables Days</t>
  </si>
  <si>
    <t>Cash Conversion Cycle (Days)</t>
  </si>
  <si>
    <t>Other Current Assets as a % of Rev</t>
  </si>
  <si>
    <t>Other Current Liabilities as a % of Rev</t>
  </si>
  <si>
    <t>Accrued liabilities as a % of Rev</t>
  </si>
  <si>
    <t>Depreciation &amp; Capex:</t>
  </si>
  <si>
    <t>Depreciation &amp; Amortization</t>
  </si>
  <si>
    <t>Capex / Depreciation</t>
  </si>
  <si>
    <t>Avg. Asset Life (Years)</t>
  </si>
  <si>
    <t>Average Asset Age (Years)</t>
  </si>
  <si>
    <t>Remaining Useful Life (Years)</t>
  </si>
  <si>
    <t>Miscellaneous</t>
  </si>
  <si>
    <t>Basic Shares Outstanding</t>
  </si>
  <si>
    <t>Common Shares at Period End</t>
  </si>
  <si>
    <t>Δ in Other Current Liabilities, Net</t>
  </si>
  <si>
    <t>EBITDA / Interest Expense</t>
  </si>
  <si>
    <t>(EBITDA-Capex) / Interest Expense</t>
  </si>
  <si>
    <t>Oil &amp; Gas Segment</t>
  </si>
  <si>
    <t>Industrial &amp; Specialty Products Segment</t>
  </si>
  <si>
    <t>COGS</t>
  </si>
  <si>
    <t>Gross Margin</t>
  </si>
  <si>
    <t>Other Income</t>
  </si>
  <si>
    <t>Current Portion LTD</t>
  </si>
  <si>
    <t>EBITDA Margin</t>
  </si>
  <si>
    <t>USD</t>
  </si>
  <si>
    <t>SLCA.N</t>
  </si>
  <si>
    <t>U.S. Silica Holdings, Inc.</t>
  </si>
  <si>
    <t>Year</t>
  </si>
  <si>
    <t>Statutory Tax Rate</t>
  </si>
  <si>
    <t>Unrecorded Goodwill from Poolings</t>
  </si>
  <si>
    <t>Changes in Shareholders' Equity</t>
  </si>
  <si>
    <t>Shareholders' Equity (Beg.)</t>
  </si>
  <si>
    <t>Net Income</t>
  </si>
  <si>
    <t>Dividends Declared</t>
  </si>
  <si>
    <t>Net share issuance</t>
  </si>
  <si>
    <t>AOCI</t>
  </si>
  <si>
    <t>Change in AOCI</t>
  </si>
  <si>
    <t>Shareholders' Equity (End)</t>
  </si>
  <si>
    <t>False,mscalc:netInterestCover,2007FY</t>
  </si>
  <si>
    <t>NA</t>
  </si>
  <si>
    <t>False,mscalc:dividendYield,2008FY</t>
  </si>
  <si>
    <t>False,mscalc:priceToFreeCashFlowFcffyperShare,2009FY</t>
  </si>
  <si>
    <t>False,mscalc:region</t>
  </si>
  <si>
    <t>False,mscalc:evpretaxOperatingProfitPtop,2007FY</t>
  </si>
  <si>
    <t>False,mscalc:nopatExcludingAdjustments2,2007FY</t>
  </si>
  <si>
    <t>False,mscalc:evToEbitda,2009FY</t>
  </si>
  <si>
    <t>False,mscalc:enterpriseValueAsif,2008FY</t>
  </si>
  <si>
    <t>False,mscalc:evpretaxOperatingProfitPtop,2008FY</t>
  </si>
  <si>
    <t>False,mscalc:priceToEarningsBeforeOperatingLeaseAdjustments,2007FY</t>
  </si>
  <si>
    <t>SLCA.N,mscalc:targetPrice</t>
  </si>
  <si>
    <t>False,mscalc:enterpriseValueAsif,2007FY</t>
  </si>
  <si>
    <t>False,mscalc:netOperatingProfitAfterTaxNopat,2009FY</t>
  </si>
  <si>
    <t>False,mscalc:nopatExcludingAdjustments2,2009FY,,FYR</t>
  </si>
  <si>
    <t>False,mscalc:evToEbitdaForConsensus,2009FY</t>
  </si>
  <si>
    <t>False,mscalc:evpretaxOperatingProfitPtop,2009FY</t>
  </si>
  <si>
    <t>False,mscalc:freeCashflowfromOperationsforfcffy,2008FY</t>
  </si>
  <si>
    <t>False,mscalc:ebitMargin,2009FY</t>
  </si>
  <si>
    <t>False,mscalc:returnOnNetOperatingAssets,2007FY</t>
  </si>
  <si>
    <t>SLCA.N,mscalc:sedolCodeCalc</t>
  </si>
  <si>
    <t>False,mscalc:sharePriceCurrent</t>
  </si>
  <si>
    <t>False,mscalc:returnOnNetOperatingAssets,2008FY</t>
  </si>
  <si>
    <t>False,mscalc:evnopat,2008FY</t>
  </si>
  <si>
    <t>False,mscalc:evnopat,2009FY</t>
  </si>
  <si>
    <t>False,mscalc:dividendYield,2009FY</t>
  </si>
  <si>
    <t>False,mscalc:returnOnEquityCalc,2008FY</t>
  </si>
  <si>
    <t>False,mscalc:netOperatingProfitAfterTaxNopat,2008FY</t>
  </si>
  <si>
    <t>False,mscalc:epsForConsensusForThomsonFeed,2009FY</t>
  </si>
  <si>
    <t>0,mscalc:dividendsPerShareConsensusThompson,2009FY,,FYR</t>
  </si>
  <si>
    <t>False,mscalc:targetPrice</t>
  </si>
  <si>
    <t>False,mscalc:evnopat,2007FY</t>
  </si>
  <si>
    <t>False,mstag:bearCaseValueEstimatePerShare</t>
  </si>
  <si>
    <t>SLCA.N,mscalc:targetPrice,,,,USD</t>
  </si>
  <si>
    <t>False,mscalc:evrevenue,2008FY</t>
  </si>
  <si>
    <t>False,mscalc:netOperatingProfitAfterTaxNopat,2007FY</t>
  </si>
  <si>
    <t>False,mscalc:evToEbitda,2008FY</t>
  </si>
  <si>
    <t>False,mscalc:nopatExcludingAdjustments2,2008FY</t>
  </si>
  <si>
    <t>False,mscalc:priceToBookValue,2007FY</t>
  </si>
  <si>
    <t>False,mscalc:evToEbitda,2007FY</t>
  </si>
  <si>
    <t>False,mscalc:enterpriseFirmValueCurrent</t>
  </si>
  <si>
    <t>False,mscalc:enterpriseFirmValue,2007FY</t>
  </si>
  <si>
    <t>False,mstag:bullCaseValueEstimatePerShare</t>
  </si>
  <si>
    <t>False,mscalc:epsForConsensusForThomsonFeed,2007FY</t>
  </si>
  <si>
    <t>False,mscalc:enterpriseFirmValue,2009FY</t>
  </si>
  <si>
    <t>False,mscalc:priceToBookValue,2009FY</t>
  </si>
  <si>
    <t>False,mscalc:sedolCodeCalc</t>
  </si>
  <si>
    <t>False,mscalc:evToNoa,2007FY</t>
  </si>
  <si>
    <t>0,mscalc:bookValuePerShare,2007FY,,FYR</t>
  </si>
  <si>
    <t>False,mscalc:msIndustryView</t>
  </si>
  <si>
    <t>False,mscalc:priceToEarnings,2007FY</t>
  </si>
  <si>
    <t>False,mscalc:LeverageEop,2007FY</t>
  </si>
  <si>
    <t>False,mscalc:LeverageEop,2009FY</t>
  </si>
  <si>
    <t>False,mscalc:LeverageEop,2008FY</t>
  </si>
  <si>
    <t>False,mscalc:evToNoa,2009FY</t>
  </si>
  <si>
    <t>False,mscalc:priceToEarnings,2009FY</t>
  </si>
  <si>
    <t>False,mscalc:priceToEarnings,2008FY</t>
  </si>
  <si>
    <t>SLCA.N,mscalc:closePriceCurrencyCalc</t>
  </si>
  <si>
    <t>False,mscalc:returnOnEquityCalc,2009FY</t>
  </si>
  <si>
    <t>0,mscalc:dividendsPerShareConsensusThompson,2008FY,,FYR</t>
  </si>
  <si>
    <t>False,mscalc:companyName</t>
  </si>
  <si>
    <t>False,mscalc:dividendYield,2007FY</t>
  </si>
  <si>
    <t>False,mscalc:netInterestCover,2008FY</t>
  </si>
  <si>
    <t>False,mscalc:dilutedEarningsPerShare,2007FY</t>
  </si>
  <si>
    <t>False,mscalc:enterpriseFirmValue,2008FY</t>
  </si>
  <si>
    <t>False,mscalc:evrevenue,2009FY</t>
  </si>
  <si>
    <t>False,mscalc:priceToEarningsBeforeOperatingLeaseAdjustments,2008FY</t>
  </si>
  <si>
    <t>False,mscalc:nopatExcludingAdjustments2,2009FY</t>
  </si>
  <si>
    <t>False,mscalc:dilutedEarningsPerShare,2009FY</t>
  </si>
  <si>
    <t>False,mscalc:ebitdaBeforePensionOpebAndOperatingLeaseAdjustments,2009FY</t>
  </si>
  <si>
    <t>0,mscalc:dividendsPerShareConsensusThompson,2010FY,,FYR</t>
  </si>
  <si>
    <t>False,mscalc:ebitdaBeforePensionOpebAndOperatingLeaseAdjustments,2007FY</t>
  </si>
  <si>
    <t>False,mscalc:marketCapitalizationCurrent</t>
  </si>
  <si>
    <t>False,mscalc:priceToBookValue,2008FY</t>
  </si>
  <si>
    <t>False,mscalc:ebitMargin,2007FY</t>
  </si>
  <si>
    <t>False,mscalc:closePriceCurrencyCalc</t>
  </si>
  <si>
    <t>False,mscalc:ebitda,2007FY</t>
  </si>
  <si>
    <t>False,mscalc:priceToFreeCashFlowFcffyperShare,2007FY</t>
  </si>
  <si>
    <t>False,mscalc:ebitda,2008FY</t>
  </si>
  <si>
    <t>False,mscalc:returnOnNetOperatingAssets,2009FY</t>
  </si>
  <si>
    <t>False,mscalc:netInterestCover,2009FY</t>
  </si>
  <si>
    <t>0,mscalc:dilutedEarningsPerShare,2010FY,,FYR</t>
  </si>
  <si>
    <t>False,mstag:met_12monthIntrinsicValueEstimate</t>
  </si>
  <si>
    <t>False,mscalc:returnOnEquityCalc,2007FY</t>
  </si>
  <si>
    <t>False,mscalc:epsForConsensusForThomsonFeed,2008FY</t>
  </si>
  <si>
    <t>False,mscalc:stockRating</t>
  </si>
  <si>
    <t>False,mscalc:priceToEarningsBeforeOperatingLeaseAdjustments,2009FY</t>
  </si>
  <si>
    <t>False,mscalc:primaryAnalyst</t>
  </si>
  <si>
    <t>False,mscalc:priceToFreeCashFlowFcffyperShare,2008FY</t>
  </si>
  <si>
    <t>False,mscalc:enterpriseValueAsif,2009FY</t>
  </si>
  <si>
    <t>False,mscalc:freeCashflowfromOperationsforfcffy,2009FY</t>
  </si>
  <si>
    <t>False,mscalc:freeCashflowfromOperationsforfcffy,2007FY</t>
  </si>
  <si>
    <t>False,mscalc:ebitdaBeforePensionOpebAndOperatingLeaseAdjustments,2008FY</t>
  </si>
  <si>
    <t>False,mscalc:ebitMargin,2008FY</t>
  </si>
  <si>
    <t>False,mscalc:evToEbitdaForConsensus,2007FY</t>
  </si>
  <si>
    <t>False,mscalc:dilutedEarningsPerShare,2008FY</t>
  </si>
  <si>
    <t>False,mscalc:evToNoa,2008FY</t>
  </si>
  <si>
    <t>False,mscalc:evToEbitdaForConsensus,2008FY</t>
  </si>
  <si>
    <t>False,mscalc:evrevenue,2007FY</t>
  </si>
  <si>
    <t>False,mscalc:gicsSector</t>
  </si>
  <si>
    <t>False,mscalc:country</t>
  </si>
  <si>
    <t>False,mscalc:ebitda,2009FY</t>
  </si>
  <si>
    <t>False,mscalc:msciIndustryCalc</t>
  </si>
  <si>
    <t>,mscalc:closePriceCurrencyCalc</t>
  </si>
  <si>
    <t>,mscalc:sedolCodeCalc</t>
  </si>
  <si>
    <t>,mscalc:targetPrice,,,,USD</t>
  </si>
  <si>
    <t>Currency</t>
  </si>
  <si>
    <t>Current Stock Price</t>
  </si>
  <si>
    <t>Count</t>
  </si>
  <si>
    <t>SLCA.K,mscalc:targetPrice,,,,USD</t>
  </si>
  <si>
    <t>SLCA.K,mscalc:closePriceCurrencyCalc</t>
  </si>
  <si>
    <t>SLCA.K,mscalc:sedolCodeCalc</t>
  </si>
  <si>
    <t>SLCA.K,mscalc:targetPrice</t>
  </si>
  <si>
    <t>4Q11</t>
  </si>
  <si>
    <t>HAL.N,mstag:bullCaseValueEstimatePerShare,,,,USD,,1131</t>
  </si>
  <si>
    <t>HAL.N,mscalc:stockRating,,,,,,1131</t>
  </si>
  <si>
    <t>HAL.N,mscalc:targetPrice,,,,USD,,1131</t>
  </si>
  <si>
    <t>HAL.N,mstag:bearCaseValueEstimatePerShare,,,,USD,,1131</t>
  </si>
  <si>
    <t>$HR$2</t>
  </si>
  <si>
    <t>B7GGNT0</t>
  </si>
  <si>
    <t>1Q12</t>
  </si>
  <si>
    <t>Gross Profit</t>
  </si>
  <si>
    <t>Contribution Margin per Ton ($)</t>
  </si>
  <si>
    <t>Total Contribution Margin</t>
  </si>
  <si>
    <t>Contribution Margin:</t>
  </si>
  <si>
    <t>Average Contribution Margin per Ton ($)</t>
  </si>
  <si>
    <t>Adjusted EBITDA as Reported</t>
  </si>
  <si>
    <t>Difference to Simple EBITDA</t>
  </si>
  <si>
    <t>2Q12</t>
  </si>
  <si>
    <t>3Q12</t>
  </si>
  <si>
    <t>4Q12</t>
  </si>
  <si>
    <t>1Q13</t>
  </si>
  <si>
    <t>2Q13</t>
  </si>
  <si>
    <t>Payout Ratio</t>
  </si>
  <si>
    <t>3Q13</t>
  </si>
  <si>
    <t>4Q13</t>
  </si>
  <si>
    <t>1Q14</t>
  </si>
  <si>
    <t>2Q14</t>
  </si>
  <si>
    <t>1Q18E</t>
  </si>
  <si>
    <t>2Q18E</t>
  </si>
  <si>
    <t>3Q18E</t>
  </si>
  <si>
    <t>4Q18E</t>
  </si>
  <si>
    <t>Avg Cost / Ton Change %</t>
  </si>
  <si>
    <t>CM / Ton Change %</t>
  </si>
  <si>
    <t>Tons Sold (ktons)</t>
  </si>
  <si>
    <t>2018E</t>
  </si>
  <si>
    <t>2019E</t>
  </si>
  <si>
    <t>ASP Change % y/y</t>
  </si>
  <si>
    <t>Avg Cost / Ton Change % y/y</t>
  </si>
  <si>
    <t>CM / Ton Change % y/y</t>
  </si>
  <si>
    <t>3Q14</t>
  </si>
  <si>
    <t>Capacity Utilization</t>
  </si>
  <si>
    <t>4Q14</t>
  </si>
  <si>
    <t>NOPAT</t>
  </si>
  <si>
    <t>Net Operating Assets</t>
  </si>
  <si>
    <t>NOPAT % Margin</t>
  </si>
  <si>
    <t>Reinvestment</t>
  </si>
  <si>
    <t>Reinvestment/NOPAT</t>
  </si>
  <si>
    <t>Operating Cash</t>
  </si>
  <si>
    <t>Total Funding Req'd</t>
  </si>
  <si>
    <t>LT Debt Req'd</t>
  </si>
  <si>
    <t>RNOA (ROIC)</t>
  </si>
  <si>
    <t>ASP Seq Change %</t>
  </si>
  <si>
    <t>Tons Sold % Seq Change</t>
  </si>
  <si>
    <t>1Q15</t>
  </si>
  <si>
    <t>Op. Working Capital</t>
  </si>
  <si>
    <t>Leverage &amp; Credit Metrics:</t>
  </si>
  <si>
    <t>Net Debt/Capital</t>
  </si>
  <si>
    <t>Net Debt/Equity</t>
  </si>
  <si>
    <t>Net Debt/LTM EBITDA</t>
  </si>
  <si>
    <t>Net Debt/LTM EBIT</t>
  </si>
  <si>
    <t>EBIT/Int. Expense</t>
  </si>
  <si>
    <t>Capex/D&amp;A</t>
  </si>
  <si>
    <t>Depreciation / Revenues</t>
  </si>
  <si>
    <t>Capex / Revenues</t>
  </si>
  <si>
    <t>Shares Outstanding &amp; BV/Sh.</t>
  </si>
  <si>
    <t>Dilution Ratio</t>
  </si>
  <si>
    <t>Basic EPS (Incl. Extraordinary)</t>
  </si>
  <si>
    <t>Basic EPS (Ex-Extraordinary)</t>
  </si>
  <si>
    <t>Book Value/Share</t>
  </si>
  <si>
    <t>Tangible Book Value/Share</t>
  </si>
  <si>
    <t>Return Metrics:</t>
  </si>
  <si>
    <t>Invested Capital</t>
  </si>
  <si>
    <t>Op. Asset Turnover</t>
  </si>
  <si>
    <t>ROE (Operating)</t>
  </si>
  <si>
    <t>ROE (GAAP)</t>
  </si>
  <si>
    <t>Term loan facility</t>
  </si>
  <si>
    <t>Short-term notes</t>
  </si>
  <si>
    <t>O&amp;G Industry Drivers</t>
  </si>
  <si>
    <t>Debt/Ann. EBITDA</t>
  </si>
  <si>
    <t>Net Debt/Ann. EBITDA</t>
  </si>
  <si>
    <t>Volumes (ktons)</t>
  </si>
  <si>
    <t>Uses</t>
  </si>
  <si>
    <t>Sources</t>
  </si>
  <si>
    <t>Shareholder's Equity</t>
  </si>
  <si>
    <t>Pension Liability</t>
  </si>
  <si>
    <t>2Q15</t>
  </si>
  <si>
    <t>Funding:</t>
  </si>
  <si>
    <t>Key Drivers &amp; Operating Data:</t>
  </si>
  <si>
    <t>Total</t>
  </si>
  <si>
    <t>Minimum Purchase Commitments</t>
  </si>
  <si>
    <t>Total Tons Sold</t>
  </si>
  <si>
    <t>3Q15</t>
  </si>
  <si>
    <t>Debt Detail</t>
  </si>
  <si>
    <t>Revolver</t>
  </si>
  <si>
    <t>Total Notes &amp; Term Loans</t>
  </si>
  <si>
    <t>Revolver Capacity</t>
  </si>
  <si>
    <t>Revolver Availability</t>
  </si>
  <si>
    <t>Debt Drawn (Repaid)</t>
  </si>
  <si>
    <t>Covenants</t>
  </si>
  <si>
    <t>Less: Letters of Credit</t>
  </si>
  <si>
    <t>Operating Lease &amp; Rental Expense</t>
  </si>
  <si>
    <t>True Capacity</t>
  </si>
  <si>
    <t>Net Unamortized Discount &amp; Issuance Cost</t>
  </si>
  <si>
    <t>ST Debt</t>
  </si>
  <si>
    <t>LT Debt Ex. Revolver</t>
  </si>
  <si>
    <t>Revolver Required</t>
  </si>
  <si>
    <t>Revolver Drawn (exp. 7/23/18)</t>
  </si>
  <si>
    <t>Net Leverage Ratio</t>
  </si>
  <si>
    <t xml:space="preserve">Minimum Revolver Draw before Cov. </t>
  </si>
  <si>
    <t>Adj. EBITDA</t>
  </si>
  <si>
    <t>Net Debt/EBITDA</t>
  </si>
  <si>
    <t>4Q15</t>
  </si>
  <si>
    <t>Total Liquidity</t>
  </si>
  <si>
    <t>1Q16</t>
  </si>
  <si>
    <t>Ann. Capacity (Tons, 000s)</t>
  </si>
  <si>
    <t>Year-End Capacity (Tons, 000s)</t>
  </si>
  <si>
    <t>2Q16</t>
  </si>
  <si>
    <t>NM</t>
  </si>
  <si>
    <t>Pension/OPEB Liability</t>
  </si>
  <si>
    <t>1Q19E</t>
  </si>
  <si>
    <t>2Q19E</t>
  </si>
  <si>
    <t>3Q19E</t>
  </si>
  <si>
    <t>4Q19E</t>
  </si>
  <si>
    <t>1Q20E</t>
  </si>
  <si>
    <t>2Q20E</t>
  </si>
  <si>
    <t>3Q20E</t>
  </si>
  <si>
    <t>4Q20E</t>
  </si>
  <si>
    <t>2020E</t>
  </si>
  <si>
    <t>3Q16</t>
  </si>
  <si>
    <t>Total Debt/Capital</t>
  </si>
  <si>
    <t>Notes Payable</t>
  </si>
  <si>
    <t>Sand Revenues</t>
  </si>
  <si>
    <t>Voca, TX</t>
  </si>
  <si>
    <t>Mill Creek, OK</t>
  </si>
  <si>
    <t>Tyler, TX</t>
  </si>
  <si>
    <t>Kosse, TX</t>
  </si>
  <si>
    <t>Ottawa, IL</t>
  </si>
  <si>
    <t>Pacific, MO</t>
  </si>
  <si>
    <t>Sparta, WI</t>
  </si>
  <si>
    <t>Utica, IL</t>
  </si>
  <si>
    <t>Assumed Sandbox Gross Margin</t>
  </si>
  <si>
    <t>Capex Schedule</t>
  </si>
  <si>
    <t>Maintenance Capex</t>
  </si>
  <si>
    <t>Newbuild Mines</t>
  </si>
  <si>
    <t>SandBox Capacity Build-Out</t>
  </si>
  <si>
    <t>Total Growth Capex</t>
  </si>
  <si>
    <t>Total CapEx</t>
  </si>
  <si>
    <t>4Q16</t>
  </si>
  <si>
    <t>Sandbox-Normalized ASP</t>
  </si>
  <si>
    <t>Sandbox-Normalized Cost/Ton</t>
  </si>
  <si>
    <t>Sandbox-Normalized CM/Ton</t>
  </si>
  <si>
    <t>1Q17</t>
  </si>
  <si>
    <t>Sand Costs</t>
  </si>
  <si>
    <t>Railcar Leases</t>
  </si>
  <si>
    <t>Margin/Avg. Crew</t>
  </si>
  <si>
    <t>Revenue/Avg. Crew</t>
  </si>
  <si>
    <t>Assumed Sandbox Sales</t>
  </si>
  <si>
    <t>Assumed Sandbox Cost of Sales</t>
  </si>
  <si>
    <t>Sandbox Gross Margin %</t>
  </si>
  <si>
    <t>2Q17</t>
  </si>
  <si>
    <t>US Sand Demand (MSe) (MM tons)</t>
  </si>
  <si>
    <t>SLCA Market Share</t>
  </si>
  <si>
    <t>Mine Build-Out</t>
  </si>
  <si>
    <t>Festus, MO</t>
  </si>
  <si>
    <t>Crane, TX</t>
  </si>
  <si>
    <t>Capacity Utilization %</t>
  </si>
  <si>
    <t>Lamesa, TX</t>
  </si>
  <si>
    <t>U.S. Silica (SLCA) Earnings Model</t>
  </si>
  <si>
    <t>Morgan Stanley</t>
  </si>
  <si>
    <t>Crane Mine</t>
  </si>
  <si>
    <t>Festus Expansion</t>
  </si>
  <si>
    <t>Legacy Mine Brownfields</t>
  </si>
  <si>
    <t>Lamesa Mine</t>
  </si>
  <si>
    <t>Newbuild Capex Detail</t>
  </si>
  <si>
    <t>3Q17</t>
  </si>
  <si>
    <t>Ann. D&amp;A % of Net PP&amp;E</t>
  </si>
  <si>
    <t>SandBox Crews (EOP)</t>
  </si>
  <si>
    <t>Effective Int. Rate</t>
  </si>
  <si>
    <t>Effective Tax Rate (Operating)</t>
  </si>
  <si>
    <t>Adjusted EBITDA:</t>
  </si>
  <si>
    <t>EBIT Margin</t>
  </si>
  <si>
    <t>Contribution Margin %</t>
  </si>
  <si>
    <t>Total Revenue Growth (Seq.)</t>
  </si>
  <si>
    <t>Other Drivers &amp; Analysis</t>
  </si>
  <si>
    <t>Capital Leases &amp; Other</t>
  </si>
  <si>
    <t>Other COGS</t>
  </si>
  <si>
    <t>Effect of Exchange Rates</t>
  </si>
  <si>
    <t>4Q17</t>
  </si>
  <si>
    <t>Treasury Stock</t>
  </si>
  <si>
    <t>N. White - Minegate</t>
  </si>
  <si>
    <t>N. White - Terminal</t>
  </si>
  <si>
    <t>Detailed Oil &amp; Gas Drivers</t>
  </si>
  <si>
    <t>% Sold 'In-Basin'</t>
  </si>
  <si>
    <t>In-Basin Tons</t>
  </si>
  <si>
    <t>Regional Mine Capacity</t>
  </si>
  <si>
    <t>N. White Utilization</t>
  </si>
  <si>
    <t>Regional Mine Utilization</t>
  </si>
  <si>
    <t>N. White Capacity</t>
  </si>
  <si>
    <t>Regional Mines</t>
  </si>
  <si>
    <t>Margin / Ton</t>
  </si>
  <si>
    <t>Contracted</t>
  </si>
  <si>
    <t>Spot</t>
  </si>
  <si>
    <t>% of Capacity Contracted</t>
  </si>
  <si>
    <t>Contract</t>
  </si>
  <si>
    <t>Avg. Contribution Margin</t>
  </si>
  <si>
    <t>Shipped</t>
  </si>
  <si>
    <t>Sand Contribution Margin</t>
  </si>
  <si>
    <t>Total Margin $</t>
  </si>
  <si>
    <t>FOB Mine</t>
  </si>
  <si>
    <t>Cost / Ton</t>
  </si>
  <si>
    <t>Total Costs</t>
  </si>
  <si>
    <t>Costs</t>
  </si>
  <si>
    <t>Mine Costs @ $15/ton</t>
  </si>
  <si>
    <t>Freight Costs @ $60/ton</t>
  </si>
  <si>
    <t>Normalized ASP % Chg.</t>
  </si>
  <si>
    <t>Normalized Cost / Ton % Chg.</t>
  </si>
  <si>
    <t>Normalized CM / Ton % Chg.</t>
  </si>
  <si>
    <t>Sandbox &amp; Raw Sand Earnings</t>
  </si>
  <si>
    <t>Segment Revenues</t>
  </si>
  <si>
    <t>Segment Costs</t>
  </si>
  <si>
    <t>Segment Contribution Margin</t>
  </si>
  <si>
    <t>Total Company Earnings</t>
  </si>
  <si>
    <t>Volume Mix &amp; Costs</t>
  </si>
  <si>
    <t>EP Minerals</t>
  </si>
  <si>
    <t>Gross Profit Margin</t>
  </si>
  <si>
    <t>Revenue Growth (YoY)</t>
  </si>
  <si>
    <t>EP Minerals Acq.</t>
  </si>
  <si>
    <t>47</t>
  </si>
  <si>
    <t>Oil &amp; Gas (Frac Sand)</t>
  </si>
  <si>
    <t>Research</t>
  </si>
  <si>
    <t>MSA85HBK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</si>
  <si>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</si>
  <si>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</si>
  <si>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</si>
  <si>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</si>
  <si>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</si>
  <si>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</si>
  <si>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</si>
  <si>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Connor Lynagh</t>
  </si>
  <si>
    <t>Date: 11 Apr 2018</t>
  </si>
  <si>
    <t>Ticker: SLCA.N</t>
  </si>
  <si>
    <t>Stock Rating: Overweight</t>
  </si>
  <si>
    <t>Industry: Oil Services, Drilling &amp; Equipment</t>
  </si>
  <si>
    <t>Industry View: In-Line</t>
  </si>
  <si>
    <t>Price as of 11 Apr 2018: 27.48</t>
  </si>
  <si>
    <t>Target Price: 43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</si>
  <si>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</si>
  <si>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</si>
  <si>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</si>
  <si>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</si>
  <si>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U.S. Silica Holdings, Inc..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</si>
  <si>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</si>
  <si>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</si>
  <si>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</si>
  <si>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</si>
  <si>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</si>
  <si>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</si>
  <si>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</si>
  <si>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</si>
  <si>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</si>
  <si>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</si>
  <si>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</si>
  <si>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</si>
  <si>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</si>
  <si>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</si>
  <si>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</si>
  <si>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</si>
  <si>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</si>
  <si>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</si>
  <si>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</si>
  <si>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</si>
  <si>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</si>
  <si>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</si>
  <si>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</si>
  <si>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</si>
  <si>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</si>
  <si>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</si>
  <si>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</si>
  <si>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</si>
  <si>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</si>
  <si>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</si>
  <si>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</si>
  <si>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</si>
  <si>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</si>
  <si>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</si>
  <si>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</si>
  <si>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</si>
  <si>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</si>
  <si>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</si>
  <si>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</si>
  <si>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</si>
  <si>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</si>
  <si>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</si>
  <si>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</si>
  <si>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</si>
  <si>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</si>
  <si>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</si>
  <si>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</si>
  <si>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</si>
  <si>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</si>
  <si>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</si>
  <si>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</si>
  <si>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</si>
  <si>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</si>
  <si>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</si>
  <si>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</si>
  <si>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</si>
  <si>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</si>
  <si>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</si>
  <si>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</si>
  <si>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</si>
  <si>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</si>
  <si>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</si>
  <si>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</si>
  <si>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</si>
  <si>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</si>
  <si>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</si>
  <si>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</si>
  <si>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</si>
  <si>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</si>
  <si>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</si>
  <si>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</si>
  <si>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</si>
  <si>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</si>
  <si>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</si>
  <si>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</si>
  <si>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</si>
  <si>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</si>
  <si>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</si>
  <si>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</si>
  <si>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</si>
  <si>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</si>
  <si>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</si>
  <si>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</si>
  <si>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</si>
  <si>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</si>
  <si>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</si>
  <si>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</si>
  <si>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</si>
  <si>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</si>
  <si>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</si>
  <si>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</si>
  <si>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</si>
  <si>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</si>
  <si>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</si>
  <si>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</si>
  <si>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</si>
  <si>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</si>
  <si>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</si>
  <si>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</si>
  <si>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</si>
  <si>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</si>
  <si>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</si>
  <si>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</si>
  <si>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</si>
  <si>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</si>
  <si>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</si>
  <si>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</si>
  <si>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</si>
  <si>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</si>
  <si>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</si>
  <si>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</si>
  <si>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</si>
  <si>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</si>
  <si>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</si>
  <si>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</si>
  <si>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</si>
  <si>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</si>
  <si>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</si>
  <si>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</si>
  <si>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</si>
  <si>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</si>
  <si>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</si>
  <si>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</si>
  <si>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</si>
  <si>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</si>
  <si>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</si>
  <si>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</si>
  <si>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</si>
  <si>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</si>
  <si>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</si>
  <si>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</si>
  <si>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</si>
  <si>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</si>
  <si>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</si>
  <si>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</si>
  <si>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</si>
  <si>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</si>
  <si>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</si>
  <si>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</si>
  <si>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</si>
  <si>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</si>
  <si>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</si>
  <si>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</si>
  <si>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</si>
  <si>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</si>
  <si>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</si>
  <si>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</si>
  <si>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</si>
  <si>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</si>
  <si>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</si>
  <si>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</si>
  <si>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</si>
  <si>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</si>
  <si>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</si>
  <si>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</si>
  <si>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</si>
  <si>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</si>
  <si>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</si>
  <si>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</si>
  <si>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</si>
  <si>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</si>
  <si>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</si>
  <si>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</si>
  <si>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</si>
  <si>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</si>
  <si>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</si>
  <si>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</si>
  <si>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</si>
  <si>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</si>
  <si>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</si>
  <si>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</si>
  <si>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</si>
  <si>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</si>
  <si>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</si>
  <si>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</si>
  <si>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</si>
  <si>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</si>
  <si>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</si>
  <si>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</si>
  <si>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</si>
  <si>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</si>
  <si>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</si>
  <si>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</si>
  <si>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</si>
  <si>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</si>
  <si>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</si>
  <si>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</si>
  <si>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</si>
  <si>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</si>
  <si>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</si>
  <si>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</si>
  <si>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</si>
  <si>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</si>
  <si>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</si>
  <si>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</si>
  <si>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</si>
  <si>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</si>
  <si>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</si>
  <si>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</si>
  <si>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</si>
  <si>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</si>
  <si>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</si>
  <si>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</si>
  <si>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</si>
  <si>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</si>
  <si>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</si>
  <si>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</si>
  <si>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</si>
  <si>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</si>
  <si>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</si>
  <si>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</si>
  <si>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</si>
  <si>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</si>
  <si>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</si>
  <si>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</si>
  <si>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</si>
  <si>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</si>
  <si>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</si>
  <si>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</si>
  <si>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</si>
  <si>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</si>
  <si>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</si>
  <si>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</si>
  <si>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</si>
  <si>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</si>
  <si>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</si>
  <si>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</si>
  <si>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</si>
  <si>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</si>
  <si>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</si>
  <si>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</si>
  <si>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</si>
  <si>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</si>
  <si>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</si>
  <si>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</si>
  <si>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</si>
  <si>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</si>
  <si>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</si>
  <si>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</si>
  <si>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</si>
  <si>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</si>
  <si>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</si>
  <si>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</si>
  <si>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U.S. Silica Holdings, Inc..</t>
  </si>
  <si>
    <t>Within the last 12 months, Morgan Stanley has provided or is providing investment banking services to,</t>
  </si>
  <si>
    <t>or has an investment banking client relationship with, the following company: U.S. Silica Holdings, Inc..</t>
  </si>
  <si>
    <t>Within the last 12 months, Morgan Stanley has received compensation for products and services other than</t>
  </si>
  <si>
    <t>investment banking services from U.S. Silica Holdings, Inc..</t>
  </si>
  <si>
    <t>In the next 3 months, Morgan Stanley expects to receive or intends to seek compensation for investment</t>
  </si>
  <si>
    <t>banking services from U.S. Silica Holdings, Inc..</t>
  </si>
  <si>
    <t>Within the last 12 months, Morgan Stanley has received compensation for investment banking services from</t>
  </si>
  <si>
    <t>U.S. Silica Holdings, Inc..</t>
  </si>
  <si>
    <t>As of March 29, 2018, Morgan Stanley beneficially owned 1% or more of a class of common equity</t>
  </si>
  <si>
    <t>securities of the following companies covered in Morgan Stanley Research: U.S. Silica Holdings, Inc..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</si>
  <si>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</si>
  <si>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</si>
  <si>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</si>
  <si>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</si>
  <si>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</si>
  <si>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Connor Lynagh.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</si>
  <si>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</si>
  <si>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</si>
  <si>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</si>
  <si>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</si>
  <si>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</si>
  <si>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</si>
  <si>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</si>
  <si>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</si>
  <si>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</si>
  <si>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</si>
  <si>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</si>
  <si>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</si>
  <si>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</si>
  <si>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</si>
  <si>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</si>
  <si>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</si>
  <si>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</si>
  <si>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</si>
  <si>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</si>
  <si>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</si>
  <si>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</si>
  <si>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</si>
  <si>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</si>
  <si>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</si>
  <si>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</si>
  <si>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</si>
  <si>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</si>
  <si>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</si>
  <si>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</si>
  <si>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</si>
  <si>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</si>
  <si>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</si>
  <si>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</si>
  <si>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</si>
  <si>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</si>
  <si>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</si>
  <si>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</si>
  <si>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</si>
  <si>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</si>
  <si>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</si>
  <si>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</si>
  <si>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</si>
  <si>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</si>
  <si>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</si>
  <si>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</si>
  <si>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 xml:space="preserve"> 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</si>
  <si>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</si>
  <si>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</si>
  <si>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</si>
  <si>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</si>
  <si>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</si>
  <si>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</si>
  <si>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</si>
  <si>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</si>
  <si>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</si>
  <si>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</si>
  <si>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</si>
  <si>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</si>
  <si>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</si>
  <si>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</si>
  <si>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</si>
  <si>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</si>
  <si>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</si>
  <si>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</si>
  <si>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</si>
  <si>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</si>
  <si>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</si>
  <si>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</si>
  <si>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</si>
  <si>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Overweight / In-Line</t>
  </si>
  <si>
    <t>Regular Update</t>
  </si>
  <si>
    <t>NorthAmerica</t>
  </si>
  <si>
    <t>ozierale</t>
  </si>
  <si>
    <t>L:\ENERGY\Lynagh\Models\SLCA.xlsm</t>
  </si>
  <si>
    <t>[BRO MSA]</t>
  </si>
  <si>
    <t>[PRODUCT MODEL]</t>
  </si>
  <si>
    <t>[EMAIL_ALERT YES]</t>
  </si>
  <si>
    <t>[DISCIPLINE Company]</t>
  </si>
  <si>
    <t>[SUPPRESSED NO]</t>
  </si>
  <si>
    <t>[DOCDAT 2018-04-11]</t>
  </si>
  <si>
    <t>[DOCTIME 11:34]</t>
  </si>
  <si>
    <t>[PSYM SLCA.N(S&amp;P) (None)]</t>
  </si>
  <si>
    <t>[COU 1]</t>
  </si>
  <si>
    <t>[ANA ]</t>
  </si>
  <si>
    <t>[HL SLCA.N Model]</t>
  </si>
  <si>
    <t>[IND OILWEL]</t>
  </si>
  <si>
    <t>[PANA MSA85HBK]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</si>
</sst>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_);\(0\)"/>
    <numFmt numFmtId="165" formatCode="#,##0.0_);\ \(#,##0.0\);\ &quot;- &quot;"/>
    <numFmt numFmtId="167" formatCode="0.000"/>
    <numFmt numFmtId="168" formatCode="#,##0.0%_);\ \(#,##0.0%\);\ &quot;- &quot;"/>
    <numFmt numFmtId="169" formatCode="#,##0_);\ \(#,##0\);\ &quot;- &quot;"/>
    <numFmt numFmtId="170" formatCode="#,##0.00_);\ \(#,##0.00\);\ &quot;- &quot;"/>
    <numFmt numFmtId="171" formatCode="_(* #,##0.0_);_(* \(#,##0.0\);_(* &quot;-&quot;??_);_(@_)"/>
    <numFmt numFmtId="172" formatCode="#,##0.000_);\ \(#,##0.000\);\ &quot;- &quot;"/>
    <numFmt numFmtId="173" formatCode="#,##0.0\x_);\ \(#,##0.0\x\);\ &quot;- &quot;"/>
    <numFmt numFmtId="181" formatCode="0.0%"/>
    <numFmt numFmtId="182" formatCode="_ * #,##0_ ;_ * \-#,##0_ ;_ * &quot;-&quot;_ ;_ @_ "/>
    <numFmt numFmtId="183" formatCode="0.000000"/>
    <numFmt numFmtId="184" formatCode="#,##0.000_);\(#,##0.000\)"/>
    <numFmt numFmtId="186" formatCode="#,##0.0_);\(#,##0.0\);&quot;-&quot;"/>
    <numFmt numFmtId="187" formatCode="0.0%_);\(0.0%\);&quot;-&quot;"/>
    <numFmt numFmtId="188" formatCode="#,##0.0_);\(#,##0.0\);\–_);&quot;–&quot;_)"/>
    <numFmt numFmtId="189" formatCode="#,##0.00_);\(#,##0.00\);\–_);&quot;–&quot;_)"/>
    <numFmt numFmtId="191" formatCode="0.0%_);\(0.0%\);&quot;–&quot;_)"/>
    <numFmt numFmtId="192" formatCode="#,##0.0_);\(#,##0.0\);&quot;-&quot;_);@_)"/>
    <numFmt numFmtId="193" formatCode="#,##0_);\(#,##0\);&quot;-&quot;_);@_)"/>
    <numFmt numFmtId="194" formatCode="0%_);\(0%\);&quot;–&quot;_)"/>
    <numFmt numFmtId="195" formatCode="#,##0%_);\ \(#,##0%\);\ &quot;- &quot;"/>
    <numFmt numFmtId="196" formatCode="0.00\x_);\(0.00\x\);&quot;–&quot;_)"/>
    <numFmt numFmtId="197" formatCode="#,##0.00_);\(#,##0.00\);&quot;-&quot;_);@_)"/>
    <numFmt numFmtId="198" formatCode="[$$-409]#,##0.00"/>
    <numFmt numFmtId="200" formatCode="#,##0.000_);\(#,##0.000\);&quot;-&quot;_);@_)"/>
    <numFmt numFmtId="201" formatCode="\L\+0"/>
    <numFmt numFmtId="202" formatCode="#,##0.0_);\(#,##0.0\);\–_)"/>
    <numFmt numFmtId="203" formatCode="#,##0.000_);\(#,##0.000\);\–_)"/>
    <numFmt numFmtId="204" formatCode="#,##0_);\(#,##0\);\–_);&quot;–&quot;_)"/>
    <numFmt numFmtId="205" formatCode="#,##0_);\(#,##0\);\–_)"/>
    <numFmt numFmtId="213" formatCode="mm/dd/yy\ hh:mm"/>
  </numFmts>
  <fonts count="66">
    <font>
      <sz val="10"/>
      <name val="Arial"/>
    </font>
    <font>
      <sz val="10"/>
      <name val="Arial"/>
      <family val="2"/>
    </font>
    <font>
      <b/>
      <sz val="8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2"/>
      <name val="News Gothic MT"/>
      <family val="2"/>
    </font>
    <font>
      <sz val="8"/>
      <color indexed="12"/>
      <name val="Arial"/>
      <family val="2"/>
    </font>
    <font>
      <sz val="8"/>
      <color indexed="12"/>
      <name val="Arial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8"/>
      <color indexed="21"/>
      <name val="Arial"/>
      <family val="2"/>
    </font>
    <font>
      <sz val="8"/>
      <color indexed="10"/>
      <name val="Arial"/>
      <family val="2"/>
    </font>
    <font>
      <b/>
      <sz val="10"/>
      <name val="Arial"/>
      <family val="2"/>
    </font>
    <font>
      <i/>
      <sz val="8"/>
      <name val="Arial"/>
      <family val="2"/>
    </font>
    <font>
      <sz val="11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name val="Arial"/>
      <family val="2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8"/>
      <color indexed="23"/>
      <name val="Arial"/>
      <family val="2"/>
    </font>
    <font>
      <sz val="8"/>
      <color indexed="23"/>
      <name val="Arial"/>
      <family val="2"/>
    </font>
    <font>
      <sz val="8"/>
      <color indexed="9"/>
      <name val="Arial"/>
      <family val="2"/>
    </font>
    <font>
      <b/>
      <sz val="8"/>
      <color indexed="9"/>
      <name val="Arial"/>
      <family val="2"/>
    </font>
    <font>
      <b/>
      <sz val="10"/>
      <name val="Beatles"/>
      <charset val="162"/>
    </font>
    <font>
      <sz val="8"/>
      <name val="Times New Roman"/>
      <family val="1"/>
    </font>
    <font>
      <sz val="12"/>
      <name val="바탕체"/>
      <family val="1"/>
      <charset val="129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58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sz val="11"/>
      <color indexed="23"/>
      <name val="Calibri"/>
      <family val="2"/>
    </font>
    <font>
      <sz val="11"/>
      <color indexed="53"/>
      <name val="Calibri"/>
      <family val="2"/>
    </font>
    <font>
      <sz val="11"/>
      <color indexed="13"/>
      <name val="Calibri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9"/>
      <color indexed="81"/>
      <name val="Tahoma"/>
      <family val="2"/>
    </font>
    <font>
      <b/>
      <sz val="8"/>
      <color indexed="23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rgb="FF137CB1"/>
      <name val="Arial"/>
      <family val="2"/>
    </font>
    <font>
      <sz val="8"/>
      <color rgb="FF008000"/>
      <name val="Arial"/>
      <family val="2"/>
    </font>
    <font>
      <sz val="8"/>
      <color rgb="FF000000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sz val="5"/>
      <color rgb="FF008000"/>
      <name val="Arial"/>
      <family val="2"/>
    </font>
    <font>
      <sz val="10"/>
      <color rgb="FF008000"/>
      <name val="Arial"/>
      <family val="2"/>
    </font>
    <font>
      <sz val="10"/>
      <name val="Courier"/>
      <family val="3"/>
    </font>
    <font>
      <i/>
      <sz val="10"/>
      <name val="Arial"/>
      <family val="2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41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60"/>
      </patternFill>
    </fill>
    <fill>
      <patternFill patternType="solid">
        <fgColor indexed="29"/>
      </patternFill>
    </fill>
    <fill>
      <patternFill patternType="solid">
        <fgColor indexed="22"/>
      </patternFill>
    </fill>
    <fill>
      <patternFill patternType="solid">
        <fgColor indexed="15"/>
      </patternFill>
    </fill>
    <fill>
      <patternFill patternType="solid">
        <fgColor indexed="44"/>
      </patternFill>
    </fill>
    <fill>
      <patternFill patternType="solid">
        <fgColor indexed="28"/>
      </patternFill>
    </fill>
    <fill>
      <patternFill patternType="solid">
        <fgColor indexed="35"/>
      </patternFill>
    </fill>
    <fill>
      <patternFill patternType="solid">
        <fgColor indexed="48"/>
      </patternFill>
    </fill>
    <fill>
      <patternFill patternType="solid">
        <fgColor indexed="38"/>
      </patternFill>
    </fill>
    <fill>
      <patternFill patternType="solid">
        <fgColor indexed="39"/>
      </patternFill>
    </fill>
    <fill>
      <patternFill patternType="solid">
        <fgColor indexed="23"/>
      </patternFill>
    </fill>
    <fill>
      <patternFill patternType="solid">
        <fgColor indexed="53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5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77">
    <xf numFmtId="0" fontId="0" fillId="0" borderId="0"/>
    <xf numFmtId="0" fontId="26" fillId="0" borderId="0" applyNumberFormat="0" applyFill="0" applyBorder="0" applyAlignment="0" applyProtection="0"/>
    <xf numFmtId="0" fontId="1" fillId="0" borderId="0"/>
    <xf numFmtId="0" fontId="19" fillId="0" borderId="0" applyNumberFormat="0" applyFont="0" applyFill="0" applyBorder="0" applyAlignment="0" applyProtection="0"/>
    <xf numFmtId="0" fontId="1" fillId="0" borderId="0"/>
    <xf numFmtId="0" fontId="16" fillId="0" borderId="0"/>
    <xf numFmtId="0" fontId="16" fillId="0" borderId="0"/>
    <xf numFmtId="0" fontId="29" fillId="2" borderId="0" applyNumberFormat="0" applyBorder="0" applyAlignment="0" applyProtection="0"/>
    <xf numFmtId="0" fontId="29" fillId="3" borderId="0" applyNumberFormat="0" applyBorder="0" applyAlignment="0" applyProtection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2" borderId="0" applyNumberFormat="0" applyBorder="0" applyAlignment="0" applyProtection="0"/>
    <xf numFmtId="0" fontId="29" fillId="3" borderId="0" applyNumberFormat="0" applyBorder="0" applyAlignment="0" applyProtection="0"/>
    <xf numFmtId="0" fontId="29" fillId="2" borderId="0" applyNumberFormat="0" applyBorder="0" applyAlignment="0" applyProtection="0"/>
    <xf numFmtId="0" fontId="29" fillId="3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3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11" borderId="0" applyNumberFormat="0" applyBorder="0" applyAlignment="0" applyProtection="0"/>
    <xf numFmtId="0" fontId="30" fillId="3" borderId="0" applyNumberFormat="0" applyBorder="0" applyAlignment="0" applyProtection="0"/>
    <xf numFmtId="0" fontId="30" fillId="12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2" borderId="0" applyNumberFormat="0" applyBorder="0" applyAlignment="0" applyProtection="0"/>
    <xf numFmtId="0" fontId="30" fillId="16" borderId="0" applyNumberFormat="0" applyBorder="0" applyAlignment="0" applyProtection="0"/>
    <xf numFmtId="0" fontId="31" fillId="17" borderId="0" applyNumberFormat="0" applyBorder="0" applyAlignment="0" applyProtection="0"/>
    <xf numFmtId="0" fontId="17" fillId="0" borderId="0"/>
    <xf numFmtId="0" fontId="32" fillId="18" borderId="1" applyNumberFormat="0" applyAlignment="0" applyProtection="0"/>
    <xf numFmtId="0" fontId="33" fillId="19" borderId="2" applyNumberFormat="0" applyAlignment="0" applyProtection="0"/>
    <xf numFmtId="43" fontId="1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54" fillId="0" borderId="0" applyFont="0" applyFill="0" applyBorder="0" applyAlignment="0" applyProtection="0"/>
    <xf numFmtId="44" fontId="19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5" fillId="6" borderId="0" applyNumberFormat="0" applyBorder="0" applyAlignment="0" applyProtection="0"/>
    <xf numFmtId="0" fontId="36" fillId="0" borderId="3" applyNumberFormat="0" applyFill="0" applyAlignment="0" applyProtection="0"/>
    <xf numFmtId="0" fontId="37" fillId="0" borderId="4" applyNumberFormat="0" applyFill="0" applyAlignment="0" applyProtection="0"/>
    <xf numFmtId="0" fontId="38" fillId="0" borderId="5" applyNumberFormat="0" applyFill="0" applyAlignment="0" applyProtection="0"/>
    <xf numFmtId="0" fontId="38" fillId="0" borderId="0" applyNumberFormat="0" applyFill="0" applyBorder="0" applyAlignment="0" applyProtection="0"/>
    <xf numFmtId="0" fontId="39" fillId="3" borderId="1" applyNumberFormat="0" applyAlignment="0" applyProtection="0"/>
    <xf numFmtId="0" fontId="40" fillId="0" borderId="6" applyNumberFormat="0" applyFill="0" applyAlignment="0" applyProtection="0"/>
    <xf numFmtId="0" fontId="41" fillId="20" borderId="0" applyNumberFormat="0" applyBorder="0" applyAlignment="0" applyProtection="0"/>
    <xf numFmtId="0" fontId="19" fillId="0" borderId="0"/>
    <xf numFmtId="0" fontId="19" fillId="0" borderId="0" applyNumberFormat="0" applyFill="0" applyBorder="0" applyAlignment="0" applyProtection="0"/>
    <xf numFmtId="186" fontId="50" fillId="0" borderId="0"/>
    <xf numFmtId="0" fontId="1" fillId="20" borderId="7" applyNumberFormat="0" applyFont="0" applyAlignment="0" applyProtection="0"/>
    <xf numFmtId="0" fontId="42" fillId="18" borderId="8" applyNumberFormat="0" applyAlignment="0" applyProtection="0"/>
    <xf numFmtId="0" fontId="18" fillId="0" borderId="0">
      <alignment vertical="center"/>
    </xf>
    <xf numFmtId="9" fontId="1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49" fillId="0" borderId="0" applyFont="0" applyFill="0" applyBorder="0" applyAlignment="0" applyProtection="0"/>
    <xf numFmtId="187" fontId="51" fillId="0" borderId="0" applyFont="0" applyFill="0" applyBorder="0" applyAlignment="0" applyProtection="0"/>
    <xf numFmtId="0" fontId="19" fillId="21" borderId="0" applyNumberFormat="0" applyFont="0" applyBorder="0" applyAlignment="0" applyProtection="0"/>
    <xf numFmtId="0" fontId="20" fillId="0" borderId="0"/>
    <xf numFmtId="0" fontId="20" fillId="0" borderId="9">
      <alignment horizontal="centerContinuous"/>
    </xf>
    <xf numFmtId="0" fontId="21" fillId="0" borderId="9"/>
    <xf numFmtId="186" fontId="4" fillId="0" borderId="10"/>
    <xf numFmtId="0" fontId="43" fillId="0" borderId="0" applyNumberFormat="0" applyFill="0" applyBorder="0" applyAlignment="0" applyProtection="0"/>
    <xf numFmtId="0" fontId="44" fillId="0" borderId="11" applyNumberFormat="0" applyFill="0" applyAlignment="0" applyProtection="0"/>
    <xf numFmtId="0" fontId="45" fillId="0" borderId="0" applyNumberFormat="0" applyFill="0" applyBorder="0" applyAlignment="0" applyProtection="0"/>
    <xf numFmtId="182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54" fillId="0" borderId="0"/>
    <xf numFmtId="9" fontId="54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54" fillId="0" borderId="0"/>
    <xf numFmtId="0" fontId="62" fillId="0" borderId="0"/>
    <xf numFmtId="0" fontId="1" fillId="0" borderId="0"/>
  </cellStyleXfs>
  <cellXfs count="344">
    <xf numFmtId="0" fontId="0" fillId="0" borderId="0" xfId="0"/>
    <xf numFmtId="0" fontId="3" fillId="0" borderId="0" xfId="0" applyFont="1"/>
    <xf numFmtId="164" fontId="2" fillId="0" borderId="0" xfId="0" applyNumberFormat="1" applyFont="1" applyFill="1" applyBorder="1" applyAlignment="1">
      <alignment horizontal="right" vertical="center"/>
    </xf>
    <xf numFmtId="0" fontId="5" fillId="0" borderId="9" xfId="35" applyNumberFormat="1" applyFont="1" applyBorder="1" applyAlignment="1">
      <alignment horizontal="left"/>
    </xf>
    <xf numFmtId="164" fontId="4" fillId="0" borderId="9" xfId="35" applyNumberFormat="1" applyFont="1" applyBorder="1" applyAlignment="1">
      <alignment horizontal="right"/>
    </xf>
    <xf numFmtId="49" fontId="5" fillId="0" borderId="0" xfId="35" applyNumberFormat="1" applyFont="1" applyFill="1" applyBorder="1" applyAlignment="1">
      <alignment horizontal="left" indent="1"/>
    </xf>
    <xf numFmtId="49" fontId="4" fillId="0" borderId="0" xfId="35" applyNumberFormat="1" applyFont="1" applyFill="1" applyBorder="1" applyAlignment="1"/>
    <xf numFmtId="49" fontId="5" fillId="0" borderId="0" xfId="35" applyNumberFormat="1" applyFont="1" applyFill="1" applyBorder="1" applyAlignment="1"/>
    <xf numFmtId="49" fontId="5" fillId="0" borderId="0" xfId="35" applyNumberFormat="1" applyFont="1" applyFill="1" applyBorder="1"/>
    <xf numFmtId="165" fontId="5" fillId="0" borderId="0" xfId="35" applyNumberFormat="1" applyFont="1" applyFill="1" applyBorder="1"/>
    <xf numFmtId="165" fontId="4" fillId="0" borderId="10" xfId="35" applyNumberFormat="1" applyFont="1" applyFill="1" applyBorder="1"/>
    <xf numFmtId="168" fontId="5" fillId="0" borderId="0" xfId="56" applyNumberFormat="1" applyFont="1" applyFill="1" applyBorder="1"/>
    <xf numFmtId="165" fontId="3" fillId="0" borderId="0" xfId="0" applyNumberFormat="1" applyFont="1"/>
    <xf numFmtId="17" fontId="2" fillId="0" borderId="12" xfId="0" applyNumberFormat="1" applyFont="1" applyFill="1" applyBorder="1" applyAlignment="1">
      <alignment horizontal="right" vertical="center"/>
    </xf>
    <xf numFmtId="49" fontId="6" fillId="0" borderId="0" xfId="0" applyNumberFormat="1" applyFont="1" applyFill="1" applyBorder="1"/>
    <xf numFmtId="49" fontId="4" fillId="0" borderId="0" xfId="0" applyNumberFormat="1" applyFont="1" applyFill="1" applyBorder="1" applyAlignment="1">
      <alignment vertical="center"/>
    </xf>
    <xf numFmtId="49" fontId="5" fillId="0" borderId="0" xfId="0" applyNumberFormat="1" applyFont="1" applyFill="1" applyBorder="1" applyAlignment="1">
      <alignment horizontal="left" vertical="center"/>
    </xf>
    <xf numFmtId="2" fontId="3" fillId="0" borderId="0" xfId="0" applyNumberFormat="1" applyFont="1"/>
    <xf numFmtId="0" fontId="4" fillId="0" borderId="12" xfId="35" applyNumberFormat="1" applyFont="1" applyBorder="1" applyAlignment="1">
      <alignment horizontal="left"/>
    </xf>
    <xf numFmtId="0" fontId="4" fillId="0" borderId="0" xfId="35" applyNumberFormat="1" applyFont="1" applyBorder="1" applyAlignment="1">
      <alignment horizontal="left"/>
    </xf>
    <xf numFmtId="169" fontId="5" fillId="0" borderId="0" xfId="35" applyNumberFormat="1" applyFont="1" applyFill="1"/>
    <xf numFmtId="170" fontId="5" fillId="0" borderId="0" xfId="35" applyNumberFormat="1" applyFont="1" applyFill="1" applyBorder="1"/>
    <xf numFmtId="168" fontId="7" fillId="0" borderId="0" xfId="56" applyNumberFormat="1" applyFont="1" applyFill="1" applyBorder="1"/>
    <xf numFmtId="0" fontId="3" fillId="22" borderId="0" xfId="0" applyFont="1" applyFill="1"/>
    <xf numFmtId="170" fontId="7" fillId="0" borderId="0" xfId="35" applyNumberFormat="1" applyFont="1" applyFill="1" applyBorder="1"/>
    <xf numFmtId="165" fontId="8" fillId="0" borderId="0" xfId="0" applyNumberFormat="1" applyFont="1"/>
    <xf numFmtId="165" fontId="7" fillId="0" borderId="0" xfId="35" applyNumberFormat="1" applyFont="1" applyFill="1" applyBorder="1"/>
    <xf numFmtId="0" fontId="9" fillId="22" borderId="0" xfId="0" applyFont="1" applyFill="1"/>
    <xf numFmtId="0" fontId="4" fillId="0" borderId="0" xfId="0" applyFont="1"/>
    <xf numFmtId="0" fontId="3" fillId="0" borderId="0" xfId="0" applyFont="1" applyFill="1"/>
    <xf numFmtId="49" fontId="5" fillId="0" borderId="12" xfId="0" applyNumberFormat="1" applyFont="1" applyFill="1" applyBorder="1" applyAlignment="1">
      <alignment horizontal="left" vertical="center"/>
    </xf>
    <xf numFmtId="49" fontId="12" fillId="22" borderId="0" xfId="0" applyNumberFormat="1" applyFont="1" applyFill="1" applyBorder="1" applyAlignment="1">
      <alignment vertical="center"/>
    </xf>
    <xf numFmtId="49" fontId="4" fillId="22" borderId="0" xfId="0" applyNumberFormat="1" applyFont="1" applyFill="1" applyBorder="1" applyAlignment="1">
      <alignment vertical="center"/>
    </xf>
    <xf numFmtId="165" fontId="3" fillId="0" borderId="10" xfId="0" applyNumberFormat="1" applyFont="1" applyBorder="1"/>
    <xf numFmtId="49" fontId="4" fillId="0" borderId="0" xfId="0" applyNumberFormat="1" applyFont="1" applyFill="1" applyBorder="1" applyAlignment="1">
      <alignment horizontal="left" vertical="center"/>
    </xf>
    <xf numFmtId="165" fontId="9" fillId="0" borderId="0" xfId="0" applyNumberFormat="1" applyFont="1"/>
    <xf numFmtId="165" fontId="4" fillId="0" borderId="10" xfId="0" applyNumberFormat="1" applyFont="1" applyBorder="1"/>
    <xf numFmtId="165" fontId="4" fillId="0" borderId="0" xfId="0" applyNumberFormat="1" applyFont="1"/>
    <xf numFmtId="0" fontId="4" fillId="0" borderId="9" xfId="35" applyNumberFormat="1" applyFont="1" applyBorder="1" applyAlignment="1">
      <alignment horizontal="left"/>
    </xf>
    <xf numFmtId="0" fontId="4" fillId="0" borderId="0" xfId="0" applyFont="1" applyFill="1" applyBorder="1"/>
    <xf numFmtId="0" fontId="5" fillId="0" borderId="0" xfId="0" applyFont="1" applyFill="1" applyBorder="1"/>
    <xf numFmtId="0" fontId="3" fillId="0" borderId="0" xfId="0" applyFont="1" applyFill="1" applyAlignment="1">
      <alignment horizontal="left"/>
    </xf>
    <xf numFmtId="49" fontId="5" fillId="0" borderId="0" xfId="0" applyNumberFormat="1" applyFont="1" applyFill="1" applyBorder="1"/>
    <xf numFmtId="173" fontId="5" fillId="0" borderId="0" xfId="35" applyNumberFormat="1" applyFont="1" applyFill="1" applyBorder="1"/>
    <xf numFmtId="168" fontId="8" fillId="0" borderId="0" xfId="0" applyNumberFormat="1" applyFont="1"/>
    <xf numFmtId="170" fontId="3" fillId="0" borderId="0" xfId="0" applyNumberFormat="1" applyFont="1"/>
    <xf numFmtId="0" fontId="3" fillId="0" borderId="0" xfId="0" applyFont="1" applyAlignment="1">
      <alignment horizontal="left" indent="1"/>
    </xf>
    <xf numFmtId="0" fontId="13" fillId="0" borderId="0" xfId="0" applyFont="1"/>
    <xf numFmtId="165" fontId="4" fillId="0" borderId="0" xfId="35" applyNumberFormat="1" applyFont="1" applyFill="1" applyBorder="1"/>
    <xf numFmtId="167" fontId="3" fillId="0" borderId="0" xfId="0" applyNumberFormat="1" applyFont="1"/>
    <xf numFmtId="168" fontId="3" fillId="0" borderId="0" xfId="0" applyNumberFormat="1" applyFont="1"/>
    <xf numFmtId="0" fontId="3" fillId="0" borderId="0" xfId="0" applyFont="1" applyBorder="1"/>
    <xf numFmtId="171" fontId="5" fillId="0" borderId="0" xfId="35" applyNumberFormat="1" applyFont="1" applyFill="1" applyBorder="1"/>
    <xf numFmtId="49" fontId="3" fillId="0" borderId="0" xfId="35" applyNumberFormat="1" applyFont="1" applyFill="1" applyAlignment="1">
      <alignment horizontal="left"/>
    </xf>
    <xf numFmtId="49" fontId="3" fillId="0" borderId="0" xfId="35" applyNumberFormat="1" applyFont="1" applyFill="1" applyBorder="1" applyAlignment="1">
      <alignment horizontal="left"/>
    </xf>
    <xf numFmtId="49" fontId="3" fillId="0" borderId="0" xfId="35" applyNumberFormat="1" applyFont="1" applyFill="1" applyBorder="1" applyAlignment="1">
      <alignment horizontal="left" indent="1"/>
    </xf>
    <xf numFmtId="43" fontId="5" fillId="0" borderId="0" xfId="35" applyFont="1" applyFill="1" applyBorder="1"/>
    <xf numFmtId="43" fontId="12" fillId="0" borderId="0" xfId="35" applyFont="1" applyFill="1" applyBorder="1"/>
    <xf numFmtId="49" fontId="0" fillId="0" borderId="0" xfId="0" applyNumberFormat="1"/>
    <xf numFmtId="165" fontId="8" fillId="0" borderId="0" xfId="0" applyNumberFormat="1" applyFont="1" applyFill="1"/>
    <xf numFmtId="165" fontId="3" fillId="0" borderId="0" xfId="0" applyNumberFormat="1" applyFont="1" applyFill="1"/>
    <xf numFmtId="165" fontId="4" fillId="0" borderId="10" xfId="0" applyNumberFormat="1" applyFont="1" applyFill="1" applyBorder="1"/>
    <xf numFmtId="165" fontId="9" fillId="0" borderId="0" xfId="0" applyNumberFormat="1" applyFont="1" applyFill="1"/>
    <xf numFmtId="165" fontId="22" fillId="0" borderId="0" xfId="0" applyNumberFormat="1" applyFont="1"/>
    <xf numFmtId="170" fontId="23" fillId="0" borderId="0" xfId="35" applyNumberFormat="1" applyFont="1" applyFill="1" applyBorder="1"/>
    <xf numFmtId="165" fontId="24" fillId="0" borderId="0" xfId="0" applyNumberFormat="1" applyFont="1"/>
    <xf numFmtId="165" fontId="25" fillId="0" borderId="10" xfId="0" applyNumberFormat="1" applyFont="1" applyBorder="1"/>
    <xf numFmtId="49" fontId="4" fillId="0" borderId="0" xfId="35" applyNumberFormat="1" applyFont="1" applyFill="1" applyBorder="1"/>
    <xf numFmtId="164" fontId="4" fillId="0" borderId="9" xfId="35" applyNumberFormat="1" applyFont="1" applyFill="1" applyBorder="1" applyAlignment="1">
      <alignment horizontal="right"/>
    </xf>
    <xf numFmtId="183" fontId="3" fillId="0" borderId="0" xfId="0" applyNumberFormat="1" applyFont="1"/>
    <xf numFmtId="165" fontId="5" fillId="0" borderId="0" xfId="0" applyNumberFormat="1" applyFont="1"/>
    <xf numFmtId="181" fontId="5" fillId="0" borderId="0" xfId="35" applyNumberFormat="1" applyFont="1" applyFill="1" applyBorder="1"/>
    <xf numFmtId="0" fontId="3" fillId="0" borderId="10" xfId="0" applyFont="1" applyBorder="1"/>
    <xf numFmtId="0" fontId="3" fillId="0" borderId="10" xfId="0" applyFont="1" applyBorder="1" applyAlignment="1">
      <alignment horizontal="left" indent="1"/>
    </xf>
    <xf numFmtId="0" fontId="3" fillId="23" borderId="0" xfId="0" applyFont="1" applyFill="1"/>
    <xf numFmtId="184" fontId="3" fillId="0" borderId="0" xfId="0" applyNumberFormat="1" applyFont="1"/>
    <xf numFmtId="170" fontId="5" fillId="0" borderId="10" xfId="35" applyNumberFormat="1" applyFont="1" applyFill="1" applyBorder="1"/>
    <xf numFmtId="0" fontId="3" fillId="0" borderId="0" xfId="0" applyFont="1" applyBorder="1" applyAlignment="1">
      <alignment horizontal="left" indent="1"/>
    </xf>
    <xf numFmtId="0" fontId="3" fillId="22" borderId="0" xfId="0" applyFont="1" applyFill="1" applyBorder="1"/>
    <xf numFmtId="17" fontId="2" fillId="0" borderId="0" xfId="0" applyNumberFormat="1" applyFont="1" applyFill="1" applyBorder="1" applyAlignment="1">
      <alignment horizontal="right" vertical="center"/>
    </xf>
    <xf numFmtId="168" fontId="5" fillId="23" borderId="0" xfId="56" applyNumberFormat="1" applyFont="1" applyFill="1" applyBorder="1"/>
    <xf numFmtId="165" fontId="5" fillId="23" borderId="0" xfId="35" applyNumberFormat="1" applyFont="1" applyFill="1" applyBorder="1"/>
    <xf numFmtId="169" fontId="11" fillId="23" borderId="0" xfId="0" applyNumberFormat="1" applyFont="1" applyFill="1"/>
    <xf numFmtId="169" fontId="5" fillId="23" borderId="0" xfId="0" applyNumberFormat="1" applyFont="1" applyFill="1"/>
    <xf numFmtId="170" fontId="4" fillId="0" borderId="0" xfId="35" applyNumberFormat="1" applyFont="1" applyFill="1" applyBorder="1"/>
    <xf numFmtId="170" fontId="47" fillId="0" borderId="0" xfId="35" applyNumberFormat="1" applyFont="1" applyFill="1" applyBorder="1"/>
    <xf numFmtId="0" fontId="3" fillId="0" borderId="0" xfId="50" applyFont="1"/>
    <xf numFmtId="191" fontId="3" fillId="0" borderId="0" xfId="0" applyNumberFormat="1" applyFont="1"/>
    <xf numFmtId="0" fontId="0" fillId="0" borderId="0" xfId="0" applyFill="1"/>
    <xf numFmtId="191" fontId="3" fillId="0" borderId="0" xfId="35" applyNumberFormat="1" applyFont="1" applyFill="1"/>
    <xf numFmtId="165" fontId="3" fillId="0" borderId="0" xfId="0" applyNumberFormat="1" applyFont="1" applyBorder="1"/>
    <xf numFmtId="43" fontId="3" fillId="0" borderId="0" xfId="35" applyFont="1"/>
    <xf numFmtId="170" fontId="4" fillId="0" borderId="0" xfId="0" applyNumberFormat="1" applyFont="1"/>
    <xf numFmtId="0" fontId="3" fillId="0" borderId="0" xfId="0" applyFont="1" applyFill="1" applyBorder="1"/>
    <xf numFmtId="193" fontId="55" fillId="0" borderId="0" xfId="0" applyNumberFormat="1" applyFont="1"/>
    <xf numFmtId="0" fontId="9" fillId="22" borderId="0" xfId="0" applyNumberFormat="1" applyFont="1" applyFill="1"/>
    <xf numFmtId="43" fontId="3" fillId="0" borderId="0" xfId="35" applyFont="1" applyFill="1"/>
    <xf numFmtId="191" fontId="3" fillId="0" borderId="0" xfId="35" applyNumberFormat="1" applyFont="1" applyFill="1" applyBorder="1"/>
    <xf numFmtId="168" fontId="55" fillId="0" borderId="0" xfId="56" applyNumberFormat="1" applyFont="1" applyFill="1" applyBorder="1"/>
    <xf numFmtId="169" fontId="55" fillId="24" borderId="0" xfId="35" applyNumberFormat="1" applyFont="1" applyFill="1"/>
    <xf numFmtId="192" fontId="3" fillId="0" borderId="0" xfId="0" applyNumberFormat="1" applyFont="1"/>
    <xf numFmtId="193" fontId="3" fillId="0" borderId="0" xfId="0" applyNumberFormat="1" applyFont="1"/>
    <xf numFmtId="192" fontId="5" fillId="0" borderId="0" xfId="35" applyNumberFormat="1" applyFont="1" applyFill="1" applyBorder="1"/>
    <xf numFmtId="196" fontId="3" fillId="0" borderId="0" xfId="0" applyNumberFormat="1" applyFont="1"/>
    <xf numFmtId="188" fontId="3" fillId="0" borderId="0" xfId="0" applyNumberFormat="1" applyFont="1" applyBorder="1"/>
    <xf numFmtId="193" fontId="5" fillId="0" borderId="0" xfId="56" applyNumberFormat="1" applyFont="1" applyFill="1" applyBorder="1"/>
    <xf numFmtId="196" fontId="55" fillId="0" borderId="0" xfId="0" applyNumberFormat="1" applyFont="1"/>
    <xf numFmtId="0" fontId="56" fillId="0" borderId="0" xfId="0" applyFont="1"/>
    <xf numFmtId="197" fontId="3" fillId="0" borderId="0" xfId="0" applyNumberFormat="1" applyFont="1"/>
    <xf numFmtId="165" fontId="55" fillId="0" borderId="0" xfId="0" applyNumberFormat="1" applyFont="1"/>
    <xf numFmtId="170" fontId="55" fillId="24" borderId="0" xfId="35" applyNumberFormat="1" applyFont="1" applyFill="1"/>
    <xf numFmtId="49" fontId="4" fillId="0" borderId="0" xfId="3" applyNumberFormat="1" applyFont="1" applyFill="1" applyBorder="1"/>
    <xf numFmtId="198" fontId="3" fillId="0" borderId="0" xfId="0" applyNumberFormat="1" applyFont="1"/>
    <xf numFmtId="49" fontId="3" fillId="0" borderId="0" xfId="3" applyNumberFormat="1" applyFont="1" applyFill="1" applyBorder="1"/>
    <xf numFmtId="49" fontId="3" fillId="0" borderId="0" xfId="36" applyNumberFormat="1" applyFont="1" applyFill="1" applyAlignment="1">
      <alignment horizontal="left"/>
    </xf>
    <xf numFmtId="0" fontId="3" fillId="0" borderId="0" xfId="3" applyNumberFormat="1" applyFont="1" applyFill="1" applyBorder="1" applyAlignment="1">
      <alignment horizontal="left" vertical="center"/>
    </xf>
    <xf numFmtId="0" fontId="4" fillId="0" borderId="0" xfId="3" applyNumberFormat="1" applyFont="1" applyFill="1" applyBorder="1" applyAlignment="1">
      <alignment horizontal="left" vertical="center"/>
    </xf>
    <xf numFmtId="171" fontId="3" fillId="0" borderId="0" xfId="36" applyNumberFormat="1" applyFont="1" applyFill="1"/>
    <xf numFmtId="0" fontId="48" fillId="0" borderId="0" xfId="0" applyFont="1"/>
    <xf numFmtId="0" fontId="48" fillId="0" borderId="0" xfId="0" applyFont="1" applyFill="1"/>
    <xf numFmtId="0" fontId="48" fillId="23" borderId="0" xfId="0" applyFont="1" applyFill="1"/>
    <xf numFmtId="192" fontId="3" fillId="0" borderId="0" xfId="0" applyNumberFormat="1" applyFont="1" applyAlignment="1">
      <alignment horizontal="left" indent="1"/>
    </xf>
    <xf numFmtId="192" fontId="3" fillId="0" borderId="10" xfId="0" applyNumberFormat="1" applyFont="1" applyBorder="1" applyAlignment="1">
      <alignment horizontal="left" indent="1"/>
    </xf>
    <xf numFmtId="192" fontId="3" fillId="0" borderId="0" xfId="0" applyNumberFormat="1" applyFont="1" applyFill="1" applyBorder="1" applyAlignment="1">
      <alignment horizontal="left" indent="1"/>
    </xf>
    <xf numFmtId="192" fontId="3" fillId="0" borderId="0" xfId="35" applyNumberFormat="1" applyFont="1" applyFill="1" applyBorder="1" applyAlignment="1">
      <alignment horizontal="left" indent="1"/>
    </xf>
    <xf numFmtId="192" fontId="5" fillId="0" borderId="0" xfId="35" applyNumberFormat="1" applyFont="1" applyFill="1" applyBorder="1" applyAlignment="1">
      <alignment horizontal="left" indent="1"/>
    </xf>
    <xf numFmtId="0" fontId="5" fillId="23" borderId="0" xfId="0" applyFont="1" applyFill="1" applyAlignment="1">
      <alignment horizontal="left" indent="1"/>
    </xf>
    <xf numFmtId="0" fontId="3" fillId="23" borderId="0" xfId="0" applyFont="1" applyFill="1" applyAlignment="1">
      <alignment horizontal="left" indent="1"/>
    </xf>
    <xf numFmtId="49" fontId="5" fillId="23" borderId="0" xfId="35" applyNumberFormat="1" applyFont="1" applyFill="1" applyBorder="1" applyAlignment="1">
      <alignment horizontal="left" indent="2"/>
    </xf>
    <xf numFmtId="49" fontId="3" fillId="0" borderId="0" xfId="35" applyNumberFormat="1" applyFont="1" applyFill="1" applyAlignment="1">
      <alignment horizontal="left" indent="1"/>
    </xf>
    <xf numFmtId="0" fontId="3" fillId="0" borderId="0" xfId="0" applyFont="1" applyAlignment="1"/>
    <xf numFmtId="164" fontId="2" fillId="0" borderId="12" xfId="0" applyNumberFormat="1" applyFont="1" applyFill="1" applyBorder="1" applyAlignment="1">
      <alignment horizontal="right" vertical="center"/>
    </xf>
    <xf numFmtId="165" fontId="55" fillId="0" borderId="0" xfId="35" applyNumberFormat="1" applyFont="1" applyFill="1" applyBorder="1"/>
    <xf numFmtId="165" fontId="55" fillId="0" borderId="0" xfId="0" applyNumberFormat="1" applyFont="1" applyFill="1"/>
    <xf numFmtId="169" fontId="55" fillId="0" borderId="0" xfId="35" applyNumberFormat="1" applyFont="1" applyFill="1"/>
    <xf numFmtId="165" fontId="55" fillId="0" borderId="10" xfId="0" applyNumberFormat="1" applyFont="1" applyBorder="1"/>
    <xf numFmtId="192" fontId="3" fillId="0" borderId="0" xfId="35" applyNumberFormat="1" applyFont="1" applyFill="1" applyBorder="1"/>
    <xf numFmtId="172" fontId="3" fillId="0" borderId="0" xfId="0" applyNumberFormat="1" applyFont="1"/>
    <xf numFmtId="193" fontId="55" fillId="0" borderId="0" xfId="0" applyNumberFormat="1" applyFont="1" applyFill="1"/>
    <xf numFmtId="165" fontId="57" fillId="0" borderId="0" xfId="0" applyNumberFormat="1" applyFont="1"/>
    <xf numFmtId="164" fontId="2" fillId="0" borderId="0" xfId="0" applyNumberFormat="1" applyFont="1" applyFill="1" applyBorder="1" applyAlignment="1">
      <alignment horizontal="right"/>
    </xf>
    <xf numFmtId="168" fontId="5" fillId="0" borderId="0" xfId="56" applyNumberFormat="1" applyFont="1" applyFill="1" applyBorder="1" applyAlignment="1">
      <alignment horizontal="right"/>
    </xf>
    <xf numFmtId="169" fontId="11" fillId="0" borderId="0" xfId="0" applyNumberFormat="1" applyFont="1" applyFill="1"/>
    <xf numFmtId="169" fontId="5" fillId="0" borderId="0" xfId="0" applyNumberFormat="1" applyFont="1" applyFill="1"/>
    <xf numFmtId="0" fontId="48" fillId="0" borderId="0" xfId="0" applyFont="1" applyBorder="1"/>
    <xf numFmtId="49" fontId="3" fillId="0" borderId="0" xfId="35" applyNumberFormat="1" applyFont="1" applyFill="1" applyAlignment="1"/>
    <xf numFmtId="200" fontId="3" fillId="0" borderId="0" xfId="0" applyNumberFormat="1" applyFont="1"/>
    <xf numFmtId="165" fontId="57" fillId="0" borderId="0" xfId="0" applyNumberFormat="1" applyFont="1" applyFill="1"/>
    <xf numFmtId="165" fontId="55" fillId="0" borderId="16" xfId="0" applyNumberFormat="1" applyFont="1" applyBorder="1"/>
    <xf numFmtId="192" fontId="57" fillId="0" borderId="0" xfId="0" applyNumberFormat="1" applyFont="1"/>
    <xf numFmtId="196" fontId="57" fillId="0" borderId="0" xfId="0" applyNumberFormat="1" applyFont="1"/>
    <xf numFmtId="191" fontId="3" fillId="0" borderId="0" xfId="0" applyNumberFormat="1" applyFont="1" applyFill="1"/>
    <xf numFmtId="0" fontId="60" fillId="0" borderId="0" xfId="0" applyFont="1"/>
    <xf numFmtId="165" fontId="56" fillId="0" borderId="0" xfId="0" applyNumberFormat="1" applyFont="1"/>
    <xf numFmtId="0" fontId="61" fillId="0" borderId="0" xfId="0" applyFont="1"/>
    <xf numFmtId="165" fontId="56" fillId="0" borderId="0" xfId="0" applyNumberFormat="1" applyFont="1" applyFill="1"/>
    <xf numFmtId="165" fontId="9" fillId="25" borderId="0" xfId="0" applyNumberFormat="1" applyFont="1" applyFill="1"/>
    <xf numFmtId="195" fontId="5" fillId="0" borderId="0" xfId="56" applyNumberFormat="1" applyFont="1" applyFill="1" applyBorder="1" applyAlignment="1">
      <alignment horizontal="right"/>
    </xf>
    <xf numFmtId="201" fontId="7" fillId="0" borderId="0" xfId="35" applyNumberFormat="1" applyFont="1" applyFill="1" applyBorder="1"/>
    <xf numFmtId="193" fontId="48" fillId="0" borderId="0" xfId="0" applyNumberFormat="1" applyFont="1"/>
    <xf numFmtId="193" fontId="5" fillId="0" borderId="0" xfId="35" applyNumberFormat="1" applyFont="1" applyFill="1" applyBorder="1" applyAlignment="1">
      <alignment horizontal="left" indent="1"/>
    </xf>
    <xf numFmtId="193" fontId="3" fillId="0" borderId="0" xfId="35" applyNumberFormat="1" applyFont="1"/>
    <xf numFmtId="193" fontId="0" fillId="0" borderId="0" xfId="0" applyNumberFormat="1"/>
    <xf numFmtId="0" fontId="4" fillId="0" borderId="0" xfId="35" applyNumberFormat="1" applyFont="1" applyFill="1" applyBorder="1" applyAlignment="1">
      <alignment horizontal="left"/>
    </xf>
    <xf numFmtId="164" fontId="4" fillId="0" borderId="0" xfId="35" applyNumberFormat="1" applyFont="1" applyFill="1" applyBorder="1" applyAlignment="1">
      <alignment horizontal="right"/>
    </xf>
    <xf numFmtId="169" fontId="3" fillId="0" borderId="0" xfId="0" applyNumberFormat="1" applyFont="1" applyFill="1"/>
    <xf numFmtId="192" fontId="3" fillId="0" borderId="0" xfId="0" applyNumberFormat="1" applyFont="1" applyFill="1"/>
    <xf numFmtId="193" fontId="3" fillId="0" borderId="0" xfId="0" applyNumberFormat="1" applyFont="1" applyFill="1"/>
    <xf numFmtId="191" fontId="3" fillId="0" borderId="0" xfId="56" applyNumberFormat="1" applyFont="1" applyFill="1" applyBorder="1"/>
    <xf numFmtId="194" fontId="55" fillId="0" borderId="0" xfId="56" applyNumberFormat="1" applyFont="1" applyFill="1" applyBorder="1"/>
    <xf numFmtId="168" fontId="5" fillId="26" borderId="0" xfId="56" applyNumberFormat="1" applyFont="1" applyFill="1" applyBorder="1"/>
    <xf numFmtId="165" fontId="55" fillId="0" borderId="16" xfId="0" applyNumberFormat="1" applyFont="1" applyFill="1" applyBorder="1"/>
    <xf numFmtId="192" fontId="59" fillId="0" borderId="0" xfId="35" applyNumberFormat="1" applyFont="1" applyFill="1" applyBorder="1"/>
    <xf numFmtId="0" fontId="58" fillId="0" borderId="0" xfId="0" applyFont="1"/>
    <xf numFmtId="200" fontId="55" fillId="0" borderId="0" xfId="56" applyNumberFormat="1" applyFont="1" applyFill="1" applyBorder="1"/>
    <xf numFmtId="191" fontId="19" fillId="0" borderId="0" xfId="0" applyNumberFormat="1" applyFont="1"/>
    <xf numFmtId="191" fontId="3" fillId="0" borderId="0" xfId="0" applyNumberFormat="1" applyFont="1" applyBorder="1"/>
    <xf numFmtId="193" fontId="3" fillId="0" borderId="0" xfId="0" applyNumberFormat="1" applyFont="1" applyBorder="1"/>
    <xf numFmtId="0" fontId="3" fillId="26" borderId="0" xfId="0" applyFont="1" applyFill="1"/>
    <xf numFmtId="202" fontId="3" fillId="0" borderId="0" xfId="0" applyNumberFormat="1" applyFont="1"/>
    <xf numFmtId="202" fontId="55" fillId="0" borderId="0" xfId="56" applyNumberFormat="1" applyFont="1" applyFill="1" applyBorder="1"/>
    <xf numFmtId="49" fontId="5" fillId="0" borderId="0" xfId="0" applyNumberFormat="1" applyFont="1" applyFill="1" applyBorder="1" applyAlignment="1">
      <alignment horizontal="left" indent="1"/>
    </xf>
    <xf numFmtId="202" fontId="5" fillId="0" borderId="0" xfId="56" applyNumberFormat="1" applyFont="1" applyFill="1" applyBorder="1"/>
    <xf numFmtId="203" fontId="3" fillId="0" borderId="0" xfId="56" applyNumberFormat="1" applyFont="1" applyFill="1" applyBorder="1"/>
    <xf numFmtId="202" fontId="55" fillId="0" borderId="0" xfId="0" applyNumberFormat="1" applyFont="1"/>
    <xf numFmtId="188" fontId="5" fillId="0" borderId="0" xfId="56" applyNumberFormat="1" applyFont="1" applyFill="1" applyBorder="1"/>
    <xf numFmtId="188" fontId="5" fillId="0" borderId="0" xfId="35" applyNumberFormat="1" applyFont="1" applyFill="1" applyBorder="1"/>
    <xf numFmtId="188" fontId="5" fillId="0" borderId="10" xfId="35" applyNumberFormat="1" applyFont="1" applyFill="1" applyBorder="1"/>
    <xf numFmtId="196" fontId="55" fillId="0" borderId="0" xfId="0" applyNumberFormat="1" applyFont="1" applyFill="1"/>
    <xf numFmtId="0" fontId="55" fillId="0" borderId="0" xfId="0" applyFont="1"/>
    <xf numFmtId="202" fontId="3" fillId="0" borderId="0" xfId="56" applyNumberFormat="1" applyFont="1" applyFill="1" applyBorder="1"/>
    <xf numFmtId="202" fontId="5" fillId="0" borderId="0" xfId="35" applyNumberFormat="1" applyFont="1" applyFill="1" applyBorder="1"/>
    <xf numFmtId="170" fontId="3" fillId="0" borderId="0" xfId="0" applyNumberFormat="1" applyFont="1" applyFill="1"/>
    <xf numFmtId="0" fontId="3" fillId="0" borderId="0" xfId="0" applyFont="1" applyFill="1" applyAlignment="1">
      <alignment horizontal="left" indent="1"/>
    </xf>
    <xf numFmtId="205" fontId="3" fillId="0" borderId="0" xfId="0" applyNumberFormat="1" applyFont="1" applyFill="1"/>
    <xf numFmtId="202" fontId="3" fillId="0" borderId="0" xfId="0" applyNumberFormat="1" applyFont="1" applyFill="1"/>
    <xf numFmtId="205" fontId="55" fillId="0" borderId="0" xfId="56" applyNumberFormat="1" applyFont="1" applyFill="1" applyBorder="1"/>
    <xf numFmtId="0" fontId="4" fillId="0" borderId="0" xfId="0" applyFont="1" applyFill="1"/>
    <xf numFmtId="168" fontId="4" fillId="0" borderId="0" xfId="56" applyNumberFormat="1" applyFont="1" applyFill="1" applyBorder="1"/>
    <xf numFmtId="202" fontId="4" fillId="0" borderId="0" xfId="56" applyNumberFormat="1" applyFont="1" applyFill="1" applyBorder="1"/>
    <xf numFmtId="202" fontId="3" fillId="26" borderId="0" xfId="56" applyNumberFormat="1" applyFont="1" applyFill="1" applyBorder="1"/>
    <xf numFmtId="194" fontId="3" fillId="0" borderId="0" xfId="56" applyNumberFormat="1" applyFont="1" applyFill="1" applyBorder="1"/>
    <xf numFmtId="202" fontId="55" fillId="24" borderId="0" xfId="56" applyNumberFormat="1" applyFont="1" applyFill="1" applyBorder="1"/>
    <xf numFmtId="43" fontId="4" fillId="0" borderId="0" xfId="35" applyFont="1"/>
    <xf numFmtId="202" fontId="55" fillId="26" borderId="0" xfId="56" applyNumberFormat="1" applyFont="1" applyFill="1" applyBorder="1"/>
    <xf numFmtId="205" fontId="3" fillId="0" borderId="0" xfId="56" applyNumberFormat="1" applyFont="1" applyFill="1" applyBorder="1"/>
    <xf numFmtId="202" fontId="55" fillId="26" borderId="17" xfId="56" applyNumberFormat="1" applyFont="1" applyFill="1" applyBorder="1"/>
    <xf numFmtId="202" fontId="56" fillId="23" borderId="0" xfId="0" applyNumberFormat="1" applyFont="1" applyFill="1"/>
    <xf numFmtId="0" fontId="4" fillId="23" borderId="0" xfId="0" applyFont="1" applyFill="1" applyAlignment="1">
      <alignment horizontal="left" indent="2"/>
    </xf>
    <xf numFmtId="0" fontId="4" fillId="23" borderId="0" xfId="0" applyFont="1" applyFill="1"/>
    <xf numFmtId="169" fontId="4" fillId="23" borderId="0" xfId="0" applyNumberFormat="1" applyFont="1" applyFill="1"/>
    <xf numFmtId="191" fontId="4" fillId="23" borderId="0" xfId="0" applyNumberFormat="1" applyFont="1" applyFill="1"/>
    <xf numFmtId="0" fontId="4" fillId="0" borderId="0" xfId="0" applyFont="1" applyAlignment="1"/>
    <xf numFmtId="192" fontId="3" fillId="0" borderId="0" xfId="35" applyNumberFormat="1" applyFont="1" applyFill="1" applyBorder="1" applyAlignment="1">
      <alignment horizontal="left" indent="2"/>
    </xf>
    <xf numFmtId="193" fontId="5" fillId="26" borderId="0" xfId="56" applyNumberFormat="1" applyFont="1" applyFill="1" applyBorder="1"/>
    <xf numFmtId="202" fontId="5" fillId="0" borderId="0" xfId="35" applyNumberFormat="1" applyFont="1" applyFill="1" applyBorder="1" applyAlignment="1">
      <alignment vertical="center"/>
    </xf>
    <xf numFmtId="202" fontId="5" fillId="0" borderId="10" xfId="35" applyNumberFormat="1" applyFont="1" applyFill="1" applyBorder="1"/>
    <xf numFmtId="205" fontId="55" fillId="0" borderId="14" xfId="56" applyNumberFormat="1" applyFont="1" applyFill="1" applyBorder="1"/>
    <xf numFmtId="205" fontId="55" fillId="0" borderId="15" xfId="56" applyNumberFormat="1" applyFont="1" applyFill="1" applyBorder="1"/>
    <xf numFmtId="205" fontId="55" fillId="0" borderId="20" xfId="56" applyNumberFormat="1" applyFont="1" applyFill="1" applyBorder="1"/>
    <xf numFmtId="170" fontId="48" fillId="0" borderId="0" xfId="0" applyNumberFormat="1" applyFont="1"/>
    <xf numFmtId="170" fontId="5" fillId="0" borderId="0" xfId="35" applyNumberFormat="1" applyFont="1" applyFill="1" applyBorder="1" applyAlignment="1">
      <alignment horizontal="left" indent="1"/>
    </xf>
    <xf numFmtId="170" fontId="5" fillId="0" borderId="0" xfId="56" applyNumberFormat="1" applyFont="1" applyFill="1" applyBorder="1"/>
    <xf numFmtId="170" fontId="5" fillId="26" borderId="0" xfId="56" applyNumberFormat="1" applyFont="1" applyFill="1" applyBorder="1"/>
    <xf numFmtId="170" fontId="3" fillId="0" borderId="0" xfId="35" applyNumberFormat="1" applyFont="1"/>
    <xf numFmtId="170" fontId="0" fillId="0" borderId="0" xfId="0" applyNumberFormat="1"/>
    <xf numFmtId="165" fontId="55" fillId="0" borderId="0" xfId="0" applyNumberFormat="1" applyFont="1" applyBorder="1"/>
    <xf numFmtId="202" fontId="3" fillId="0" borderId="0" xfId="0" applyNumberFormat="1" applyFont="1" applyBorder="1"/>
    <xf numFmtId="205" fontId="55" fillId="0" borderId="16" xfId="56" applyNumberFormat="1" applyFont="1" applyFill="1" applyBorder="1"/>
    <xf numFmtId="202" fontId="3" fillId="0" borderId="0" xfId="35" applyNumberFormat="1" applyFont="1" applyFill="1" applyBorder="1"/>
    <xf numFmtId="192" fontId="3" fillId="0" borderId="22" xfId="35" applyNumberFormat="1" applyFont="1" applyFill="1" applyBorder="1" applyAlignment="1">
      <alignment horizontal="left" indent="2"/>
    </xf>
    <xf numFmtId="0" fontId="3" fillId="0" borderId="22" xfId="0" applyFont="1" applyBorder="1"/>
    <xf numFmtId="168" fontId="5" fillId="0" borderId="22" xfId="56" applyNumberFormat="1" applyFont="1" applyFill="1" applyBorder="1"/>
    <xf numFmtId="168" fontId="5" fillId="26" borderId="22" xfId="56" applyNumberFormat="1" applyFont="1" applyFill="1" applyBorder="1"/>
    <xf numFmtId="193" fontId="5" fillId="26" borderId="22" xfId="56" applyNumberFormat="1" applyFont="1" applyFill="1" applyBorder="1"/>
    <xf numFmtId="193" fontId="5" fillId="0" borderId="22" xfId="56" applyNumberFormat="1" applyFont="1" applyFill="1" applyBorder="1"/>
    <xf numFmtId="205" fontId="55" fillId="0" borderId="22" xfId="56" applyNumberFormat="1" applyFont="1" applyFill="1" applyBorder="1"/>
    <xf numFmtId="205" fontId="55" fillId="0" borderId="21" xfId="56" applyNumberFormat="1" applyFont="1" applyFill="1" applyBorder="1"/>
    <xf numFmtId="195" fontId="5" fillId="0" borderId="0" xfId="56" applyNumberFormat="1" applyFont="1" applyFill="1" applyBorder="1"/>
    <xf numFmtId="195" fontId="3" fillId="0" borderId="0" xfId="0" applyNumberFormat="1" applyFont="1"/>
    <xf numFmtId="194" fontId="3" fillId="0" borderId="0" xfId="35" applyNumberFormat="1" applyFont="1" applyFill="1" applyBorder="1"/>
    <xf numFmtId="194" fontId="3" fillId="0" borderId="0" xfId="0" applyNumberFormat="1" applyFont="1" applyFill="1" applyBorder="1"/>
    <xf numFmtId="194" fontId="5" fillId="0" borderId="0" xfId="35" applyNumberFormat="1" applyFont="1" applyFill="1" applyBorder="1"/>
    <xf numFmtId="49" fontId="5" fillId="0" borderId="0" xfId="0" applyNumberFormat="1" applyFont="1" applyFill="1" applyBorder="1" applyAlignment="1">
      <alignment horizontal="left" indent="2"/>
    </xf>
    <xf numFmtId="202" fontId="55" fillId="0" borderId="0" xfId="35" applyNumberFormat="1" applyFont="1" applyFill="1" applyBorder="1"/>
    <xf numFmtId="0" fontId="19" fillId="0" borderId="0" xfId="0" applyFont="1"/>
    <xf numFmtId="165" fontId="55" fillId="26" borderId="0" xfId="0" applyNumberFormat="1" applyFont="1" applyFill="1"/>
    <xf numFmtId="205" fontId="5" fillId="0" borderId="0" xfId="56" applyNumberFormat="1" applyFont="1" applyFill="1" applyBorder="1"/>
    <xf numFmtId="49" fontId="3" fillId="0" borderId="0" xfId="35" applyNumberFormat="1" applyFont="1" applyFill="1" applyBorder="1"/>
    <xf numFmtId="49" fontId="4" fillId="0" borderId="0" xfId="0" applyNumberFormat="1" applyFont="1" applyFill="1" applyBorder="1"/>
    <xf numFmtId="203" fontId="3" fillId="0" borderId="0" xfId="0" applyNumberFormat="1" applyFont="1"/>
    <xf numFmtId="203" fontId="5" fillId="0" borderId="0" xfId="35" applyNumberFormat="1" applyFont="1" applyFill="1" applyBorder="1"/>
    <xf numFmtId="203" fontId="55" fillId="0" borderId="0" xfId="35" applyNumberFormat="1" applyFont="1" applyFill="1" applyBorder="1"/>
    <xf numFmtId="168" fontId="4" fillId="26" borderId="0" xfId="56" applyNumberFormat="1" applyFont="1" applyFill="1" applyBorder="1"/>
    <xf numFmtId="0" fontId="4" fillId="0" borderId="0" xfId="0" applyFont="1" applyBorder="1"/>
    <xf numFmtId="0" fontId="4" fillId="26" borderId="0" xfId="0" applyFont="1" applyFill="1"/>
    <xf numFmtId="43" fontId="3" fillId="0" borderId="0" xfId="35" applyFont="1" applyBorder="1"/>
    <xf numFmtId="0" fontId="0" fillId="0" borderId="0" xfId="0" applyBorder="1"/>
    <xf numFmtId="0" fontId="4" fillId="0" borderId="0" xfId="0" applyFont="1" applyFill="1" applyBorder="1" applyAlignment="1"/>
    <xf numFmtId="0" fontId="4" fillId="0" borderId="0" xfId="0" applyFont="1" applyFill="1" applyAlignment="1"/>
    <xf numFmtId="49" fontId="56" fillId="0" borderId="0" xfId="35" applyNumberFormat="1" applyFont="1" applyFill="1" applyBorder="1" applyAlignment="1">
      <alignment horizontal="left" indent="2"/>
    </xf>
    <xf numFmtId="49" fontId="10" fillId="0" borderId="0" xfId="0" applyNumberFormat="1" applyFont="1" applyFill="1" applyBorder="1" applyAlignment="1">
      <alignment vertical="center"/>
    </xf>
    <xf numFmtId="49" fontId="10" fillId="0" borderId="0" xfId="35" applyNumberFormat="1" applyFont="1" applyFill="1" applyBorder="1" applyAlignment="1"/>
    <xf numFmtId="49" fontId="5" fillId="0" borderId="0" xfId="0" applyNumberFormat="1" applyFont="1" applyFill="1" applyBorder="1" applyAlignment="1">
      <alignment vertical="center"/>
    </xf>
    <xf numFmtId="49" fontId="4" fillId="0" borderId="0" xfId="35" applyNumberFormat="1" applyFont="1" applyFill="1" applyBorder="1" applyAlignment="1">
      <alignment vertical="center"/>
    </xf>
    <xf numFmtId="165" fontId="3" fillId="0" borderId="10" xfId="0" applyNumberFormat="1" applyFont="1" applyBorder="1" applyAlignment="1"/>
    <xf numFmtId="49" fontId="5" fillId="0" borderId="0" xfId="35" applyNumberFormat="1" applyFont="1" applyFill="1" applyBorder="1" applyAlignment="1">
      <alignment horizontal="left" vertical="center" indent="1"/>
    </xf>
    <xf numFmtId="49" fontId="5" fillId="0" borderId="0" xfId="35" applyNumberFormat="1" applyFont="1" applyFill="1" applyAlignment="1">
      <alignment horizontal="left" indent="1"/>
    </xf>
    <xf numFmtId="49" fontId="5" fillId="0" borderId="13" xfId="35" applyNumberFormat="1" applyFont="1" applyFill="1" applyBorder="1" applyAlignment="1">
      <alignment horizontal="left" indent="1"/>
    </xf>
    <xf numFmtId="192" fontId="5" fillId="0" borderId="0" xfId="35" applyNumberFormat="1" applyFont="1" applyFill="1" applyBorder="1" applyAlignment="1"/>
    <xf numFmtId="195" fontId="55" fillId="0" borderId="0" xfId="56" applyNumberFormat="1" applyFont="1" applyFill="1" applyBorder="1"/>
    <xf numFmtId="195" fontId="55" fillId="26" borderId="0" xfId="56" applyNumberFormat="1" applyFont="1" applyFill="1" applyBorder="1"/>
    <xf numFmtId="205" fontId="5" fillId="0" borderId="10" xfId="35" applyNumberFormat="1" applyFont="1" applyFill="1" applyBorder="1"/>
    <xf numFmtId="204" fontId="55" fillId="24" borderId="0" xfId="56" applyNumberFormat="1" applyFont="1" applyFill="1" applyBorder="1"/>
    <xf numFmtId="204" fontId="5" fillId="0" borderId="0" xfId="56" applyNumberFormat="1" applyFont="1" applyFill="1" applyBorder="1"/>
    <xf numFmtId="192" fontId="4" fillId="0" borderId="0" xfId="35" applyNumberFormat="1" applyFont="1" applyFill="1" applyBorder="1" applyAlignment="1"/>
    <xf numFmtId="191" fontId="4" fillId="0" borderId="0" xfId="56" applyNumberFormat="1" applyFont="1" applyFill="1" applyBorder="1"/>
    <xf numFmtId="188" fontId="4" fillId="0" borderId="0" xfId="56" applyNumberFormat="1" applyFont="1" applyFill="1" applyBorder="1"/>
    <xf numFmtId="192" fontId="3" fillId="0" borderId="0" xfId="0" applyNumberFormat="1" applyFont="1" applyBorder="1" applyAlignment="1">
      <alignment horizontal="left" indent="1"/>
    </xf>
    <xf numFmtId="205" fontId="5" fillId="0" borderId="0" xfId="35" applyNumberFormat="1" applyFont="1" applyFill="1" applyBorder="1"/>
    <xf numFmtId="192" fontId="3" fillId="0" borderId="0" xfId="0" applyNumberFormat="1" applyFont="1" applyBorder="1" applyAlignment="1"/>
    <xf numFmtId="192" fontId="3" fillId="0" borderId="10" xfId="0" applyNumberFormat="1" applyFont="1" applyBorder="1" applyAlignment="1"/>
    <xf numFmtId="202" fontId="55" fillId="24" borderId="0" xfId="35" applyNumberFormat="1" applyFont="1" applyFill="1" applyBorder="1"/>
    <xf numFmtId="170" fontId="55" fillId="24" borderId="0" xfId="56" applyNumberFormat="1" applyFont="1" applyFill="1" applyBorder="1"/>
    <xf numFmtId="194" fontId="55" fillId="26" borderId="0" xfId="56" applyNumberFormat="1" applyFont="1" applyFill="1" applyBorder="1"/>
    <xf numFmtId="205" fontId="3" fillId="0" borderId="0" xfId="0" applyNumberFormat="1" applyFont="1" applyFill="1" applyAlignment="1">
      <alignment horizontal="right"/>
    </xf>
    <xf numFmtId="188" fontId="55" fillId="24" borderId="10" xfId="35" applyNumberFormat="1" applyFont="1" applyFill="1" applyBorder="1"/>
    <xf numFmtId="188" fontId="55" fillId="24" borderId="0" xfId="35" applyNumberFormat="1" applyFont="1" applyFill="1" applyBorder="1"/>
    <xf numFmtId="205" fontId="3" fillId="0" borderId="18" xfId="0" applyNumberFormat="1" applyFont="1" applyFill="1" applyBorder="1"/>
    <xf numFmtId="205" fontId="3" fillId="0" borderId="18" xfId="0" applyNumberFormat="1" applyFont="1" applyFill="1" applyBorder="1" applyAlignment="1">
      <alignment horizontal="right"/>
    </xf>
    <xf numFmtId="202" fontId="5" fillId="0" borderId="17" xfId="56" applyNumberFormat="1" applyFont="1" applyFill="1" applyBorder="1"/>
    <xf numFmtId="165" fontId="3" fillId="0" borderId="17" xfId="0" applyNumberFormat="1" applyFont="1" applyFill="1" applyBorder="1"/>
    <xf numFmtId="202" fontId="3" fillId="0" borderId="17" xfId="0" applyNumberFormat="1" applyFont="1" applyFill="1" applyBorder="1"/>
    <xf numFmtId="195" fontId="55" fillId="24" borderId="0" xfId="56" applyNumberFormat="1" applyFont="1" applyFill="1" applyBorder="1"/>
    <xf numFmtId="204" fontId="3" fillId="0" borderId="0" xfId="56" applyNumberFormat="1" applyFont="1" applyFill="1" applyBorder="1"/>
    <xf numFmtId="204" fontId="5" fillId="0" borderId="0" xfId="35" applyNumberFormat="1" applyFont="1" applyFill="1" applyBorder="1"/>
    <xf numFmtId="204" fontId="5" fillId="0" borderId="10" xfId="35" applyNumberFormat="1" applyFont="1" applyFill="1" applyBorder="1"/>
    <xf numFmtId="192" fontId="10" fillId="0" borderId="0" xfId="35" applyNumberFormat="1" applyFont="1" applyFill="1" applyBorder="1" applyAlignment="1">
      <alignment horizontal="left" indent="1"/>
    </xf>
    <xf numFmtId="0" fontId="10" fillId="23" borderId="0" xfId="0" applyFont="1" applyFill="1" applyAlignment="1">
      <alignment horizontal="left" indent="1"/>
    </xf>
    <xf numFmtId="165" fontId="5" fillId="0" borderId="10" xfId="35" applyNumberFormat="1" applyFont="1" applyFill="1" applyBorder="1"/>
    <xf numFmtId="191" fontId="3" fillId="0" borderId="0" xfId="35" applyNumberFormat="1" applyFont="1" applyFill="1" applyAlignment="1">
      <alignment horizontal="right"/>
    </xf>
    <xf numFmtId="191" fontId="3" fillId="0" borderId="0" xfId="56" applyNumberFormat="1" applyFont="1" applyFill="1" applyBorder="1" applyAlignment="1">
      <alignment horizontal="right"/>
    </xf>
    <xf numFmtId="191" fontId="55" fillId="24" borderId="0" xfId="35" applyNumberFormat="1" applyFont="1" applyFill="1"/>
    <xf numFmtId="170" fontId="14" fillId="0" borderId="17" xfId="35" applyNumberFormat="1" applyFont="1" applyFill="1" applyBorder="1" applyAlignment="1">
      <alignment horizontal="left"/>
    </xf>
    <xf numFmtId="165" fontId="55" fillId="0" borderId="19" xfId="35" applyNumberFormat="1" applyFont="1" applyFill="1" applyBorder="1"/>
    <xf numFmtId="189" fontId="59" fillId="0" borderId="0" xfId="0" applyNumberFormat="1" applyFont="1" applyBorder="1"/>
    <xf numFmtId="0" fontId="9" fillId="22" borderId="0" xfId="0" applyFont="1" applyFill="1" applyBorder="1"/>
    <xf numFmtId="9" fontId="3" fillId="0" borderId="0" xfId="0" applyNumberFormat="1" applyFont="1" applyBorder="1"/>
    <xf numFmtId="170" fontId="3" fillId="0" borderId="0" xfId="0" applyNumberFormat="1" applyFont="1" applyBorder="1"/>
    <xf numFmtId="195" fontId="3" fillId="0" borderId="0" xfId="0" applyNumberFormat="1" applyFont="1" applyBorder="1"/>
    <xf numFmtId="0" fontId="3" fillId="23" borderId="0" xfId="0" applyFont="1" applyFill="1" applyBorder="1"/>
    <xf numFmtId="0" fontId="4" fillId="23" borderId="0" xfId="0" applyFont="1" applyFill="1" applyBorder="1"/>
    <xf numFmtId="0" fontId="5" fillId="23" borderId="0" xfId="0" applyFont="1" applyFill="1" applyBorder="1"/>
    <xf numFmtId="164" fontId="4" fillId="0" borderId="0" xfId="35" applyNumberFormat="1" applyFont="1" applyBorder="1" applyAlignment="1">
      <alignment horizontal="right"/>
    </xf>
    <xf numFmtId="165" fontId="56" fillId="0" borderId="0" xfId="0" applyNumberFormat="1" applyFont="1" applyBorder="1"/>
    <xf numFmtId="197" fontId="3" fillId="0" borderId="0" xfId="0" applyNumberFormat="1" applyFont="1" applyBorder="1"/>
    <xf numFmtId="198" fontId="3" fillId="0" borderId="0" xfId="0" applyNumberFormat="1" applyFont="1" applyBorder="1"/>
    <xf numFmtId="0" fontId="1" fillId="0" borderId="0" xfId="76"/>
    <xf numFmtId="0" fontId="1" fillId="27" borderId="0" xfId="75" applyFont="1" applyFill="1" applyAlignment="1">
      <alignment vertical="top"/>
    </xf>
    <xf numFmtId="0" fontId="1" fillId="27" borderId="0" xfId="76" applyFill="1" applyAlignment="1">
      <alignment vertical="top"/>
    </xf>
    <xf numFmtId="0" fontId="1" fillId="27" borderId="0" xfId="76" applyFill="1"/>
    <xf numFmtId="0" fontId="15" fillId="27" borderId="0" xfId="75" applyFont="1" applyFill="1" applyAlignment="1">
      <alignment horizontal="left" vertical="top"/>
    </xf>
    <xf numFmtId="0" fontId="1" fillId="27" borderId="0" xfId="76" applyFont="1" applyFill="1" applyAlignment="1">
      <alignment vertical="top"/>
    </xf>
    <xf numFmtId="0" fontId="63" fillId="27" borderId="0" xfId="75" applyFont="1" applyFill="1" applyAlignment="1">
      <alignment vertical="top"/>
    </xf>
    <xf numFmtId="0" fontId="0" fillId="27" borderId="0" xfId="0" applyFill="1" applyAlignment="1">
      <alignment vertical="top"/>
    </xf>
    <xf numFmtId="0" fontId="64" fillId="27" borderId="0" xfId="0" applyFont="1" applyFill="1" applyAlignment="1">
      <alignment vertical="top"/>
    </xf>
    <xf numFmtId="0" fontId="65" fillId="27" borderId="0" xfId="0" applyFont="1" applyFill="1" applyAlignment="1">
      <alignment vertical="top"/>
    </xf>
    <xf numFmtId="0" fontId="65" fillId="27" borderId="0" xfId="0" applyFont="1" applyFill="1" applyAlignment="1">
      <alignment vertical="top"/>
    </xf>
    <xf numFmtId="0" fontId="64" fillId="27" borderId="0" xfId="0" applyFont="1" applyFill="1" applyAlignment="1">
      <alignment vertical="top"/>
    </xf>
    <xf numFmtId="0" fontId="0" fillId="27" borderId="0" xfId="0" applyFill="1" applyAlignment="1">
      <alignment vertical="top"/>
    </xf>
    <xf numFmtId="0" fontId="0" fillId="27" borderId="27" xfId="0" applyFill="1" applyBorder="1" applyAlignment="1">
      <alignment vertical="top"/>
    </xf>
    <xf numFmtId="0" fontId="64" fillId="27" borderId="23" xfId="0" applyFont="1" applyFill="1" applyBorder="1" applyAlignment="1">
      <alignment vertical="top"/>
    </xf>
    <xf numFmtId="0" fontId="64" fillId="27" borderId="24" xfId="0" applyFont="1" applyFill="1" applyBorder="1" applyAlignment="1">
      <alignment vertical="top"/>
    </xf>
    <xf numFmtId="0" fontId="64" fillId="27" borderId="25" xfId="0" applyFont="1" applyFill="1" applyBorder="1" applyAlignment="1">
      <alignment vertical="top"/>
    </xf>
    <xf numFmtId="0" fontId="64" fillId="27" borderId="26" xfId="0" applyFont="1" applyFill="1" applyBorder="1" applyAlignment="1">
      <alignment vertical="top"/>
    </xf>
    <xf numFmtId="9" fontId="64" fillId="27" borderId="23" xfId="0" applyNumberFormat="1" applyFont="1" applyFill="1" applyBorder="1" applyAlignment="1">
      <alignment vertical="top"/>
    </xf>
    <xf numFmtId="3" fontId="64" fillId="27" borderId="23" xfId="0" applyNumberFormat="1" applyFont="1" applyFill="1" applyBorder="1" applyAlignment="1">
      <alignment vertical="top"/>
    </xf>
    <xf numFmtId="0" fontId="0" fillId="27" borderId="28" xfId="0" applyFill="1" applyBorder="1" applyAlignment="1">
      <alignment vertical="top"/>
    </xf>
    <xf numFmtId="2" fontId="1" fillId="0" borderId="0" xfId="76" applyNumberFormat="1" applyAlignment="1">
      <alignment horizontal="left"/>
    </xf>
    <xf numFmtId="0" fontId="1" fillId="0" borderId="0" xfId="76" applyNumberFormat="1" applyAlignment="1">
      <alignment horizontal="left"/>
    </xf>
    <xf numFmtId="1" fontId="1" fillId="0" borderId="0" xfId="76" applyNumberFormat="1" applyAlignment="1">
      <alignment horizontal="left"/>
    </xf>
    <xf numFmtId="0" fontId="1" fillId="0" borderId="0" xfId="76" applyFont="1"/>
    <xf numFmtId="213" fontId="1" fillId="0" borderId="0" xfId="76" applyNumberFormat="1" applyAlignment="1">
      <alignment horizontal="left"/>
    </xf>
    <xf numFmtId="49" fontId="1" fillId="0" borderId="0" xfId="76" applyNumberFormat="1"/>
  </cellXfs>
  <cellStyles count="77">
    <cellStyle name="          _x000d__x000a_network.drv=netware." xfId="1"/>
    <cellStyle name=" 1" xfId="2"/>
    <cellStyle name=" 1 2" xfId="72"/>
    <cellStyle name="_x000a_386grabber=M" xfId="3"/>
    <cellStyle name="_SUMMARY " xfId="4"/>
    <cellStyle name="0_Capex &amp; Depreciation " xfId="5"/>
    <cellStyle name="0_Valuing BP " xfId="6"/>
    <cellStyle name="20% - Accent1" xfId="7" builtinId="30" customBuiltin="1"/>
    <cellStyle name="20% - Accent2" xfId="8" builtinId="34" customBuiltin="1"/>
    <cellStyle name="20% - Accent3" xfId="9" builtinId="38" customBuiltin="1"/>
    <cellStyle name="20% - Accent4" xfId="10" builtinId="42" customBuiltin="1"/>
    <cellStyle name="20% - Accent5" xfId="11" builtinId="46" customBuiltin="1"/>
    <cellStyle name="20% - Accent6" xfId="12" builtinId="50" customBuiltin="1"/>
    <cellStyle name="40% - Accent1" xfId="13" builtinId="31" customBuiltin="1"/>
    <cellStyle name="40% - Accent2" xfId="14" builtinId="35" customBuiltin="1"/>
    <cellStyle name="40% - Accent3" xfId="15" builtinId="39" customBuiltin="1"/>
    <cellStyle name="40% - Accent4" xfId="16" builtinId="43" customBuiltin="1"/>
    <cellStyle name="40% - Accent5" xfId="17" builtinId="47" customBuiltin="1"/>
    <cellStyle name="40% - Accent6" xfId="18" builtinId="51" customBuiltin="1"/>
    <cellStyle name="60% - Accent1" xfId="19" builtinId="32" customBuiltin="1"/>
    <cellStyle name="60% - Accent2" xfId="20" builtinId="36" customBuiltin="1"/>
    <cellStyle name="60% - Accent3" xfId="21" builtinId="40" customBuiltin="1"/>
    <cellStyle name="60% - Accent4" xfId="22" builtinId="44" customBuiltin="1"/>
    <cellStyle name="60% - Accent5" xfId="23" builtinId="48" customBuiltin="1"/>
    <cellStyle name="60% - Accent6" xfId="24" builtinId="52" customBuiltin="1"/>
    <cellStyle name="Accent1" xfId="25" builtinId="29" customBuiltin="1"/>
    <cellStyle name="Accent2" xfId="26" builtinId="33" customBuiltin="1"/>
    <cellStyle name="Accent3" xfId="27" builtinId="37" customBuiltin="1"/>
    <cellStyle name="Accent4" xfId="28" builtinId="41" customBuiltin="1"/>
    <cellStyle name="Accent5" xfId="29" builtinId="45" customBuiltin="1"/>
    <cellStyle name="Accent6" xfId="30" builtinId="49" customBuiltin="1"/>
    <cellStyle name="Bad" xfId="31" builtinId="27" customBuiltin="1"/>
    <cellStyle name="c_HardInc " xfId="32"/>
    <cellStyle name="Calculation" xfId="33" builtinId="22" customBuiltin="1"/>
    <cellStyle name="Check Cell" xfId="34" builtinId="23" customBuiltin="1"/>
    <cellStyle name="Comma" xfId="35" builtinId="3"/>
    <cellStyle name="Comma 2" xfId="36"/>
    <cellStyle name="Comma 2 2" xfId="37"/>
    <cellStyle name="Comma 2 3" xfId="38"/>
    <cellStyle name="Comma 8" xfId="39"/>
    <cellStyle name="Currency 2" xfId="40"/>
    <cellStyle name="Currency 6" xfId="73"/>
    <cellStyle name="Explanatory Text" xfId="41" builtinId="53" customBuiltin="1"/>
    <cellStyle name="Good" xfId="42" builtinId="26" customBuiltin="1"/>
    <cellStyle name="Heading 1" xfId="43" builtinId="16" customBuiltin="1"/>
    <cellStyle name="Heading 2" xfId="44" builtinId="17" customBuiltin="1"/>
    <cellStyle name="Heading 3" xfId="45" builtinId="18" customBuiltin="1"/>
    <cellStyle name="Heading 4" xfId="46" builtinId="19" customBuiltin="1"/>
    <cellStyle name="Input" xfId="47" builtinId="20" customBuiltin="1"/>
    <cellStyle name="Linked Cell" xfId="48" builtinId="24" customBuiltin="1"/>
    <cellStyle name="Neutral" xfId="49" builtinId="28" customBuiltin="1"/>
    <cellStyle name="Normal" xfId="0" builtinId="0"/>
    <cellStyle name="Normal 2" xfId="50"/>
    <cellStyle name="Normal 2 2" xfId="51"/>
    <cellStyle name="Normal 3" xfId="70"/>
    <cellStyle name="Normal 4" xfId="74"/>
    <cellStyle name="Normal 5" xfId="76"/>
    <cellStyle name="Normal 6" xfId="52"/>
    <cellStyle name="Normal_DisclaimerSheet Samples" xfId="75"/>
    <cellStyle name="Note" xfId="53" builtinId="10" customBuiltin="1"/>
    <cellStyle name="Output" xfId="54" builtinId="21" customBuiltin="1"/>
    <cellStyle name="p " xfId="55"/>
    <cellStyle name="Percent" xfId="56" builtinId="5"/>
    <cellStyle name="Percent 2" xfId="57"/>
    <cellStyle name="Percent 3" xfId="71"/>
    <cellStyle name="Percent 4" xfId="58"/>
    <cellStyle name="Percent 5" xfId="59"/>
    <cellStyle name="RRSInstruction" xfId="60"/>
    <cellStyle name="s_HardInc " xfId="61"/>
    <cellStyle name="s_Valuation " xfId="62"/>
    <cellStyle name="ssp " xfId="63"/>
    <cellStyle name="Subtotal 2" xfId="64"/>
    <cellStyle name="Title" xfId="65" builtinId="15" customBuiltin="1"/>
    <cellStyle name="Total" xfId="66" builtinId="25" customBuiltin="1"/>
    <cellStyle name="Warning Text" xfId="67" builtinId="11" customBuiltin="1"/>
    <cellStyle name="콤마 [0]_#3이설 견적_준공내역총괄표 " xfId="68"/>
    <cellStyle name="콤마_#3이설 견적_준공내역총괄표 " xfId="69"/>
  </cellStyles>
  <dxfs count="3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../customXml/item1.xml" Type="http://schemas.openxmlformats.org/officeDocument/2006/relationships/customXml"/>
<Relationship Id="rId11" Target="../customXml/item2.xml" Type="http://schemas.openxmlformats.org/officeDocument/2006/relationships/customXml"/>
<Relationship Id="rId12" Target="vbaProject.bin" Type="http://schemas.microsoft.com/office/2006/relationships/vbaProject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theme/theme1.xml" Type="http://schemas.openxmlformats.org/officeDocument/2006/relationships/theme"/>
<Relationship Id="rId7" Target="styles.xml" Type="http://schemas.openxmlformats.org/officeDocument/2006/relationships/styles"/>
<Relationship Id="rId8" Target="sharedStrings.xml" Type="http://schemas.openxmlformats.org/officeDocument/2006/relationships/sharedStrings"/>
<Relationship Id="rId9" Target="calcChain.xml" Type="http://schemas.openxmlformats.org/officeDocument/2006/relationships/calcChain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180</xdr:row>
      <xdr:rowOff>0</xdr:rowOff>
    </xdr:from>
    <xdr:to>
      <xdr:col>7</xdr:col>
      <xdr:colOff>390525</xdr:colOff>
      <xdr:row>203</xdr:row>
      <xdr:rowOff>104775</xdr:rowOff>
    </xdr:to>
    <xdr:pic>
      <xdr:nvPicPr>
        <xdr:cNvPr id="33260545" name="Picture 1" descr="C:\Users\ozierale.MSAD\AppData\Local\Temp\MercuryPriceRatingHistoryChart\SLCA.N_2018_04_11_00_10_52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77490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94"/>
  <sheetViews>
    <sheetView showGridLines="0" tabSelected="1" workbookViewId="0">
      <selection activeCell="Z1" sqref="Z1"/>
    </sheetView>
  </sheetViews>
  <sheetFormatPr defaultRowHeight="12.75"/>
  <cols>
    <col min="1" max="1" width="25.7109375" style="320" customWidth="1"/>
    <col min="2" max="5" width="9.140625" style="320"/>
    <col min="6" max="6" width="18.7109375" style="320" customWidth="1"/>
    <col min="7" max="256" width="9.140625" style="320"/>
    <col min="257" max="257" width="100.7109375" style="320" customWidth="1"/>
    <col min="258" max="512" width="9.140625" style="320"/>
    <col min="513" max="513" width="100.7109375" style="320" customWidth="1"/>
    <col min="514" max="768" width="9.140625" style="320"/>
    <col min="769" max="769" width="100.7109375" style="320" customWidth="1"/>
    <col min="770" max="1024" width="9.140625" style="320"/>
    <col min="1025" max="1025" width="100.7109375" style="320" customWidth="1"/>
    <col min="1026" max="1280" width="9.140625" style="320"/>
    <col min="1281" max="1281" width="100.7109375" style="320" customWidth="1"/>
    <col min="1282" max="1536" width="9.140625" style="320"/>
    <col min="1537" max="1537" width="100.7109375" style="320" customWidth="1"/>
    <col min="1538" max="1792" width="9.140625" style="320"/>
    <col min="1793" max="1793" width="100.7109375" style="320" customWidth="1"/>
    <col min="1794" max="2048" width="9.140625" style="320"/>
    <col min="2049" max="2049" width="100.7109375" style="320" customWidth="1"/>
    <col min="2050" max="2304" width="9.140625" style="320"/>
    <col min="2305" max="2305" width="100.7109375" style="320" customWidth="1"/>
    <col min="2306" max="2560" width="9.140625" style="320"/>
    <col min="2561" max="2561" width="100.7109375" style="320" customWidth="1"/>
    <col min="2562" max="2816" width="9.140625" style="320"/>
    <col min="2817" max="2817" width="100.7109375" style="320" customWidth="1"/>
    <col min="2818" max="3072" width="9.140625" style="320"/>
    <col min="3073" max="3073" width="100.7109375" style="320" customWidth="1"/>
    <col min="3074" max="3328" width="9.140625" style="320"/>
    <col min="3329" max="3329" width="100.7109375" style="320" customWidth="1"/>
    <col min="3330" max="3584" width="9.140625" style="320"/>
    <col min="3585" max="3585" width="100.7109375" style="320" customWidth="1"/>
    <col min="3586" max="3840" width="9.140625" style="320"/>
    <col min="3841" max="3841" width="100.7109375" style="320" customWidth="1"/>
    <col min="3842" max="4096" width="9.140625" style="320"/>
    <col min="4097" max="4097" width="100.7109375" style="320" customWidth="1"/>
    <col min="4098" max="4352" width="9.140625" style="320"/>
    <col min="4353" max="4353" width="100.7109375" style="320" customWidth="1"/>
    <col min="4354" max="4608" width="9.140625" style="320"/>
    <col min="4609" max="4609" width="100.7109375" style="320" customWidth="1"/>
    <col min="4610" max="4864" width="9.140625" style="320"/>
    <col min="4865" max="4865" width="100.7109375" style="320" customWidth="1"/>
    <col min="4866" max="5120" width="9.140625" style="320"/>
    <col min="5121" max="5121" width="100.7109375" style="320" customWidth="1"/>
    <col min="5122" max="5376" width="9.140625" style="320"/>
    <col min="5377" max="5377" width="100.7109375" style="320" customWidth="1"/>
    <col min="5378" max="5632" width="9.140625" style="320"/>
    <col min="5633" max="5633" width="100.7109375" style="320" customWidth="1"/>
    <col min="5634" max="5888" width="9.140625" style="320"/>
    <col min="5889" max="5889" width="100.7109375" style="320" customWidth="1"/>
    <col min="5890" max="6144" width="9.140625" style="320"/>
    <col min="6145" max="6145" width="100.7109375" style="320" customWidth="1"/>
    <col min="6146" max="6400" width="9.140625" style="320"/>
    <col min="6401" max="6401" width="100.7109375" style="320" customWidth="1"/>
    <col min="6402" max="6656" width="9.140625" style="320"/>
    <col min="6657" max="6657" width="100.7109375" style="320" customWidth="1"/>
    <col min="6658" max="6912" width="9.140625" style="320"/>
    <col min="6913" max="6913" width="100.7109375" style="320" customWidth="1"/>
    <col min="6914" max="7168" width="9.140625" style="320"/>
    <col min="7169" max="7169" width="100.7109375" style="320" customWidth="1"/>
    <col min="7170" max="7424" width="9.140625" style="320"/>
    <col min="7425" max="7425" width="100.7109375" style="320" customWidth="1"/>
    <col min="7426" max="7680" width="9.140625" style="320"/>
    <col min="7681" max="7681" width="100.7109375" style="320" customWidth="1"/>
    <col min="7682" max="7936" width="9.140625" style="320"/>
    <col min="7937" max="7937" width="100.7109375" style="320" customWidth="1"/>
    <col min="7938" max="8192" width="9.140625" style="320"/>
    <col min="8193" max="8193" width="100.7109375" style="320" customWidth="1"/>
    <col min="8194" max="8448" width="9.140625" style="320"/>
    <col min="8449" max="8449" width="100.7109375" style="320" customWidth="1"/>
    <col min="8450" max="8704" width="9.140625" style="320"/>
    <col min="8705" max="8705" width="100.7109375" style="320" customWidth="1"/>
    <col min="8706" max="8960" width="9.140625" style="320"/>
    <col min="8961" max="8961" width="100.7109375" style="320" customWidth="1"/>
    <col min="8962" max="9216" width="9.140625" style="320"/>
    <col min="9217" max="9217" width="100.7109375" style="320" customWidth="1"/>
    <col min="9218" max="9472" width="9.140625" style="320"/>
    <col min="9473" max="9473" width="100.7109375" style="320" customWidth="1"/>
    <col min="9474" max="9728" width="9.140625" style="320"/>
    <col min="9729" max="9729" width="100.7109375" style="320" customWidth="1"/>
    <col min="9730" max="9984" width="9.140625" style="320"/>
    <col min="9985" max="9985" width="100.7109375" style="320" customWidth="1"/>
    <col min="9986" max="10240" width="9.140625" style="320"/>
    <col min="10241" max="10241" width="100.7109375" style="320" customWidth="1"/>
    <col min="10242" max="10496" width="9.140625" style="320"/>
    <col min="10497" max="10497" width="100.7109375" style="320" customWidth="1"/>
    <col min="10498" max="10752" width="9.140625" style="320"/>
    <col min="10753" max="10753" width="100.7109375" style="320" customWidth="1"/>
    <col min="10754" max="11008" width="9.140625" style="320"/>
    <col min="11009" max="11009" width="100.7109375" style="320" customWidth="1"/>
    <col min="11010" max="11264" width="9.140625" style="320"/>
    <col min="11265" max="11265" width="100.7109375" style="320" customWidth="1"/>
    <col min="11266" max="11520" width="9.140625" style="320"/>
    <col min="11521" max="11521" width="100.7109375" style="320" customWidth="1"/>
    <col min="11522" max="11776" width="9.140625" style="320"/>
    <col min="11777" max="11777" width="100.7109375" style="320" customWidth="1"/>
    <col min="11778" max="12032" width="9.140625" style="320"/>
    <col min="12033" max="12033" width="100.7109375" style="320" customWidth="1"/>
    <col min="12034" max="12288" width="9.140625" style="320"/>
    <col min="12289" max="12289" width="100.7109375" style="320" customWidth="1"/>
    <col min="12290" max="12544" width="9.140625" style="320"/>
    <col min="12545" max="12545" width="100.7109375" style="320" customWidth="1"/>
    <col min="12546" max="12800" width="9.140625" style="320"/>
    <col min="12801" max="12801" width="100.7109375" style="320" customWidth="1"/>
    <col min="12802" max="13056" width="9.140625" style="320"/>
    <col min="13057" max="13057" width="100.7109375" style="320" customWidth="1"/>
    <col min="13058" max="13312" width="9.140625" style="320"/>
    <col min="13313" max="13313" width="100.7109375" style="320" customWidth="1"/>
    <col min="13314" max="13568" width="9.140625" style="320"/>
    <col min="13569" max="13569" width="100.7109375" style="320" customWidth="1"/>
    <col min="13570" max="13824" width="9.140625" style="320"/>
    <col min="13825" max="13825" width="100.7109375" style="320" customWidth="1"/>
    <col min="13826" max="14080" width="9.140625" style="320"/>
    <col min="14081" max="14081" width="100.7109375" style="320" customWidth="1"/>
    <col min="14082" max="14336" width="9.140625" style="320"/>
    <col min="14337" max="14337" width="100.7109375" style="320" customWidth="1"/>
    <col min="14338" max="14592" width="9.140625" style="320"/>
    <col min="14593" max="14593" width="100.7109375" style="320" customWidth="1"/>
    <col min="14594" max="14848" width="9.140625" style="320"/>
    <col min="14849" max="14849" width="100.7109375" style="320" customWidth="1"/>
    <col min="14850" max="15104" width="9.140625" style="320"/>
    <col min="15105" max="15105" width="100.7109375" style="320" customWidth="1"/>
    <col min="15106" max="15360" width="9.140625" style="320"/>
    <col min="15361" max="15361" width="100.7109375" style="320" customWidth="1"/>
    <col min="15362" max="15616" width="9.140625" style="320"/>
    <col min="15617" max="15617" width="100.7109375" style="320" customWidth="1"/>
    <col min="15618" max="15872" width="9.140625" style="320"/>
    <col min="15873" max="15873" width="100.7109375" style="320" customWidth="1"/>
    <col min="15874" max="16128" width="9.140625" style="320"/>
    <col min="16129" max="16129" width="100.7109375" style="320" customWidth="1"/>
    <col min="16130" max="16384" width="9.140625" style="320"/>
  </cols>
  <sheetData>
    <row r="1" spans="1:8" ht="30" customHeight="1">
      <c r="A1" s="318"/>
      <c r="B1" s="319"/>
      <c r="C1" s="319"/>
      <c r="D1" s="319"/>
      <c r="E1" s="319"/>
      <c r="F1" s="319"/>
      <c r="G1" s="319"/>
      <c r="H1" s="319"/>
    </row>
    <row r="2" spans="1:8" ht="14.25">
      <c r="A2" s="321" t="s">
        <v>488</v>
      </c>
      <c r="B2" s="319"/>
      <c r="C2" s="319"/>
      <c r="D2" s="319"/>
      <c r="E2" s="319"/>
      <c r="F2" s="319"/>
      <c r="G2" s="319"/>
      <c r="H2" s="319"/>
    </row>
    <row r="3" spans="1:8" ht="14.25">
      <c r="A3" s="321" t="s">
        <v>489</v>
      </c>
      <c r="B3" s="319"/>
      <c r="C3" s="319"/>
      <c r="D3" s="319"/>
      <c r="E3" s="319"/>
      <c r="F3" s="319"/>
      <c r="G3" s="319"/>
      <c r="H3" s="319"/>
    </row>
    <row r="4" spans="1:8" ht="14.25">
      <c r="A4" s="321" t="s">
        <v>490</v>
      </c>
      <c r="B4" s="319"/>
      <c r="C4" s="319"/>
      <c r="D4" s="319"/>
      <c r="E4" s="319"/>
      <c r="F4" s="319"/>
      <c r="G4" s="319"/>
      <c r="H4" s="319"/>
    </row>
    <row r="5" spans="1:8" ht="14.25">
      <c r="A5" s="321" t="s">
        <v>491</v>
      </c>
      <c r="B5" s="319"/>
      <c r="C5" s="319"/>
      <c r="D5" s="319"/>
      <c r="E5" s="319"/>
      <c r="F5" s="319"/>
      <c r="G5" s="319"/>
      <c r="H5" s="319"/>
    </row>
    <row r="6" spans="1:8" ht="14.25">
      <c r="A6" s="321"/>
      <c r="B6" s="319"/>
      <c r="C6" s="319"/>
      <c r="D6" s="319"/>
      <c r="E6" s="319"/>
      <c r="F6" s="319"/>
      <c r="G6" s="319"/>
      <c r="H6" s="319"/>
    </row>
    <row r="7" spans="1:8">
      <c r="A7" s="318" t="s">
        <v>492</v>
      </c>
      <c r="B7" s="319"/>
      <c r="C7" s="319"/>
      <c r="D7" s="319"/>
      <c r="E7" s="319"/>
      <c r="F7" s="319"/>
      <c r="G7" s="319"/>
      <c r="H7" s="319"/>
    </row>
    <row r="8" spans="1:8">
      <c r="A8" s="318" t="s">
        <v>493</v>
      </c>
      <c r="B8" s="319"/>
      <c r="C8" s="319"/>
      <c r="D8" s="319"/>
      <c r="E8" s="319"/>
      <c r="F8" s="319"/>
      <c r="G8" s="319"/>
      <c r="H8" s="319"/>
    </row>
    <row r="9" spans="1:8">
      <c r="A9" s="318"/>
      <c r="B9" s="319"/>
      <c r="C9" s="319"/>
      <c r="D9" s="319"/>
      <c r="E9" s="319"/>
      <c r="F9" s="319"/>
      <c r="G9" s="319"/>
      <c r="H9" s="319"/>
    </row>
    <row r="10" spans="1:8">
      <c r="A10" s="322" t="s">
        <v>494</v>
      </c>
      <c r="B10" s="319"/>
      <c r="C10" s="319"/>
      <c r="D10" s="319"/>
      <c r="E10" s="319"/>
      <c r="F10" s="319"/>
      <c r="G10" s="319"/>
      <c r="H10" s="319"/>
    </row>
    <row r="11" spans="1:8">
      <c r="A11" s="322" t="s">
        <v>495</v>
      </c>
      <c r="B11" s="319"/>
      <c r="C11" s="319"/>
      <c r="D11" s="319"/>
      <c r="E11" s="319"/>
      <c r="F11" s="319"/>
      <c r="G11" s="319"/>
      <c r="H11" s="319"/>
    </row>
    <row r="12" spans="1:8">
      <c r="A12" s="322" t="s">
        <v>496</v>
      </c>
      <c r="B12" s="319"/>
      <c r="C12" s="319"/>
      <c r="D12" s="319"/>
      <c r="E12" s="319"/>
      <c r="F12" s="319"/>
      <c r="G12" s="319"/>
      <c r="H12" s="319"/>
    </row>
    <row r="13" spans="1:8">
      <c r="A13" s="322" t="s">
        <v>497</v>
      </c>
      <c r="B13" s="319"/>
      <c r="C13" s="319"/>
      <c r="D13" s="319"/>
      <c r="E13" s="319"/>
      <c r="F13" s="319"/>
      <c r="G13" s="319"/>
      <c r="H13" s="319"/>
    </row>
    <row r="14" spans="1:8">
      <c r="A14" s="322" t="s">
        <v>498</v>
      </c>
      <c r="B14" s="319"/>
      <c r="C14" s="319"/>
      <c r="D14" s="319"/>
      <c r="E14" s="319"/>
      <c r="F14" s="319"/>
      <c r="G14" s="319"/>
      <c r="H14" s="319"/>
    </row>
    <row r="15" spans="1:8">
      <c r="A15" s="322" t="s">
        <v>499</v>
      </c>
      <c r="B15" s="319"/>
      <c r="C15" s="319"/>
      <c r="D15" s="319"/>
      <c r="E15" s="319"/>
      <c r="F15" s="319"/>
      <c r="G15" s="319"/>
      <c r="H15" s="319"/>
    </row>
    <row r="16" spans="1:8">
      <c r="A16" s="322"/>
      <c r="B16" s="319"/>
      <c r="C16" s="319"/>
      <c r="D16" s="319"/>
      <c r="E16" s="319"/>
      <c r="F16" s="319"/>
      <c r="G16" s="319"/>
      <c r="H16" s="319"/>
    </row>
    <row r="17" spans="1:8">
      <c r="A17" s="322" t="s">
        <v>485</v>
      </c>
      <c r="B17" s="319"/>
      <c r="C17" s="319"/>
      <c r="D17" s="319"/>
      <c r="E17" s="319"/>
      <c r="F17" s="319"/>
      <c r="G17" s="319"/>
      <c r="H17" s="319"/>
    </row>
    <row r="18" spans="1:8">
      <c r="A18" s="322"/>
      <c r="B18" s="319"/>
      <c r="C18" s="319"/>
      <c r="D18" s="319"/>
      <c r="E18" s="319"/>
      <c r="F18" s="319"/>
      <c r="G18" s="319"/>
      <c r="H18" s="319"/>
    </row>
    <row r="19" spans="1:8">
      <c r="A19" s="322" t="s">
        <v>486</v>
      </c>
      <c r="B19" s="319"/>
      <c r="C19" s="319"/>
      <c r="D19" s="319"/>
      <c r="E19" s="319"/>
      <c r="F19" s="319"/>
      <c r="G19" s="319"/>
      <c r="H19" s="319"/>
    </row>
    <row r="20" spans="1:8">
      <c r="A20" s="318"/>
      <c r="B20" s="319"/>
      <c r="C20" s="319"/>
      <c r="D20" s="319"/>
      <c r="E20" s="319"/>
      <c r="F20" s="319"/>
      <c r="G20" s="319"/>
      <c r="H20" s="319"/>
    </row>
    <row r="21" spans="1:8">
      <c r="A21" s="323" t="s">
        <v>487</v>
      </c>
      <c r="B21" s="319"/>
      <c r="C21" s="319"/>
      <c r="D21" s="319"/>
      <c r="E21" s="319"/>
      <c r="F21" s="319"/>
      <c r="G21" s="319"/>
      <c r="H21" s="319"/>
    </row>
    <row r="22" spans="1:8">
      <c r="A22" s="324"/>
      <c r="B22" s="324"/>
      <c r="C22" s="324"/>
      <c r="D22" s="324"/>
      <c r="E22" s="324"/>
      <c r="F22" s="324"/>
      <c r="G22" s="324"/>
      <c r="H22" s="324"/>
    </row>
    <row r="23" spans="1:8">
      <c r="A23" s="325" t="s">
        <v>780</v>
      </c>
      <c r="B23" s="324"/>
      <c r="C23" s="324"/>
      <c r="D23" s="324"/>
      <c r="E23" s="324"/>
      <c r="F23" s="324"/>
      <c r="G23" s="324"/>
      <c r="H23" s="324"/>
    </row>
    <row r="24" spans="1:8">
      <c r="A24" s="325" t="s">
        <v>781</v>
      </c>
      <c r="B24" s="324"/>
      <c r="C24" s="324"/>
      <c r="D24" s="324"/>
      <c r="E24" s="324"/>
      <c r="F24" s="324"/>
      <c r="G24" s="324"/>
      <c r="H24" s="324"/>
    </row>
    <row r="25" spans="1:8">
      <c r="A25" s="325" t="s">
        <v>782</v>
      </c>
      <c r="B25" s="324"/>
      <c r="C25" s="324"/>
      <c r="D25" s="324"/>
      <c r="E25" s="324"/>
      <c r="F25" s="324"/>
      <c r="G25" s="324"/>
      <c r="H25" s="324"/>
    </row>
    <row r="26" spans="1:8">
      <c r="A26" s="325" t="s">
        <v>783</v>
      </c>
      <c r="B26" s="324"/>
      <c r="C26" s="324"/>
      <c r="D26" s="324"/>
      <c r="E26" s="324"/>
      <c r="F26" s="324"/>
      <c r="G26" s="324"/>
      <c r="H26" s="324"/>
    </row>
    <row r="27" spans="1:8">
      <c r="A27" s="324"/>
      <c r="B27" s="324"/>
      <c r="C27" s="324"/>
      <c r="D27" s="324"/>
      <c r="E27" s="324"/>
      <c r="F27" s="324"/>
      <c r="G27" s="324"/>
      <c r="H27" s="324"/>
    </row>
    <row r="28" spans="1:8">
      <c r="A28" s="324"/>
      <c r="B28" s="324"/>
      <c r="C28" s="324"/>
      <c r="D28" s="324"/>
      <c r="E28" s="324"/>
      <c r="F28" s="324"/>
      <c r="G28" s="324"/>
      <c r="H28" s="324"/>
    </row>
    <row r="29" spans="1:8">
      <c r="A29" s="325" t="s">
        <v>775</v>
      </c>
      <c r="B29" s="324"/>
      <c r="C29" s="324"/>
      <c r="D29" s="324"/>
      <c r="E29" s="324"/>
      <c r="F29" s="324"/>
      <c r="G29" s="324"/>
      <c r="H29" s="324"/>
    </row>
    <row r="30" spans="1:8">
      <c r="A30" s="325" t="s">
        <v>776</v>
      </c>
      <c r="B30" s="324"/>
      <c r="C30" s="324"/>
      <c r="D30" s="324"/>
      <c r="E30" s="324"/>
      <c r="F30" s="324"/>
      <c r="G30" s="324"/>
      <c r="H30" s="324"/>
    </row>
    <row r="31" spans="1:8">
      <c r="A31" s="325" t="s">
        <v>777</v>
      </c>
      <c r="B31" s="324"/>
      <c r="C31" s="324"/>
      <c r="D31" s="324"/>
      <c r="E31" s="324"/>
      <c r="F31" s="324"/>
      <c r="G31" s="324"/>
      <c r="H31" s="324"/>
    </row>
    <row r="32" spans="1:8">
      <c r="A32" s="325" t="s">
        <v>778</v>
      </c>
      <c r="B32" s="324"/>
      <c r="C32" s="324"/>
      <c r="D32" s="324"/>
      <c r="E32" s="324"/>
      <c r="F32" s="324"/>
      <c r="G32" s="324"/>
      <c r="H32" s="324"/>
    </row>
    <row r="33" spans="1:8">
      <c r="A33" s="325" t="s">
        <v>779</v>
      </c>
      <c r="B33" s="324"/>
      <c r="C33" s="324"/>
      <c r="D33" s="324"/>
      <c r="E33" s="324"/>
      <c r="F33" s="324"/>
      <c r="G33" s="324"/>
      <c r="H33" s="324"/>
    </row>
    <row r="34" spans="1:8">
      <c r="A34" s="324"/>
      <c r="B34" s="324"/>
      <c r="C34" s="324"/>
      <c r="D34" s="324"/>
      <c r="E34" s="324"/>
      <c r="F34" s="324"/>
      <c r="G34" s="324"/>
      <c r="H34" s="324"/>
    </row>
    <row r="35" spans="1:8">
      <c r="A35" s="325" t="s">
        <v>771</v>
      </c>
      <c r="B35" s="324"/>
      <c r="C35" s="324"/>
      <c r="D35" s="324"/>
      <c r="E35" s="324"/>
      <c r="F35" s="324"/>
      <c r="G35" s="324"/>
      <c r="H35" s="324"/>
    </row>
    <row r="36" spans="1:8">
      <c r="A36" s="325" t="s">
        <v>772</v>
      </c>
      <c r="B36" s="324"/>
      <c r="C36" s="324"/>
      <c r="D36" s="324"/>
      <c r="E36" s="324"/>
      <c r="F36" s="324"/>
      <c r="G36" s="324"/>
      <c r="H36" s="324"/>
    </row>
    <row r="37" spans="1:8">
      <c r="A37" s="325" t="s">
        <v>773</v>
      </c>
      <c r="B37" s="324"/>
      <c r="C37" s="324"/>
      <c r="D37" s="324"/>
      <c r="E37" s="324"/>
      <c r="F37" s="324"/>
      <c r="G37" s="324"/>
      <c r="H37" s="324"/>
    </row>
    <row r="38" spans="1:8">
      <c r="A38" s="325" t="s">
        <v>774</v>
      </c>
      <c r="B38" s="324"/>
      <c r="C38" s="324"/>
      <c r="D38" s="324"/>
      <c r="E38" s="324"/>
      <c r="F38" s="324"/>
      <c r="G38" s="324"/>
      <c r="H38" s="324"/>
    </row>
    <row r="39" spans="1:8">
      <c r="A39" s="324"/>
      <c r="B39" s="324"/>
      <c r="C39" s="324"/>
      <c r="D39" s="324"/>
      <c r="E39" s="324"/>
      <c r="F39" s="324"/>
      <c r="G39" s="324"/>
      <c r="H39" s="324"/>
    </row>
    <row r="40" spans="1:8">
      <c r="A40" s="325" t="s">
        <v>765</v>
      </c>
      <c r="B40" s="324"/>
      <c r="C40" s="324"/>
      <c r="D40" s="324"/>
      <c r="E40" s="324"/>
      <c r="F40" s="324"/>
      <c r="G40" s="324"/>
      <c r="H40" s="324"/>
    </row>
    <row r="41" spans="1:8">
      <c r="A41" s="325" t="s">
        <v>766</v>
      </c>
      <c r="B41" s="324"/>
      <c r="C41" s="324"/>
      <c r="D41" s="324"/>
      <c r="E41" s="324"/>
      <c r="F41" s="324"/>
      <c r="G41" s="324"/>
      <c r="H41" s="324"/>
    </row>
    <row r="42" spans="1:8">
      <c r="A42" s="325" t="s">
        <v>767</v>
      </c>
      <c r="B42" s="324"/>
      <c r="C42" s="324"/>
      <c r="D42" s="324"/>
      <c r="E42" s="324"/>
      <c r="F42" s="324"/>
      <c r="G42" s="324"/>
      <c r="H42" s="324"/>
    </row>
    <row r="43" spans="1:8">
      <c r="A43" s="325" t="s">
        <v>768</v>
      </c>
      <c r="B43" s="324"/>
      <c r="C43" s="324"/>
      <c r="D43" s="324"/>
      <c r="E43" s="324"/>
      <c r="F43" s="324"/>
      <c r="G43" s="324"/>
      <c r="H43" s="324"/>
    </row>
    <row r="44" spans="1:8">
      <c r="A44" s="325" t="s">
        <v>769</v>
      </c>
      <c r="B44" s="324"/>
      <c r="C44" s="324"/>
      <c r="D44" s="324"/>
      <c r="E44" s="324"/>
      <c r="F44" s="324"/>
      <c r="G44" s="324"/>
      <c r="H44" s="324"/>
    </row>
    <row r="45" spans="1:8">
      <c r="A45" s="325" t="s">
        <v>770</v>
      </c>
      <c r="B45" s="324"/>
      <c r="C45" s="324"/>
      <c r="D45" s="324"/>
      <c r="E45" s="324"/>
      <c r="F45" s="324"/>
      <c r="G45" s="324"/>
      <c r="H45" s="324"/>
    </row>
    <row r="46" spans="1:8">
      <c r="A46" s="324"/>
      <c r="B46" s="324"/>
      <c r="C46" s="324"/>
      <c r="D46" s="324"/>
      <c r="E46" s="324"/>
      <c r="F46" s="324"/>
      <c r="G46" s="324"/>
      <c r="H46" s="324"/>
    </row>
    <row r="47" spans="1:8" ht="15.75">
      <c r="A47" s="326" t="s">
        <v>500</v>
      </c>
      <c r="B47" s="324"/>
      <c r="C47" s="324"/>
      <c r="D47" s="324"/>
      <c r="E47" s="324"/>
      <c r="F47" s="324"/>
      <c r="G47" s="324"/>
      <c r="H47" s="324"/>
    </row>
    <row r="48" spans="1:8">
      <c r="A48" s="324"/>
      <c r="B48" s="324"/>
      <c r="C48" s="324"/>
      <c r="D48" s="324"/>
      <c r="E48" s="324"/>
      <c r="F48" s="324"/>
      <c r="G48" s="324"/>
      <c r="H48" s="324"/>
    </row>
    <row r="49" spans="1:8">
      <c r="A49" s="325" t="s">
        <v>761</v>
      </c>
      <c r="B49" s="324"/>
      <c r="C49" s="324"/>
      <c r="D49" s="324"/>
      <c r="E49" s="324"/>
      <c r="F49" s="324"/>
      <c r="G49" s="324"/>
      <c r="H49" s="324"/>
    </row>
    <row r="50" spans="1:8">
      <c r="A50" s="325" t="s">
        <v>762</v>
      </c>
      <c r="B50" s="324"/>
      <c r="C50" s="324"/>
      <c r="D50" s="324"/>
      <c r="E50" s="324"/>
      <c r="F50" s="324"/>
      <c r="G50" s="324"/>
      <c r="H50" s="324"/>
    </row>
    <row r="51" spans="1:8">
      <c r="A51" s="325" t="s">
        <v>763</v>
      </c>
      <c r="B51" s="324"/>
      <c r="C51" s="324"/>
      <c r="D51" s="324"/>
      <c r="E51" s="324"/>
      <c r="F51" s="324"/>
      <c r="G51" s="324"/>
      <c r="H51" s="324"/>
    </row>
    <row r="52" spans="1:8">
      <c r="A52" s="325" t="s">
        <v>764</v>
      </c>
      <c r="B52" s="324"/>
      <c r="C52" s="324"/>
      <c r="D52" s="324"/>
      <c r="E52" s="324"/>
      <c r="F52" s="324"/>
      <c r="G52" s="324"/>
      <c r="H52" s="324"/>
    </row>
    <row r="53" spans="1:8">
      <c r="A53" s="324"/>
      <c r="B53" s="324"/>
      <c r="C53" s="324"/>
      <c r="D53" s="324"/>
      <c r="E53" s="324"/>
      <c r="F53" s="324"/>
      <c r="G53" s="324"/>
      <c r="H53" s="324"/>
    </row>
    <row r="54" spans="1:8">
      <c r="A54" s="325" t="s">
        <v>501</v>
      </c>
      <c r="B54" s="324"/>
      <c r="C54" s="324"/>
      <c r="D54" s="324"/>
      <c r="E54" s="324"/>
      <c r="F54" s="324"/>
      <c r="G54" s="324"/>
      <c r="H54" s="324"/>
    </row>
    <row r="55" spans="1:8">
      <c r="A55" s="324"/>
      <c r="B55" s="324"/>
      <c r="C55" s="324"/>
      <c r="D55" s="324"/>
      <c r="E55" s="324"/>
      <c r="F55" s="324"/>
      <c r="G55" s="324"/>
      <c r="H55" s="324"/>
    </row>
    <row r="56" spans="1:8" ht="15.75">
      <c r="A56" s="326" t="s">
        <v>502</v>
      </c>
      <c r="B56" s="324"/>
      <c r="C56" s="324"/>
      <c r="D56" s="324"/>
      <c r="E56" s="324"/>
      <c r="F56" s="324"/>
      <c r="G56" s="324"/>
      <c r="H56" s="324"/>
    </row>
    <row r="57" spans="1:8">
      <c r="A57" s="324"/>
      <c r="B57" s="324"/>
      <c r="C57" s="324"/>
      <c r="D57" s="324"/>
      <c r="E57" s="324"/>
      <c r="F57" s="324"/>
      <c r="G57" s="324"/>
      <c r="H57" s="324"/>
    </row>
    <row r="58" spans="1:8">
      <c r="A58" s="325" t="s">
        <v>759</v>
      </c>
      <c r="B58" s="324"/>
      <c r="C58" s="324"/>
      <c r="D58" s="324"/>
      <c r="E58" s="324"/>
      <c r="F58" s="324"/>
      <c r="G58" s="324"/>
      <c r="H58" s="324"/>
    </row>
    <row r="59" spans="1:8">
      <c r="A59" s="325" t="s">
        <v>760</v>
      </c>
      <c r="B59" s="324"/>
      <c r="C59" s="324"/>
      <c r="D59" s="324"/>
      <c r="E59" s="324"/>
      <c r="F59" s="324"/>
      <c r="G59" s="324"/>
      <c r="H59" s="324"/>
    </row>
    <row r="60" spans="1:8">
      <c r="A60" s="324"/>
      <c r="B60" s="324"/>
      <c r="C60" s="324"/>
      <c r="D60" s="324"/>
      <c r="E60" s="324"/>
      <c r="F60" s="324"/>
      <c r="G60" s="324"/>
      <c r="H60" s="324"/>
    </row>
    <row r="61" spans="1:8" ht="15.75">
      <c r="A61" s="326" t="s">
        <v>503</v>
      </c>
      <c r="B61" s="324"/>
      <c r="C61" s="324"/>
      <c r="D61" s="324"/>
      <c r="E61" s="324"/>
      <c r="F61" s="324"/>
      <c r="G61" s="324"/>
      <c r="H61" s="324"/>
    </row>
    <row r="62" spans="1:8">
      <c r="A62" s="324"/>
      <c r="B62" s="324"/>
      <c r="C62" s="324"/>
      <c r="D62" s="324"/>
      <c r="E62" s="324"/>
      <c r="F62" s="324"/>
      <c r="G62" s="324"/>
      <c r="H62" s="324"/>
    </row>
    <row r="63" spans="1:8">
      <c r="A63" s="325" t="s">
        <v>757</v>
      </c>
      <c r="B63" s="324"/>
      <c r="C63" s="324"/>
      <c r="D63" s="324"/>
      <c r="E63" s="324"/>
      <c r="F63" s="324"/>
      <c r="G63" s="324"/>
      <c r="H63" s="324"/>
    </row>
    <row r="64" spans="1:8">
      <c r="A64" s="325" t="s">
        <v>758</v>
      </c>
      <c r="B64" s="324"/>
      <c r="C64" s="324"/>
      <c r="D64" s="324"/>
      <c r="E64" s="324"/>
      <c r="F64" s="324"/>
      <c r="G64" s="324"/>
      <c r="H64" s="324"/>
    </row>
    <row r="65" spans="1:8">
      <c r="A65" s="324"/>
      <c r="B65" s="324"/>
      <c r="C65" s="324"/>
      <c r="D65" s="324"/>
      <c r="E65" s="324"/>
      <c r="F65" s="324"/>
      <c r="G65" s="324"/>
      <c r="H65" s="324"/>
    </row>
    <row r="66" spans="1:8">
      <c r="A66" s="325" t="s">
        <v>755</v>
      </c>
      <c r="B66" s="324"/>
      <c r="C66" s="324"/>
      <c r="D66" s="324"/>
      <c r="E66" s="324"/>
      <c r="F66" s="324"/>
      <c r="G66" s="324"/>
      <c r="H66" s="324"/>
    </row>
    <row r="67" spans="1:8">
      <c r="A67" s="325" t="s">
        <v>756</v>
      </c>
      <c r="B67" s="324"/>
      <c r="C67" s="324"/>
      <c r="D67" s="324"/>
      <c r="E67" s="324"/>
      <c r="F67" s="324"/>
      <c r="G67" s="324"/>
      <c r="H67" s="324"/>
    </row>
    <row r="68" spans="1:8">
      <c r="A68" s="324"/>
      <c r="B68" s="324"/>
      <c r="C68" s="324"/>
      <c r="D68" s="324"/>
      <c r="E68" s="324"/>
      <c r="F68" s="324"/>
      <c r="G68" s="324"/>
      <c r="H68" s="324"/>
    </row>
    <row r="69" spans="1:8">
      <c r="A69" s="325" t="s">
        <v>753</v>
      </c>
      <c r="B69" s="324"/>
      <c r="C69" s="324"/>
      <c r="D69" s="324"/>
      <c r="E69" s="324"/>
      <c r="F69" s="324"/>
      <c r="G69" s="324"/>
      <c r="H69" s="324"/>
    </row>
    <row r="70" spans="1:8">
      <c r="A70" s="325" t="s">
        <v>754</v>
      </c>
      <c r="B70" s="324"/>
      <c r="C70" s="324"/>
      <c r="D70" s="324"/>
      <c r="E70" s="324"/>
      <c r="F70" s="324"/>
      <c r="G70" s="324"/>
      <c r="H70" s="324"/>
    </row>
    <row r="71" spans="1:8">
      <c r="A71" s="324"/>
      <c r="B71" s="324"/>
      <c r="C71" s="324"/>
      <c r="D71" s="324"/>
      <c r="E71" s="324"/>
      <c r="F71" s="324"/>
      <c r="G71" s="324"/>
      <c r="H71" s="324"/>
    </row>
    <row r="72" spans="1:8">
      <c r="A72" s="325" t="s">
        <v>751</v>
      </c>
      <c r="B72" s="324"/>
      <c r="C72" s="324"/>
      <c r="D72" s="324"/>
      <c r="E72" s="324"/>
      <c r="F72" s="324"/>
      <c r="G72" s="324"/>
      <c r="H72" s="324"/>
    </row>
    <row r="73" spans="1:8">
      <c r="A73" s="325" t="s">
        <v>752</v>
      </c>
      <c r="B73" s="324"/>
      <c r="C73" s="324"/>
      <c r="D73" s="324"/>
      <c r="E73" s="324"/>
      <c r="F73" s="324"/>
      <c r="G73" s="324"/>
      <c r="H73" s="324"/>
    </row>
    <row r="74" spans="1:8">
      <c r="A74" s="324"/>
      <c r="B74" s="324"/>
      <c r="C74" s="324"/>
      <c r="D74" s="324"/>
      <c r="E74" s="324"/>
      <c r="F74" s="324"/>
      <c r="G74" s="324"/>
      <c r="H74" s="324"/>
    </row>
    <row r="75" spans="1:8">
      <c r="A75" s="325" t="s">
        <v>749</v>
      </c>
      <c r="B75" s="324"/>
      <c r="C75" s="324"/>
      <c r="D75" s="324"/>
      <c r="E75" s="324"/>
      <c r="F75" s="324"/>
      <c r="G75" s="324"/>
      <c r="H75" s="324"/>
    </row>
    <row r="76" spans="1:8">
      <c r="A76" s="325" t="s">
        <v>750</v>
      </c>
      <c r="B76" s="324"/>
      <c r="C76" s="324"/>
      <c r="D76" s="324"/>
      <c r="E76" s="324"/>
      <c r="F76" s="324"/>
      <c r="G76" s="324"/>
      <c r="H76" s="324"/>
    </row>
    <row r="77" spans="1:8">
      <c r="A77" s="324"/>
      <c r="B77" s="324"/>
      <c r="C77" s="324"/>
      <c r="D77" s="324"/>
      <c r="E77" s="324"/>
      <c r="F77" s="324"/>
      <c r="G77" s="324"/>
      <c r="H77" s="324"/>
    </row>
    <row r="78" spans="1:8">
      <c r="A78" s="325" t="s">
        <v>746</v>
      </c>
      <c r="B78" s="324"/>
      <c r="C78" s="324"/>
      <c r="D78" s="324"/>
      <c r="E78" s="324"/>
      <c r="F78" s="324"/>
      <c r="G78" s="324"/>
      <c r="H78" s="324"/>
    </row>
    <row r="79" spans="1:8">
      <c r="A79" s="325" t="s">
        <v>747</v>
      </c>
      <c r="B79" s="324"/>
      <c r="C79" s="324"/>
      <c r="D79" s="324"/>
      <c r="E79" s="324"/>
      <c r="F79" s="324"/>
      <c r="G79" s="324"/>
      <c r="H79" s="324"/>
    </row>
    <row r="80" spans="1:8">
      <c r="A80" s="325" t="s">
        <v>748</v>
      </c>
      <c r="B80" s="324"/>
      <c r="C80" s="324"/>
      <c r="D80" s="324"/>
      <c r="E80" s="324"/>
      <c r="F80" s="324"/>
      <c r="G80" s="324"/>
      <c r="H80" s="324"/>
    </row>
    <row r="81" spans="1:8">
      <c r="A81" s="324"/>
      <c r="B81" s="324"/>
      <c r="C81" s="324"/>
      <c r="D81" s="324"/>
      <c r="E81" s="324"/>
      <c r="F81" s="324"/>
      <c r="G81" s="324"/>
      <c r="H81" s="324"/>
    </row>
    <row r="82" spans="1:8">
      <c r="A82" s="325" t="s">
        <v>504</v>
      </c>
      <c r="B82" s="324"/>
      <c r="C82" s="324"/>
      <c r="D82" s="324"/>
      <c r="E82" s="324"/>
      <c r="F82" s="324"/>
      <c r="G82" s="324"/>
      <c r="H82" s="324"/>
    </row>
    <row r="83" spans="1:8">
      <c r="A83" s="324"/>
      <c r="B83" s="324"/>
      <c r="C83" s="324"/>
      <c r="D83" s="324"/>
      <c r="E83" s="324"/>
      <c r="F83" s="324"/>
      <c r="G83" s="324"/>
      <c r="H83" s="324"/>
    </row>
    <row r="84" spans="1:8">
      <c r="A84" s="325" t="s">
        <v>741</v>
      </c>
      <c r="B84" s="324"/>
      <c r="C84" s="324"/>
      <c r="D84" s="324"/>
      <c r="E84" s="324"/>
      <c r="F84" s="324"/>
      <c r="G84" s="324"/>
      <c r="H84" s="324"/>
    </row>
    <row r="85" spans="1:8">
      <c r="A85" s="325" t="s">
        <v>742</v>
      </c>
      <c r="B85" s="324"/>
      <c r="C85" s="324"/>
      <c r="D85" s="324"/>
      <c r="E85" s="324"/>
      <c r="F85" s="324"/>
      <c r="G85" s="324"/>
      <c r="H85" s="324"/>
    </row>
    <row r="86" spans="1:8">
      <c r="A86" s="325" t="s">
        <v>743</v>
      </c>
      <c r="B86" s="324"/>
      <c r="C86" s="324"/>
      <c r="D86" s="324"/>
      <c r="E86" s="324"/>
      <c r="F86" s="324"/>
      <c r="G86" s="324"/>
      <c r="H86" s="324"/>
    </row>
    <row r="87" spans="1:8">
      <c r="A87" s="325" t="s">
        <v>744</v>
      </c>
      <c r="B87" s="324"/>
      <c r="C87" s="324"/>
      <c r="D87" s="324"/>
      <c r="E87" s="324"/>
      <c r="F87" s="324"/>
      <c r="G87" s="324"/>
      <c r="H87" s="324"/>
    </row>
    <row r="88" spans="1:8">
      <c r="A88" s="325" t="s">
        <v>745</v>
      </c>
      <c r="B88" s="324"/>
      <c r="C88" s="324"/>
      <c r="D88" s="324"/>
      <c r="E88" s="324"/>
      <c r="F88" s="324"/>
      <c r="G88" s="324"/>
      <c r="H88" s="324"/>
    </row>
    <row r="89" spans="1:8">
      <c r="A89" s="325" t="s">
        <v>630</v>
      </c>
      <c r="B89" s="324"/>
      <c r="C89" s="324"/>
      <c r="D89" s="324"/>
      <c r="E89" s="324"/>
      <c r="F89" s="324"/>
      <c r="G89" s="324"/>
      <c r="H89" s="324"/>
    </row>
    <row r="90" spans="1:8">
      <c r="A90" s="324"/>
      <c r="B90" s="324"/>
      <c r="C90" s="324"/>
      <c r="D90" s="324"/>
      <c r="E90" s="324"/>
      <c r="F90" s="324"/>
      <c r="G90" s="324"/>
      <c r="H90" s="324"/>
    </row>
    <row r="91" spans="1:8">
      <c r="A91" s="325" t="s">
        <v>734</v>
      </c>
      <c r="B91" s="324"/>
      <c r="C91" s="324"/>
      <c r="D91" s="324"/>
      <c r="E91" s="324"/>
      <c r="F91" s="324"/>
      <c r="G91" s="324"/>
      <c r="H91" s="324"/>
    </row>
    <row r="92" spans="1:8">
      <c r="A92" s="325" t="s">
        <v>735</v>
      </c>
      <c r="B92" s="324"/>
      <c r="C92" s="324"/>
      <c r="D92" s="324"/>
      <c r="E92" s="324"/>
      <c r="F92" s="324"/>
      <c r="G92" s="324"/>
      <c r="H92" s="324"/>
    </row>
    <row r="93" spans="1:8">
      <c r="A93" s="325" t="s">
        <v>736</v>
      </c>
      <c r="B93" s="324"/>
      <c r="C93" s="324"/>
      <c r="D93" s="324"/>
      <c r="E93" s="324"/>
      <c r="F93" s="324"/>
      <c r="G93" s="324"/>
      <c r="H93" s="324"/>
    </row>
    <row r="94" spans="1:8">
      <c r="A94" s="325" t="s">
        <v>737</v>
      </c>
      <c r="B94" s="324"/>
      <c r="C94" s="324"/>
      <c r="D94" s="324"/>
      <c r="E94" s="324"/>
      <c r="F94" s="324"/>
      <c r="G94" s="324"/>
      <c r="H94" s="324"/>
    </row>
    <row r="95" spans="1:8">
      <c r="A95" s="325" t="s">
        <v>738</v>
      </c>
      <c r="B95" s="324"/>
      <c r="C95" s="324"/>
      <c r="D95" s="324"/>
      <c r="E95" s="324"/>
      <c r="F95" s="324"/>
      <c r="G95" s="324"/>
      <c r="H95" s="324"/>
    </row>
    <row r="96" spans="1:8">
      <c r="A96" s="325" t="s">
        <v>739</v>
      </c>
      <c r="B96" s="324"/>
      <c r="C96" s="324"/>
      <c r="D96" s="324"/>
      <c r="E96" s="324"/>
      <c r="F96" s="324"/>
      <c r="G96" s="324"/>
      <c r="H96" s="324"/>
    </row>
    <row r="97" spans="1:8">
      <c r="A97" s="325" t="s">
        <v>740</v>
      </c>
      <c r="B97" s="324"/>
      <c r="C97" s="324"/>
      <c r="D97" s="324"/>
      <c r="E97" s="324"/>
      <c r="F97" s="324"/>
      <c r="G97" s="324"/>
      <c r="H97" s="324"/>
    </row>
    <row r="98" spans="1:8">
      <c r="A98" s="324"/>
      <c r="B98" s="324"/>
      <c r="C98" s="324"/>
      <c r="D98" s="324"/>
      <c r="E98" s="324"/>
      <c r="F98" s="324"/>
      <c r="G98" s="324"/>
      <c r="H98" s="324"/>
    </row>
    <row r="99" spans="1:8">
      <c r="A99" s="325" t="s">
        <v>732</v>
      </c>
      <c r="B99" s="324"/>
      <c r="C99" s="324"/>
      <c r="D99" s="324"/>
      <c r="E99" s="324"/>
      <c r="F99" s="324"/>
      <c r="G99" s="324"/>
      <c r="H99" s="324"/>
    </row>
    <row r="100" spans="1:8">
      <c r="A100" s="325" t="s">
        <v>733</v>
      </c>
      <c r="B100" s="324"/>
      <c r="C100" s="324"/>
      <c r="D100" s="324"/>
      <c r="E100" s="324"/>
      <c r="F100" s="324"/>
      <c r="G100" s="324"/>
      <c r="H100" s="324"/>
    </row>
    <row r="101" spans="1:8">
      <c r="A101" s="324"/>
      <c r="B101" s="324"/>
      <c r="C101" s="324"/>
      <c r="D101" s="324"/>
      <c r="E101" s="324"/>
      <c r="F101" s="324"/>
      <c r="G101" s="324"/>
      <c r="H101" s="324"/>
    </row>
    <row r="102" spans="1:8" ht="15.75">
      <c r="A102" s="326" t="s">
        <v>505</v>
      </c>
      <c r="B102" s="324"/>
      <c r="C102" s="324"/>
      <c r="D102" s="324"/>
      <c r="E102" s="324"/>
      <c r="F102" s="324"/>
      <c r="G102" s="324"/>
      <c r="H102" s="324"/>
    </row>
    <row r="103" spans="1:8">
      <c r="A103" s="324"/>
      <c r="B103" s="324"/>
      <c r="C103" s="324"/>
      <c r="D103" s="324"/>
      <c r="E103" s="324"/>
      <c r="F103" s="324"/>
      <c r="G103" s="324"/>
      <c r="H103" s="324"/>
    </row>
    <row r="104" spans="1:8">
      <c r="A104" s="325" t="s">
        <v>723</v>
      </c>
      <c r="B104" s="324"/>
      <c r="C104" s="324"/>
      <c r="D104" s="324"/>
      <c r="E104" s="324"/>
      <c r="F104" s="324"/>
      <c r="G104" s="324"/>
      <c r="H104" s="324"/>
    </row>
    <row r="105" spans="1:8">
      <c r="A105" s="325" t="s">
        <v>724</v>
      </c>
      <c r="B105" s="324"/>
      <c r="C105" s="324"/>
      <c r="D105" s="324"/>
      <c r="E105" s="324"/>
      <c r="F105" s="324"/>
      <c r="G105" s="324"/>
      <c r="H105" s="324"/>
    </row>
    <row r="106" spans="1:8">
      <c r="A106" s="325" t="s">
        <v>725</v>
      </c>
      <c r="B106" s="324"/>
      <c r="C106" s="324"/>
      <c r="D106" s="324"/>
      <c r="E106" s="324"/>
      <c r="F106" s="324"/>
      <c r="G106" s="324"/>
      <c r="H106" s="324"/>
    </row>
    <row r="107" spans="1:8">
      <c r="A107" s="325" t="s">
        <v>726</v>
      </c>
      <c r="B107" s="324"/>
      <c r="C107" s="324"/>
      <c r="D107" s="324"/>
      <c r="E107" s="324"/>
      <c r="F107" s="324"/>
      <c r="G107" s="324"/>
      <c r="H107" s="324"/>
    </row>
    <row r="108" spans="1:8">
      <c r="A108" s="325" t="s">
        <v>727</v>
      </c>
      <c r="B108" s="324"/>
      <c r="C108" s="324"/>
      <c r="D108" s="324"/>
      <c r="E108" s="324"/>
      <c r="F108" s="324"/>
      <c r="G108" s="324"/>
      <c r="H108" s="324"/>
    </row>
    <row r="109" spans="1:8">
      <c r="A109" s="325" t="s">
        <v>728</v>
      </c>
      <c r="B109" s="324"/>
      <c r="C109" s="324"/>
      <c r="D109" s="324"/>
      <c r="E109" s="324"/>
      <c r="F109" s="324"/>
      <c r="G109" s="324"/>
      <c r="H109" s="324"/>
    </row>
    <row r="110" spans="1:8">
      <c r="A110" s="325" t="s">
        <v>729</v>
      </c>
      <c r="B110" s="324"/>
      <c r="C110" s="324"/>
      <c r="D110" s="324"/>
      <c r="E110" s="324"/>
      <c r="F110" s="324"/>
      <c r="G110" s="324"/>
      <c r="H110" s="324"/>
    </row>
    <row r="111" spans="1:8">
      <c r="A111" s="325" t="s">
        <v>730</v>
      </c>
      <c r="B111" s="324"/>
      <c r="C111" s="324"/>
      <c r="D111" s="324"/>
      <c r="E111" s="324"/>
      <c r="F111" s="324"/>
      <c r="G111" s="324"/>
      <c r="H111" s="324"/>
    </row>
    <row r="112" spans="1:8">
      <c r="A112" s="325" t="s">
        <v>731</v>
      </c>
      <c r="B112" s="324"/>
      <c r="C112" s="324"/>
      <c r="D112" s="324"/>
      <c r="E112" s="324"/>
      <c r="F112" s="324"/>
      <c r="G112" s="324"/>
      <c r="H112" s="324"/>
    </row>
    <row r="113" spans="1:8">
      <c r="A113" s="324"/>
      <c r="B113" s="324"/>
      <c r="C113" s="324"/>
      <c r="D113" s="324"/>
      <c r="E113" s="324"/>
      <c r="F113" s="324"/>
      <c r="G113" s="324"/>
      <c r="H113" s="324"/>
    </row>
    <row r="114" spans="1:8" ht="15.75">
      <c r="A114" s="327" t="s">
        <v>506</v>
      </c>
      <c r="B114" s="327"/>
      <c r="C114" s="327"/>
      <c r="D114" s="327"/>
      <c r="E114" s="327"/>
      <c r="F114" s="327"/>
      <c r="G114" s="327"/>
      <c r="H114" s="327"/>
    </row>
    <row r="115" spans="1:8">
      <c r="A115" s="328" t="s">
        <v>507</v>
      </c>
      <c r="B115" s="328"/>
      <c r="C115" s="328"/>
      <c r="D115" s="328"/>
      <c r="E115" s="328"/>
      <c r="F115" s="328"/>
      <c r="G115" s="328"/>
      <c r="H115" s="328"/>
    </row>
    <row r="116" spans="1:8">
      <c r="A116" s="329"/>
      <c r="B116" s="329"/>
      <c r="C116" s="329"/>
      <c r="D116" s="329"/>
      <c r="E116" s="329"/>
      <c r="F116" s="329"/>
      <c r="G116" s="329"/>
      <c r="H116" s="329"/>
    </row>
    <row r="117" spans="1:8">
      <c r="A117" s="328" t="s">
        <v>721</v>
      </c>
      <c r="B117" s="328"/>
      <c r="C117" s="328"/>
      <c r="D117" s="328"/>
      <c r="E117" s="328"/>
      <c r="F117" s="328"/>
      <c r="G117" s="328"/>
      <c r="H117" s="328"/>
    </row>
    <row r="118" spans="1:8">
      <c r="A118" s="325" t="s">
        <v>722</v>
      </c>
      <c r="B118" s="325"/>
      <c r="C118" s="325"/>
      <c r="D118" s="325"/>
      <c r="E118" s="325"/>
      <c r="F118" s="325"/>
      <c r="G118" s="325"/>
      <c r="H118" s="325"/>
    </row>
    <row r="119" spans="1:8">
      <c r="A119" s="329"/>
      <c r="B119" s="329"/>
      <c r="C119" s="329"/>
      <c r="D119" s="329"/>
      <c r="E119" s="329"/>
      <c r="F119" s="329"/>
      <c r="G119" s="329"/>
      <c r="H119" s="329"/>
    </row>
    <row r="120" spans="1:8">
      <c r="A120" s="328" t="s">
        <v>714</v>
      </c>
      <c r="B120" s="328"/>
      <c r="C120" s="328"/>
      <c r="D120" s="328"/>
      <c r="E120" s="328"/>
      <c r="F120" s="328"/>
      <c r="G120" s="328"/>
      <c r="H120" s="328"/>
    </row>
    <row r="121" spans="1:8">
      <c r="A121" s="325" t="s">
        <v>715</v>
      </c>
      <c r="B121" s="325"/>
      <c r="C121" s="325"/>
      <c r="D121" s="325"/>
      <c r="E121" s="325"/>
      <c r="F121" s="325"/>
      <c r="G121" s="325"/>
      <c r="H121" s="325"/>
    </row>
    <row r="122" spans="1:8">
      <c r="A122" s="325" t="s">
        <v>716</v>
      </c>
      <c r="B122" s="325"/>
      <c r="C122" s="325"/>
      <c r="D122" s="325"/>
      <c r="E122" s="325"/>
      <c r="F122" s="325"/>
      <c r="G122" s="325"/>
      <c r="H122" s="325"/>
    </row>
    <row r="123" spans="1:8">
      <c r="A123" s="325" t="s">
        <v>717</v>
      </c>
      <c r="B123" s="325"/>
      <c r="C123" s="325"/>
      <c r="D123" s="325"/>
      <c r="E123" s="325"/>
      <c r="F123" s="325"/>
      <c r="G123" s="325"/>
      <c r="H123" s="325"/>
    </row>
    <row r="124" spans="1:8">
      <c r="A124" s="325" t="s">
        <v>718</v>
      </c>
      <c r="B124" s="325"/>
      <c r="C124" s="325"/>
      <c r="D124" s="325"/>
      <c r="E124" s="325"/>
      <c r="F124" s="325"/>
      <c r="G124" s="325"/>
      <c r="H124" s="325"/>
    </row>
    <row r="125" spans="1:8">
      <c r="A125" s="325" t="s">
        <v>719</v>
      </c>
      <c r="B125" s="325"/>
      <c r="C125" s="325"/>
      <c r="D125" s="325"/>
      <c r="E125" s="325"/>
      <c r="F125" s="325"/>
      <c r="G125" s="325"/>
      <c r="H125" s="325"/>
    </row>
    <row r="126" spans="1:8">
      <c r="A126" s="325" t="s">
        <v>720</v>
      </c>
      <c r="B126" s="325"/>
      <c r="C126" s="325"/>
      <c r="D126" s="325"/>
      <c r="E126" s="325"/>
      <c r="F126" s="325"/>
      <c r="G126" s="325"/>
      <c r="H126" s="325"/>
    </row>
    <row r="127" spans="1:8">
      <c r="A127" s="330"/>
      <c r="B127" s="330"/>
      <c r="C127" s="330"/>
      <c r="D127" s="330"/>
      <c r="E127" s="330"/>
      <c r="F127" s="330"/>
      <c r="G127" s="330"/>
      <c r="H127" s="330"/>
    </row>
    <row r="128" spans="1:8">
      <c r="A128" s="331"/>
      <c r="B128" s="332" t="s">
        <v>508</v>
      </c>
      <c r="C128" s="333"/>
      <c r="D128" s="332" t="s">
        <v>509</v>
      </c>
      <c r="E128" s="334"/>
      <c r="F128" s="333"/>
      <c r="G128" s="332" t="s">
        <v>510</v>
      </c>
      <c r="H128" s="333"/>
    </row>
    <row r="129" spans="1:8">
      <c r="A129" s="331" t="s">
        <v>511</v>
      </c>
      <c r="B129" s="331" t="s">
        <v>251</v>
      </c>
      <c r="C129" s="331" t="s">
        <v>512</v>
      </c>
      <c r="D129" s="331" t="s">
        <v>251</v>
      </c>
      <c r="E129" s="331" t="s">
        <v>513</v>
      </c>
      <c r="F129" s="331" t="s">
        <v>514</v>
      </c>
      <c r="G129" s="331" t="s">
        <v>251</v>
      </c>
      <c r="H129" s="331" t="s">
        <v>515</v>
      </c>
    </row>
    <row r="130" spans="1:8">
      <c r="A130" s="331" t="s">
        <v>516</v>
      </c>
      <c r="B130" s="331">
        <v>1189</v>
      </c>
      <c r="C130" s="335">
        <v>0.38</v>
      </c>
      <c r="D130" s="331">
        <v>315</v>
      </c>
      <c r="E130" s="335">
        <v>0.41</v>
      </c>
      <c r="F130" s="335">
        <v>0.26</v>
      </c>
      <c r="G130" s="331">
        <v>555</v>
      </c>
      <c r="H130" s="335">
        <v>0.39</v>
      </c>
    </row>
    <row r="131" spans="1:8">
      <c r="A131" s="331" t="s">
        <v>517</v>
      </c>
      <c r="B131" s="331">
        <v>1355</v>
      </c>
      <c r="C131" s="335">
        <v>0.43</v>
      </c>
      <c r="D131" s="331">
        <v>364</v>
      </c>
      <c r="E131" s="335">
        <v>0.47</v>
      </c>
      <c r="F131" s="335">
        <v>0.27</v>
      </c>
      <c r="G131" s="331">
        <v>644</v>
      </c>
      <c r="H131" s="335">
        <v>0.45</v>
      </c>
    </row>
    <row r="132" spans="1:8">
      <c r="A132" s="331" t="s">
        <v>518</v>
      </c>
      <c r="B132" s="331">
        <v>53</v>
      </c>
      <c r="C132" s="335">
        <v>0.02</v>
      </c>
      <c r="D132" s="331">
        <v>4</v>
      </c>
      <c r="E132" s="335">
        <v>0.01</v>
      </c>
      <c r="F132" s="335">
        <v>0.08</v>
      </c>
      <c r="G132" s="331">
        <v>7</v>
      </c>
      <c r="H132" s="335">
        <v>0</v>
      </c>
    </row>
    <row r="133" spans="1:8">
      <c r="A133" s="331" t="s">
        <v>519</v>
      </c>
      <c r="B133" s="331">
        <v>545</v>
      </c>
      <c r="C133" s="335">
        <v>0.17</v>
      </c>
      <c r="D133" s="331">
        <v>84</v>
      </c>
      <c r="E133" s="335">
        <v>0.11</v>
      </c>
      <c r="F133" s="335">
        <v>0.15</v>
      </c>
      <c r="G133" s="331">
        <v>214</v>
      </c>
      <c r="H133" s="335">
        <v>0.15</v>
      </c>
    </row>
    <row r="134" spans="1:8">
      <c r="A134" s="331" t="s">
        <v>342</v>
      </c>
      <c r="B134" s="336">
        <v>3142</v>
      </c>
      <c r="C134" s="331"/>
      <c r="D134" s="331">
        <v>767</v>
      </c>
      <c r="E134" s="331"/>
      <c r="F134" s="331"/>
      <c r="G134" s="331">
        <v>1420</v>
      </c>
      <c r="H134" s="331"/>
    </row>
    <row r="135" spans="1:8">
      <c r="A135" s="337"/>
      <c r="B135" s="337"/>
      <c r="C135" s="337"/>
      <c r="D135" s="337"/>
      <c r="E135" s="337"/>
      <c r="F135" s="337"/>
      <c r="G135" s="337"/>
      <c r="H135" s="337"/>
    </row>
    <row r="136" spans="1:8">
      <c r="A136" s="328" t="s">
        <v>710</v>
      </c>
      <c r="B136" s="328"/>
      <c r="C136" s="328"/>
      <c r="D136" s="328"/>
      <c r="E136" s="328"/>
      <c r="F136" s="328"/>
      <c r="G136" s="328"/>
      <c r="H136" s="328"/>
    </row>
    <row r="137" spans="1:8">
      <c r="A137" s="325" t="s">
        <v>711</v>
      </c>
      <c r="B137" s="325"/>
      <c r="C137" s="325"/>
      <c r="D137" s="325"/>
      <c r="E137" s="325"/>
      <c r="F137" s="325"/>
      <c r="G137" s="325"/>
      <c r="H137" s="325"/>
    </row>
    <row r="138" spans="1:8">
      <c r="A138" s="325" t="s">
        <v>712</v>
      </c>
      <c r="B138" s="325"/>
      <c r="C138" s="325"/>
      <c r="D138" s="325"/>
      <c r="E138" s="325"/>
      <c r="F138" s="325"/>
      <c r="G138" s="325"/>
      <c r="H138" s="325"/>
    </row>
    <row r="139" spans="1:8">
      <c r="A139" s="325" t="s">
        <v>713</v>
      </c>
      <c r="B139" s="325"/>
      <c r="C139" s="325"/>
      <c r="D139" s="325"/>
      <c r="E139" s="325"/>
      <c r="F139" s="325"/>
      <c r="G139" s="325"/>
      <c r="H139" s="325"/>
    </row>
    <row r="140" spans="1:8">
      <c r="A140" s="324"/>
      <c r="B140" s="324"/>
      <c r="C140" s="324"/>
      <c r="D140" s="324"/>
      <c r="E140" s="324"/>
      <c r="F140" s="324"/>
      <c r="G140" s="324"/>
      <c r="H140" s="324"/>
    </row>
    <row r="141" spans="1:8" ht="15.75">
      <c r="A141" s="326" t="s">
        <v>520</v>
      </c>
      <c r="B141" s="324"/>
      <c r="C141" s="324"/>
      <c r="D141" s="324"/>
      <c r="E141" s="324"/>
      <c r="F141" s="324"/>
      <c r="G141" s="324"/>
      <c r="H141" s="324"/>
    </row>
    <row r="142" spans="1:8">
      <c r="A142" s="324"/>
      <c r="B142" s="324"/>
      <c r="C142" s="324"/>
      <c r="D142" s="324"/>
      <c r="E142" s="324"/>
      <c r="F142" s="324"/>
      <c r="G142" s="324"/>
      <c r="H142" s="324"/>
    </row>
    <row r="143" spans="1:8">
      <c r="A143" s="325" t="s">
        <v>708</v>
      </c>
      <c r="B143" s="324"/>
      <c r="C143" s="324"/>
      <c r="D143" s="324"/>
      <c r="E143" s="324"/>
      <c r="F143" s="324"/>
      <c r="G143" s="324"/>
      <c r="H143" s="324"/>
    </row>
    <row r="144" spans="1:8">
      <c r="A144" s="325" t="s">
        <v>709</v>
      </c>
      <c r="B144" s="324"/>
      <c r="C144" s="324"/>
      <c r="D144" s="324"/>
      <c r="E144" s="324"/>
      <c r="F144" s="324"/>
      <c r="G144" s="324"/>
      <c r="H144" s="324"/>
    </row>
    <row r="145" spans="1:8">
      <c r="A145" s="324"/>
      <c r="B145" s="324"/>
      <c r="C145" s="324"/>
      <c r="D145" s="324"/>
      <c r="E145" s="324"/>
      <c r="F145" s="324"/>
      <c r="G145" s="324"/>
      <c r="H145" s="324"/>
    </row>
    <row r="146" spans="1:8">
      <c r="A146" s="325" t="s">
        <v>705</v>
      </c>
      <c r="B146" s="324"/>
      <c r="C146" s="324"/>
      <c r="D146" s="324"/>
      <c r="E146" s="324"/>
      <c r="F146" s="324"/>
      <c r="G146" s="324"/>
      <c r="H146" s="324"/>
    </row>
    <row r="147" spans="1:8">
      <c r="A147" s="325" t="s">
        <v>706</v>
      </c>
      <c r="B147" s="324"/>
      <c r="C147" s="324"/>
      <c r="D147" s="324"/>
      <c r="E147" s="324"/>
      <c r="F147" s="324"/>
      <c r="G147" s="324"/>
      <c r="H147" s="324"/>
    </row>
    <row r="148" spans="1:8">
      <c r="A148" s="325" t="s">
        <v>707</v>
      </c>
      <c r="B148" s="324"/>
      <c r="C148" s="324"/>
      <c r="D148" s="324"/>
      <c r="E148" s="324"/>
      <c r="F148" s="324"/>
      <c r="G148" s="324"/>
      <c r="H148" s="324"/>
    </row>
    <row r="149" spans="1:8">
      <c r="A149" s="324"/>
      <c r="B149" s="324"/>
      <c r="C149" s="324"/>
      <c r="D149" s="324"/>
      <c r="E149" s="324"/>
      <c r="F149" s="324"/>
      <c r="G149" s="324"/>
      <c r="H149" s="324"/>
    </row>
    <row r="150" spans="1:8">
      <c r="A150" s="325" t="s">
        <v>702</v>
      </c>
      <c r="B150" s="324"/>
      <c r="C150" s="324"/>
      <c r="D150" s="324"/>
      <c r="E150" s="324"/>
      <c r="F150" s="324"/>
      <c r="G150" s="324"/>
      <c r="H150" s="324"/>
    </row>
    <row r="151" spans="1:8">
      <c r="A151" s="325" t="s">
        <v>703</v>
      </c>
      <c r="B151" s="324"/>
      <c r="C151" s="324"/>
      <c r="D151" s="324"/>
      <c r="E151" s="324"/>
      <c r="F151" s="324"/>
      <c r="G151" s="324"/>
      <c r="H151" s="324"/>
    </row>
    <row r="152" spans="1:8">
      <c r="A152" s="325" t="s">
        <v>704</v>
      </c>
      <c r="B152" s="324"/>
      <c r="C152" s="324"/>
      <c r="D152" s="324"/>
      <c r="E152" s="324"/>
      <c r="F152" s="324"/>
      <c r="G152" s="324"/>
      <c r="H152" s="324"/>
    </row>
    <row r="153" spans="1:8">
      <c r="A153" s="324"/>
      <c r="B153" s="324"/>
      <c r="C153" s="324"/>
      <c r="D153" s="324"/>
      <c r="E153" s="324"/>
      <c r="F153" s="324"/>
      <c r="G153" s="324"/>
      <c r="H153" s="324"/>
    </row>
    <row r="154" spans="1:8">
      <c r="A154" s="325" t="s">
        <v>699</v>
      </c>
      <c r="B154" s="324"/>
      <c r="C154" s="324"/>
      <c r="D154" s="324"/>
      <c r="E154" s="324"/>
      <c r="F154" s="324"/>
      <c r="G154" s="324"/>
      <c r="H154" s="324"/>
    </row>
    <row r="155" spans="1:8">
      <c r="A155" s="325" t="s">
        <v>700</v>
      </c>
      <c r="B155" s="324"/>
      <c r="C155" s="324"/>
      <c r="D155" s="324"/>
      <c r="E155" s="324"/>
      <c r="F155" s="324"/>
      <c r="G155" s="324"/>
      <c r="H155" s="324"/>
    </row>
    <row r="156" spans="1:8">
      <c r="A156" s="325" t="s">
        <v>701</v>
      </c>
      <c r="B156" s="324"/>
      <c r="C156" s="324"/>
      <c r="D156" s="324"/>
      <c r="E156" s="324"/>
      <c r="F156" s="324"/>
      <c r="G156" s="324"/>
      <c r="H156" s="324"/>
    </row>
    <row r="157" spans="1:8">
      <c r="A157" s="324"/>
      <c r="B157" s="324"/>
      <c r="C157" s="324"/>
      <c r="D157" s="324"/>
      <c r="E157" s="324"/>
      <c r="F157" s="324"/>
      <c r="G157" s="324"/>
      <c r="H157" s="324"/>
    </row>
    <row r="158" spans="1:8">
      <c r="A158" s="325" t="s">
        <v>697</v>
      </c>
      <c r="B158" s="324"/>
      <c r="C158" s="324"/>
      <c r="D158" s="324"/>
      <c r="E158" s="324"/>
      <c r="F158" s="324"/>
      <c r="G158" s="324"/>
      <c r="H158" s="324"/>
    </row>
    <row r="159" spans="1:8">
      <c r="A159" s="325" t="s">
        <v>698</v>
      </c>
      <c r="B159" s="324"/>
      <c r="C159" s="324"/>
      <c r="D159" s="324"/>
      <c r="E159" s="324"/>
      <c r="F159" s="324"/>
      <c r="G159" s="324"/>
      <c r="H159" s="324"/>
    </row>
    <row r="160" spans="1:8">
      <c r="A160" s="324"/>
      <c r="B160" s="324"/>
      <c r="C160" s="324"/>
      <c r="D160" s="324"/>
      <c r="E160" s="324"/>
      <c r="F160" s="324"/>
      <c r="G160" s="324"/>
      <c r="H160" s="324"/>
    </row>
    <row r="161" spans="1:8" ht="15.75">
      <c r="A161" s="326" t="s">
        <v>521</v>
      </c>
      <c r="B161" s="324"/>
      <c r="C161" s="324"/>
      <c r="D161" s="324"/>
      <c r="E161" s="324"/>
      <c r="F161" s="324"/>
      <c r="G161" s="324"/>
      <c r="H161" s="324"/>
    </row>
    <row r="162" spans="1:8">
      <c r="A162" s="324"/>
      <c r="B162" s="324"/>
      <c r="C162" s="324"/>
      <c r="D162" s="324"/>
      <c r="E162" s="324"/>
      <c r="F162" s="324"/>
      <c r="G162" s="324"/>
      <c r="H162" s="324"/>
    </row>
    <row r="163" spans="1:8">
      <c r="A163" s="325" t="s">
        <v>695</v>
      </c>
      <c r="B163" s="324"/>
      <c r="C163" s="324"/>
      <c r="D163" s="324"/>
      <c r="E163" s="324"/>
      <c r="F163" s="324"/>
      <c r="G163" s="324"/>
      <c r="H163" s="324"/>
    </row>
    <row r="164" spans="1:8">
      <c r="A164" s="325" t="s">
        <v>696</v>
      </c>
      <c r="B164" s="324"/>
      <c r="C164" s="324"/>
      <c r="D164" s="324"/>
      <c r="E164" s="324"/>
      <c r="F164" s="324"/>
      <c r="G164" s="324"/>
      <c r="H164" s="324"/>
    </row>
    <row r="165" spans="1:8">
      <c r="A165" s="324"/>
      <c r="B165" s="324"/>
      <c r="C165" s="324"/>
      <c r="D165" s="324"/>
      <c r="E165" s="324"/>
      <c r="F165" s="324"/>
      <c r="G165" s="324"/>
      <c r="H165" s="324"/>
    </row>
    <row r="166" spans="1:8">
      <c r="A166" s="325" t="s">
        <v>693</v>
      </c>
      <c r="B166" s="324"/>
      <c r="C166" s="324"/>
      <c r="D166" s="324"/>
      <c r="E166" s="324"/>
      <c r="F166" s="324"/>
      <c r="G166" s="324"/>
      <c r="H166" s="324"/>
    </row>
    <row r="167" spans="1:8">
      <c r="A167" s="325" t="s">
        <v>694</v>
      </c>
      <c r="B167" s="324"/>
      <c r="C167" s="324"/>
      <c r="D167" s="324"/>
      <c r="E167" s="324"/>
      <c r="F167" s="324"/>
      <c r="G167" s="324"/>
      <c r="H167" s="324"/>
    </row>
    <row r="168" spans="1:8">
      <c r="A168" s="324"/>
      <c r="B168" s="324"/>
      <c r="C168" s="324"/>
      <c r="D168" s="324"/>
      <c r="E168" s="324"/>
      <c r="F168" s="324"/>
      <c r="G168" s="324"/>
      <c r="H168" s="324"/>
    </row>
    <row r="169" spans="1:8">
      <c r="A169" s="325" t="s">
        <v>691</v>
      </c>
      <c r="B169" s="324"/>
      <c r="C169" s="324"/>
      <c r="D169" s="324"/>
      <c r="E169" s="324"/>
      <c r="F169" s="324"/>
      <c r="G169" s="324"/>
      <c r="H169" s="324"/>
    </row>
    <row r="170" spans="1:8">
      <c r="A170" s="325" t="s">
        <v>692</v>
      </c>
      <c r="B170" s="324"/>
      <c r="C170" s="324"/>
      <c r="D170" s="324"/>
      <c r="E170" s="324"/>
      <c r="F170" s="324"/>
      <c r="G170" s="324"/>
      <c r="H170" s="324"/>
    </row>
    <row r="171" spans="1:8">
      <c r="A171" s="324"/>
      <c r="B171" s="324"/>
      <c r="C171" s="324"/>
      <c r="D171" s="324"/>
      <c r="E171" s="324"/>
      <c r="F171" s="324"/>
      <c r="G171" s="324"/>
      <c r="H171" s="324"/>
    </row>
    <row r="172" spans="1:8">
      <c r="A172" s="325" t="s">
        <v>688</v>
      </c>
      <c r="B172" s="324"/>
      <c r="C172" s="324"/>
      <c r="D172" s="324"/>
      <c r="E172" s="324"/>
      <c r="F172" s="324"/>
      <c r="G172" s="324"/>
      <c r="H172" s="324"/>
    </row>
    <row r="173" spans="1:8">
      <c r="A173" s="325" t="s">
        <v>689</v>
      </c>
      <c r="B173" s="324"/>
      <c r="C173" s="324"/>
      <c r="D173" s="324"/>
      <c r="E173" s="324"/>
      <c r="F173" s="324"/>
      <c r="G173" s="324"/>
      <c r="H173" s="324"/>
    </row>
    <row r="174" spans="1:8">
      <c r="A174" s="325" t="s">
        <v>690</v>
      </c>
      <c r="B174" s="324"/>
      <c r="C174" s="324"/>
      <c r="D174" s="324"/>
      <c r="E174" s="324"/>
      <c r="F174" s="324"/>
      <c r="G174" s="324"/>
      <c r="H174" s="324"/>
    </row>
    <row r="175" spans="1:8">
      <c r="A175" s="324"/>
      <c r="B175" s="324"/>
      <c r="C175" s="324"/>
      <c r="D175" s="324"/>
      <c r="E175" s="324"/>
      <c r="F175" s="324"/>
      <c r="G175" s="324"/>
      <c r="H175" s="324"/>
    </row>
    <row r="176" spans="1:8">
      <c r="A176" s="324"/>
      <c r="B176" s="324"/>
      <c r="C176" s="324"/>
      <c r="D176" s="324"/>
      <c r="E176" s="324"/>
      <c r="F176" s="324"/>
      <c r="G176" s="324"/>
      <c r="H176" s="324"/>
    </row>
    <row r="177" spans="1:8">
      <c r="A177" s="325" t="s">
        <v>522</v>
      </c>
      <c r="B177" s="324"/>
      <c r="C177" s="324"/>
      <c r="D177" s="324"/>
      <c r="E177" s="324"/>
      <c r="F177" s="324"/>
      <c r="G177" s="324"/>
      <c r="H177" s="324"/>
    </row>
    <row r="178" spans="1:8">
      <c r="A178" s="324"/>
      <c r="B178" s="324"/>
      <c r="C178" s="324"/>
      <c r="D178" s="324"/>
      <c r="E178" s="324"/>
      <c r="F178" s="324"/>
      <c r="G178" s="324"/>
      <c r="H178" s="324"/>
    </row>
    <row r="179" spans="1:8" ht="15.75">
      <c r="A179" s="326" t="s">
        <v>523</v>
      </c>
      <c r="B179" s="324"/>
      <c r="C179" s="324"/>
      <c r="D179" s="324"/>
      <c r="E179" s="324"/>
      <c r="F179" s="324"/>
      <c r="G179" s="324"/>
      <c r="H179" s="324"/>
    </row>
    <row r="180" spans="1:8">
      <c r="A180" s="324"/>
      <c r="B180" s="324"/>
      <c r="C180" s="324"/>
      <c r="D180" s="324"/>
      <c r="E180" s="324"/>
      <c r="F180" s="324"/>
      <c r="G180" s="324"/>
      <c r="H180" s="324"/>
    </row>
    <row r="181" spans="1:8">
      <c r="A181" s="324"/>
      <c r="B181" s="324"/>
      <c r="C181" s="324"/>
      <c r="D181" s="324"/>
      <c r="E181" s="324"/>
      <c r="F181" s="324"/>
      <c r="G181" s="324"/>
      <c r="H181" s="324"/>
    </row>
    <row r="182" spans="1:8">
      <c r="A182" s="324"/>
      <c r="B182" s="324"/>
      <c r="C182" s="324"/>
      <c r="D182" s="324"/>
      <c r="E182" s="324"/>
      <c r="F182" s="324"/>
      <c r="G182" s="324"/>
      <c r="H182" s="324"/>
    </row>
    <row r="183" spans="1:8">
      <c r="A183" s="324"/>
      <c r="B183" s="324"/>
      <c r="C183" s="324"/>
      <c r="D183" s="324"/>
      <c r="E183" s="324"/>
      <c r="F183" s="324"/>
      <c r="G183" s="324"/>
      <c r="H183" s="324"/>
    </row>
    <row r="184" spans="1:8">
      <c r="A184" s="324"/>
      <c r="B184" s="324"/>
      <c r="C184" s="324"/>
      <c r="D184" s="324"/>
      <c r="E184" s="324"/>
      <c r="F184" s="324"/>
      <c r="G184" s="324"/>
      <c r="H184" s="324"/>
    </row>
    <row r="185" spans="1:8">
      <c r="A185" s="324"/>
      <c r="B185" s="324"/>
      <c r="C185" s="324"/>
      <c r="D185" s="324"/>
      <c r="E185" s="324"/>
      <c r="F185" s="324"/>
      <c r="G185" s="324"/>
      <c r="H185" s="324"/>
    </row>
    <row r="186" spans="1:8">
      <c r="A186" s="324"/>
      <c r="B186" s="324"/>
      <c r="C186" s="324"/>
      <c r="D186" s="324"/>
      <c r="E186" s="324"/>
      <c r="F186" s="324"/>
      <c r="G186" s="324"/>
      <c r="H186" s="324"/>
    </row>
    <row r="187" spans="1:8">
      <c r="A187" s="324"/>
      <c r="B187" s="324"/>
      <c r="C187" s="324"/>
      <c r="D187" s="324"/>
      <c r="E187" s="324"/>
      <c r="F187" s="324"/>
      <c r="G187" s="324"/>
      <c r="H187" s="324"/>
    </row>
    <row r="188" spans="1:8">
      <c r="A188" s="324"/>
      <c r="B188" s="324"/>
      <c r="C188" s="324"/>
      <c r="D188" s="324"/>
      <c r="E188" s="324"/>
      <c r="F188" s="324"/>
      <c r="G188" s="324"/>
      <c r="H188" s="324"/>
    </row>
    <row r="189" spans="1:8">
      <c r="A189" s="324"/>
      <c r="B189" s="324"/>
      <c r="C189" s="324"/>
      <c r="D189" s="324"/>
      <c r="E189" s="324"/>
      <c r="F189" s="324"/>
      <c r="G189" s="324"/>
      <c r="H189" s="324"/>
    </row>
    <row r="190" spans="1:8">
      <c r="A190" s="324"/>
      <c r="B190" s="324"/>
      <c r="C190" s="324"/>
      <c r="D190" s="324"/>
      <c r="E190" s="324"/>
      <c r="F190" s="324"/>
      <c r="G190" s="324"/>
      <c r="H190" s="324"/>
    </row>
    <row r="191" spans="1:8">
      <c r="A191" s="324"/>
      <c r="B191" s="324"/>
      <c r="C191" s="324"/>
      <c r="D191" s="324"/>
      <c r="E191" s="324"/>
      <c r="F191" s="324"/>
      <c r="G191" s="324"/>
      <c r="H191" s="324"/>
    </row>
    <row r="192" spans="1:8">
      <c r="A192" s="324"/>
      <c r="B192" s="324"/>
      <c r="C192" s="324"/>
      <c r="D192" s="324"/>
      <c r="E192" s="324"/>
      <c r="F192" s="324"/>
      <c r="G192" s="324"/>
      <c r="H192" s="324"/>
    </row>
    <row r="193" spans="1:8">
      <c r="A193" s="324"/>
      <c r="B193" s="324"/>
      <c r="C193" s="324"/>
      <c r="D193" s="324"/>
      <c r="E193" s="324"/>
      <c r="F193" s="324"/>
      <c r="G193" s="324"/>
      <c r="H193" s="324"/>
    </row>
    <row r="194" spans="1:8">
      <c r="A194" s="324"/>
      <c r="B194" s="324"/>
      <c r="C194" s="324"/>
      <c r="D194" s="324"/>
      <c r="E194" s="324"/>
      <c r="F194" s="324"/>
      <c r="G194" s="324"/>
      <c r="H194" s="324"/>
    </row>
    <row r="195" spans="1:8">
      <c r="A195" s="324"/>
      <c r="B195" s="324"/>
      <c r="C195" s="324"/>
      <c r="D195" s="324"/>
      <c r="E195" s="324"/>
      <c r="F195" s="324"/>
      <c r="G195" s="324"/>
      <c r="H195" s="324"/>
    </row>
    <row r="196" spans="1:8">
      <c r="A196" s="324"/>
      <c r="B196" s="324"/>
      <c r="C196" s="324"/>
      <c r="D196" s="324"/>
      <c r="E196" s="324"/>
      <c r="F196" s="324"/>
      <c r="G196" s="324"/>
      <c r="H196" s="324"/>
    </row>
    <row r="197" spans="1:8">
      <c r="A197" s="324"/>
      <c r="B197" s="324"/>
      <c r="C197" s="324"/>
      <c r="D197" s="324"/>
      <c r="E197" s="324"/>
      <c r="F197" s="324"/>
      <c r="G197" s="324"/>
      <c r="H197" s="324"/>
    </row>
    <row r="198" spans="1:8">
      <c r="A198" s="324"/>
      <c r="B198" s="324"/>
      <c r="C198" s="324"/>
      <c r="D198" s="324"/>
      <c r="E198" s="324"/>
      <c r="F198" s="324"/>
      <c r="G198" s="324"/>
      <c r="H198" s="324"/>
    </row>
    <row r="199" spans="1:8">
      <c r="A199" s="324"/>
      <c r="B199" s="324"/>
      <c r="C199" s="324"/>
      <c r="D199" s="324"/>
      <c r="E199" s="324"/>
      <c r="F199" s="324"/>
      <c r="G199" s="324"/>
      <c r="H199" s="324"/>
    </row>
    <row r="200" spans="1:8">
      <c r="A200" s="324"/>
      <c r="B200" s="324"/>
      <c r="C200" s="324"/>
      <c r="D200" s="324"/>
      <c r="E200" s="324"/>
      <c r="F200" s="324"/>
      <c r="G200" s="324"/>
      <c r="H200" s="324"/>
    </row>
    <row r="201" spans="1:8">
      <c r="A201" s="324"/>
      <c r="B201" s="324"/>
      <c r="C201" s="324"/>
      <c r="D201" s="324"/>
      <c r="E201" s="324"/>
      <c r="F201" s="324"/>
      <c r="G201" s="324"/>
      <c r="H201" s="324"/>
    </row>
    <row r="202" spans="1:8">
      <c r="A202" s="324"/>
      <c r="B202" s="324"/>
      <c r="C202" s="324"/>
      <c r="D202" s="324"/>
      <c r="E202" s="324"/>
      <c r="F202" s="324"/>
      <c r="G202" s="324"/>
      <c r="H202" s="324"/>
    </row>
    <row r="203" spans="1:8">
      <c r="A203" s="324"/>
      <c r="B203" s="324"/>
      <c r="C203" s="324"/>
      <c r="D203" s="324"/>
      <c r="E203" s="324"/>
      <c r="F203" s="324"/>
      <c r="G203" s="324"/>
      <c r="H203" s="324"/>
    </row>
    <row r="204" spans="1:8">
      <c r="A204" s="324"/>
      <c r="B204" s="324"/>
      <c r="C204" s="324"/>
      <c r="D204" s="324"/>
      <c r="E204" s="324"/>
      <c r="F204" s="324"/>
      <c r="G204" s="324"/>
      <c r="H204" s="324"/>
    </row>
    <row r="205" spans="1:8">
      <c r="A205" s="324"/>
      <c r="B205" s="324"/>
      <c r="C205" s="324"/>
      <c r="D205" s="324"/>
      <c r="E205" s="324"/>
      <c r="F205" s="324"/>
      <c r="G205" s="324"/>
      <c r="H205" s="324"/>
    </row>
    <row r="206" spans="1:8" ht="15.75">
      <c r="A206" s="326" t="s">
        <v>524</v>
      </c>
      <c r="B206" s="324"/>
      <c r="C206" s="324"/>
      <c r="D206" s="324"/>
      <c r="E206" s="324"/>
      <c r="F206" s="324"/>
      <c r="G206" s="324"/>
      <c r="H206" s="324"/>
    </row>
    <row r="207" spans="1:8">
      <c r="A207" s="324"/>
      <c r="B207" s="324"/>
      <c r="C207" s="324"/>
      <c r="D207" s="324"/>
      <c r="E207" s="324"/>
      <c r="F207" s="324"/>
      <c r="G207" s="324"/>
      <c r="H207" s="324"/>
    </row>
    <row r="208" spans="1:8">
      <c r="A208" s="325" t="s">
        <v>683</v>
      </c>
      <c r="B208" s="324"/>
      <c r="C208" s="324"/>
      <c r="D208" s="324"/>
      <c r="E208" s="324"/>
      <c r="F208" s="324"/>
      <c r="G208" s="324"/>
      <c r="H208" s="324"/>
    </row>
    <row r="209" spans="1:8">
      <c r="A209" s="325" t="s">
        <v>684</v>
      </c>
      <c r="B209" s="324"/>
      <c r="C209" s="324"/>
      <c r="D209" s="324"/>
      <c r="E209" s="324"/>
      <c r="F209" s="324"/>
      <c r="G209" s="324"/>
      <c r="H209" s="324"/>
    </row>
    <row r="210" spans="1:8">
      <c r="A210" s="325" t="s">
        <v>685</v>
      </c>
      <c r="B210" s="324"/>
      <c r="C210" s="324"/>
      <c r="D210" s="324"/>
      <c r="E210" s="324"/>
      <c r="F210" s="324"/>
      <c r="G210" s="324"/>
      <c r="H210" s="324"/>
    </row>
    <row r="211" spans="1:8">
      <c r="A211" s="325" t="s">
        <v>686</v>
      </c>
      <c r="B211" s="324"/>
      <c r="C211" s="324"/>
      <c r="D211" s="324"/>
      <c r="E211" s="324"/>
      <c r="F211" s="324"/>
      <c r="G211" s="324"/>
      <c r="H211" s="324"/>
    </row>
    <row r="212" spans="1:8">
      <c r="A212" s="325" t="s">
        <v>687</v>
      </c>
      <c r="B212" s="324"/>
      <c r="C212" s="324"/>
      <c r="D212" s="324"/>
      <c r="E212" s="324"/>
      <c r="F212" s="324"/>
      <c r="G212" s="324"/>
      <c r="H212" s="324"/>
    </row>
    <row r="213" spans="1:8">
      <c r="A213" s="324"/>
      <c r="B213" s="324"/>
      <c r="C213" s="324"/>
      <c r="D213" s="324"/>
      <c r="E213" s="324"/>
      <c r="F213" s="324"/>
      <c r="G213" s="324"/>
      <c r="H213" s="324"/>
    </row>
    <row r="214" spans="1:8">
      <c r="A214" s="325" t="s">
        <v>680</v>
      </c>
      <c r="B214" s="324"/>
      <c r="C214" s="324"/>
      <c r="D214" s="324"/>
      <c r="E214" s="324"/>
      <c r="F214" s="324"/>
      <c r="G214" s="324"/>
      <c r="H214" s="324"/>
    </row>
    <row r="215" spans="1:8">
      <c r="A215" s="325" t="s">
        <v>681</v>
      </c>
      <c r="B215" s="324"/>
      <c r="C215" s="324"/>
      <c r="D215" s="324"/>
      <c r="E215" s="324"/>
      <c r="F215" s="324"/>
      <c r="G215" s="324"/>
      <c r="H215" s="324"/>
    </row>
    <row r="216" spans="1:8">
      <c r="A216" s="325" t="s">
        <v>682</v>
      </c>
      <c r="B216" s="324"/>
      <c r="C216" s="324"/>
      <c r="D216" s="324"/>
      <c r="E216" s="324"/>
      <c r="F216" s="324"/>
      <c r="G216" s="324"/>
      <c r="H216" s="324"/>
    </row>
    <row r="217" spans="1:8" ht="15.75">
      <c r="A217" s="326" t="s">
        <v>525</v>
      </c>
      <c r="B217" s="324"/>
      <c r="C217" s="324"/>
      <c r="D217" s="324"/>
      <c r="E217" s="324"/>
      <c r="F217" s="324"/>
      <c r="G217" s="324"/>
      <c r="H217" s="324"/>
    </row>
    <row r="218" spans="1:8">
      <c r="A218" s="324"/>
      <c r="B218" s="324"/>
      <c r="C218" s="324"/>
      <c r="D218" s="324"/>
      <c r="E218" s="324"/>
      <c r="F218" s="324"/>
      <c r="G218" s="324"/>
      <c r="H218" s="324"/>
    </row>
    <row r="219" spans="1:8">
      <c r="A219" s="325" t="s">
        <v>673</v>
      </c>
      <c r="B219" s="324"/>
      <c r="C219" s="324"/>
      <c r="D219" s="324"/>
      <c r="E219" s="324"/>
      <c r="F219" s="324"/>
      <c r="G219" s="324"/>
      <c r="H219" s="324"/>
    </row>
    <row r="220" spans="1:8">
      <c r="A220" s="325" t="s">
        <v>674</v>
      </c>
      <c r="B220" s="324"/>
      <c r="C220" s="324"/>
      <c r="D220" s="324"/>
      <c r="E220" s="324"/>
      <c r="F220" s="324"/>
      <c r="G220" s="324"/>
      <c r="H220" s="324"/>
    </row>
    <row r="221" spans="1:8">
      <c r="A221" s="325" t="s">
        <v>675</v>
      </c>
      <c r="B221" s="324"/>
      <c r="C221" s="324"/>
      <c r="D221" s="324"/>
      <c r="E221" s="324"/>
      <c r="F221" s="324"/>
      <c r="G221" s="324"/>
      <c r="H221" s="324"/>
    </row>
    <row r="222" spans="1:8">
      <c r="A222" s="325" t="s">
        <v>676</v>
      </c>
      <c r="B222" s="324"/>
      <c r="C222" s="324"/>
      <c r="D222" s="324"/>
      <c r="E222" s="324"/>
      <c r="F222" s="324"/>
      <c r="G222" s="324"/>
      <c r="H222" s="324"/>
    </row>
    <row r="223" spans="1:8">
      <c r="A223" s="325" t="s">
        <v>677</v>
      </c>
      <c r="B223" s="324"/>
      <c r="C223" s="324"/>
      <c r="D223" s="324"/>
      <c r="E223" s="324"/>
      <c r="F223" s="324"/>
      <c r="G223" s="324"/>
      <c r="H223" s="324"/>
    </row>
    <row r="224" spans="1:8">
      <c r="A224" s="325" t="s">
        <v>678</v>
      </c>
      <c r="B224" s="324"/>
      <c r="C224" s="324"/>
      <c r="D224" s="324"/>
      <c r="E224" s="324"/>
      <c r="F224" s="324"/>
      <c r="G224" s="324"/>
      <c r="H224" s="324"/>
    </row>
    <row r="225" spans="1:8">
      <c r="A225" s="325" t="s">
        <v>679</v>
      </c>
      <c r="B225" s="324"/>
      <c r="C225" s="324"/>
      <c r="D225" s="324"/>
      <c r="E225" s="324"/>
      <c r="F225" s="324"/>
      <c r="G225" s="324"/>
      <c r="H225" s="324"/>
    </row>
    <row r="226" spans="1:8">
      <c r="A226" s="324"/>
      <c r="B226" s="324"/>
      <c r="C226" s="324"/>
      <c r="D226" s="324"/>
      <c r="E226" s="324"/>
      <c r="F226" s="324"/>
      <c r="G226" s="324"/>
      <c r="H226" s="324"/>
    </row>
    <row r="227" spans="1:8">
      <c r="A227" s="325" t="s">
        <v>670</v>
      </c>
      <c r="B227" s="324"/>
      <c r="C227" s="324"/>
      <c r="D227" s="324"/>
      <c r="E227" s="324"/>
      <c r="F227" s="324"/>
      <c r="G227" s="324"/>
      <c r="H227" s="324"/>
    </row>
    <row r="228" spans="1:8">
      <c r="A228" s="325" t="s">
        <v>671</v>
      </c>
      <c r="B228" s="324"/>
      <c r="C228" s="324"/>
      <c r="D228" s="324"/>
      <c r="E228" s="324"/>
      <c r="F228" s="324"/>
      <c r="G228" s="324"/>
      <c r="H228" s="324"/>
    </row>
    <row r="229" spans="1:8">
      <c r="A229" s="325" t="s">
        <v>672</v>
      </c>
      <c r="B229" s="324"/>
      <c r="C229" s="324"/>
      <c r="D229" s="324"/>
      <c r="E229" s="324"/>
      <c r="F229" s="324"/>
      <c r="G229" s="324"/>
      <c r="H229" s="324"/>
    </row>
    <row r="230" spans="1:8">
      <c r="A230" s="324"/>
      <c r="B230" s="324"/>
      <c r="C230" s="324"/>
      <c r="D230" s="324"/>
      <c r="E230" s="324"/>
      <c r="F230" s="324"/>
      <c r="G230" s="324"/>
      <c r="H230" s="324"/>
    </row>
    <row r="231" spans="1:8">
      <c r="A231" s="325" t="s">
        <v>665</v>
      </c>
      <c r="B231" s="324"/>
      <c r="C231" s="324"/>
      <c r="D231" s="324"/>
      <c r="E231" s="324"/>
      <c r="F231" s="324"/>
      <c r="G231" s="324"/>
      <c r="H231" s="324"/>
    </row>
    <row r="232" spans="1:8">
      <c r="A232" s="325" t="s">
        <v>666</v>
      </c>
      <c r="B232" s="324"/>
      <c r="C232" s="324"/>
      <c r="D232" s="324"/>
      <c r="E232" s="324"/>
      <c r="F232" s="324"/>
      <c r="G232" s="324"/>
      <c r="H232" s="324"/>
    </row>
    <row r="233" spans="1:8">
      <c r="A233" s="325" t="s">
        <v>667</v>
      </c>
      <c r="B233" s="324"/>
      <c r="C233" s="324"/>
      <c r="D233" s="324"/>
      <c r="E233" s="324"/>
      <c r="F233" s="324"/>
      <c r="G233" s="324"/>
      <c r="H233" s="324"/>
    </row>
    <row r="234" spans="1:8">
      <c r="A234" s="325" t="s">
        <v>668</v>
      </c>
      <c r="B234" s="324"/>
      <c r="C234" s="324"/>
      <c r="D234" s="324"/>
      <c r="E234" s="324"/>
      <c r="F234" s="324"/>
      <c r="G234" s="324"/>
      <c r="H234" s="324"/>
    </row>
    <row r="235" spans="1:8">
      <c r="A235" s="325" t="s">
        <v>669</v>
      </c>
      <c r="B235" s="324"/>
      <c r="C235" s="324"/>
      <c r="D235" s="324"/>
      <c r="E235" s="324"/>
      <c r="F235" s="324"/>
      <c r="G235" s="324"/>
      <c r="H235" s="324"/>
    </row>
    <row r="236" spans="1:8">
      <c r="A236" s="324"/>
      <c r="B236" s="324"/>
      <c r="C236" s="324"/>
      <c r="D236" s="324"/>
      <c r="E236" s="324"/>
      <c r="F236" s="324"/>
      <c r="G236" s="324"/>
      <c r="H236" s="324"/>
    </row>
    <row r="237" spans="1:8">
      <c r="A237" s="325" t="s">
        <v>659</v>
      </c>
      <c r="B237" s="324"/>
      <c r="C237" s="324"/>
      <c r="D237" s="324"/>
      <c r="E237" s="324"/>
      <c r="F237" s="324"/>
      <c r="G237" s="324"/>
      <c r="H237" s="324"/>
    </row>
    <row r="238" spans="1:8">
      <c r="A238" s="325" t="s">
        <v>660</v>
      </c>
      <c r="B238" s="324"/>
      <c r="C238" s="324"/>
      <c r="D238" s="324"/>
      <c r="E238" s="324"/>
      <c r="F238" s="324"/>
      <c r="G238" s="324"/>
      <c r="H238" s="324"/>
    </row>
    <row r="239" spans="1:8">
      <c r="A239" s="325" t="s">
        <v>661</v>
      </c>
      <c r="B239" s="324"/>
      <c r="C239" s="324"/>
      <c r="D239" s="324"/>
      <c r="E239" s="324"/>
      <c r="F239" s="324"/>
      <c r="G239" s="324"/>
      <c r="H239" s="324"/>
    </row>
    <row r="240" spans="1:8">
      <c r="A240" s="325" t="s">
        <v>662</v>
      </c>
      <c r="B240" s="324"/>
      <c r="C240" s="324"/>
      <c r="D240" s="324"/>
      <c r="E240" s="324"/>
      <c r="F240" s="324"/>
      <c r="G240" s="324"/>
      <c r="H240" s="324"/>
    </row>
    <row r="241" spans="1:8">
      <c r="A241" s="325" t="s">
        <v>663</v>
      </c>
      <c r="B241" s="324"/>
      <c r="C241" s="324"/>
      <c r="D241" s="324"/>
      <c r="E241" s="324"/>
      <c r="F241" s="324"/>
      <c r="G241" s="324"/>
      <c r="H241" s="324"/>
    </row>
    <row r="242" spans="1:8">
      <c r="A242" s="325" t="s">
        <v>664</v>
      </c>
      <c r="B242" s="324"/>
      <c r="C242" s="324"/>
      <c r="D242" s="324"/>
      <c r="E242" s="324"/>
      <c r="F242" s="324"/>
      <c r="G242" s="324"/>
      <c r="H242" s="324"/>
    </row>
    <row r="243" spans="1:8">
      <c r="A243" s="324"/>
      <c r="B243" s="324"/>
      <c r="C243" s="324"/>
      <c r="D243" s="324"/>
      <c r="E243" s="324"/>
      <c r="F243" s="324"/>
      <c r="G243" s="324"/>
      <c r="H243" s="324"/>
    </row>
    <row r="244" spans="1:8">
      <c r="A244" s="325" t="s">
        <v>649</v>
      </c>
      <c r="B244" s="324"/>
      <c r="C244" s="324"/>
      <c r="D244" s="324"/>
      <c r="E244" s="324"/>
      <c r="F244" s="324"/>
      <c r="G244" s="324"/>
      <c r="H244" s="324"/>
    </row>
    <row r="245" spans="1:8">
      <c r="A245" s="325" t="s">
        <v>650</v>
      </c>
      <c r="B245" s="324"/>
      <c r="C245" s="324"/>
      <c r="D245" s="324"/>
      <c r="E245" s="324"/>
      <c r="F245" s="324"/>
      <c r="G245" s="324"/>
      <c r="H245" s="324"/>
    </row>
    <row r="246" spans="1:8">
      <c r="A246" s="325" t="s">
        <v>651</v>
      </c>
      <c r="B246" s="324"/>
      <c r="C246" s="324"/>
      <c r="D246" s="324"/>
      <c r="E246" s="324"/>
      <c r="F246" s="324"/>
      <c r="G246" s="324"/>
      <c r="H246" s="324"/>
    </row>
    <row r="247" spans="1:8">
      <c r="A247" s="325" t="s">
        <v>652</v>
      </c>
      <c r="B247" s="324"/>
      <c r="C247" s="324"/>
      <c r="D247" s="324"/>
      <c r="E247" s="324"/>
      <c r="F247" s="324"/>
      <c r="G247" s="324"/>
      <c r="H247" s="324"/>
    </row>
    <row r="248" spans="1:8">
      <c r="A248" s="325" t="s">
        <v>653</v>
      </c>
      <c r="B248" s="324"/>
      <c r="C248" s="324"/>
      <c r="D248" s="324"/>
      <c r="E248" s="324"/>
      <c r="F248" s="324"/>
      <c r="G248" s="324"/>
      <c r="H248" s="324"/>
    </row>
    <row r="249" spans="1:8">
      <c r="A249" s="325" t="s">
        <v>654</v>
      </c>
      <c r="B249" s="324"/>
      <c r="C249" s="324"/>
      <c r="D249" s="324"/>
      <c r="E249" s="324"/>
      <c r="F249" s="324"/>
      <c r="G249" s="324"/>
      <c r="H249" s="324"/>
    </row>
    <row r="250" spans="1:8">
      <c r="A250" s="325" t="s">
        <v>655</v>
      </c>
      <c r="B250" s="324"/>
      <c r="C250" s="324"/>
      <c r="D250" s="324"/>
      <c r="E250" s="324"/>
      <c r="F250" s="324"/>
      <c r="G250" s="324"/>
      <c r="H250" s="324"/>
    </row>
    <row r="251" spans="1:8">
      <c r="A251" s="325" t="s">
        <v>656</v>
      </c>
      <c r="B251" s="324"/>
      <c r="C251" s="324"/>
      <c r="D251" s="324"/>
      <c r="E251" s="324"/>
      <c r="F251" s="324"/>
      <c r="G251" s="324"/>
      <c r="H251" s="324"/>
    </row>
    <row r="252" spans="1:8">
      <c r="A252" s="325" t="s">
        <v>657</v>
      </c>
      <c r="B252" s="324"/>
      <c r="C252" s="324"/>
      <c r="D252" s="324"/>
      <c r="E252" s="324"/>
      <c r="F252" s="324"/>
      <c r="G252" s="324"/>
      <c r="H252" s="324"/>
    </row>
    <row r="253" spans="1:8">
      <c r="A253" s="325" t="s">
        <v>658</v>
      </c>
      <c r="B253" s="324"/>
      <c r="C253" s="324"/>
      <c r="D253" s="324"/>
      <c r="E253" s="324"/>
      <c r="F253" s="324"/>
      <c r="G253" s="324"/>
      <c r="H253" s="324"/>
    </row>
    <row r="254" spans="1:8">
      <c r="A254" s="324"/>
      <c r="B254" s="324"/>
      <c r="C254" s="324"/>
      <c r="D254" s="324"/>
      <c r="E254" s="324"/>
      <c r="F254" s="324"/>
      <c r="G254" s="324"/>
      <c r="H254" s="324"/>
    </row>
    <row r="255" spans="1:8">
      <c r="A255" s="325" t="s">
        <v>647</v>
      </c>
      <c r="B255" s="324"/>
      <c r="C255" s="324"/>
      <c r="D255" s="324"/>
      <c r="E255" s="324"/>
      <c r="F255" s="324"/>
      <c r="G255" s="324"/>
      <c r="H255" s="324"/>
    </row>
    <row r="256" spans="1:8">
      <c r="A256" s="325" t="s">
        <v>648</v>
      </c>
      <c r="B256" s="324"/>
      <c r="C256" s="324"/>
      <c r="D256" s="324"/>
      <c r="E256" s="324"/>
      <c r="F256" s="324"/>
      <c r="G256" s="324"/>
      <c r="H256" s="324"/>
    </row>
    <row r="257" spans="1:8">
      <c r="A257" s="324"/>
      <c r="B257" s="324"/>
      <c r="C257" s="324"/>
      <c r="D257" s="324"/>
      <c r="E257" s="324"/>
      <c r="F257" s="324"/>
      <c r="G257" s="324"/>
      <c r="H257" s="324"/>
    </row>
    <row r="258" spans="1:8">
      <c r="A258" s="325" t="s">
        <v>631</v>
      </c>
      <c r="B258" s="324"/>
      <c r="C258" s="324"/>
      <c r="D258" s="324"/>
      <c r="E258" s="324"/>
      <c r="F258" s="324"/>
      <c r="G258" s="324"/>
      <c r="H258" s="324"/>
    </row>
    <row r="259" spans="1:8">
      <c r="A259" s="325" t="s">
        <v>632</v>
      </c>
      <c r="B259" s="324"/>
      <c r="C259" s="324"/>
      <c r="D259" s="324"/>
      <c r="E259" s="324"/>
      <c r="F259" s="324"/>
      <c r="G259" s="324"/>
      <c r="H259" s="324"/>
    </row>
    <row r="260" spans="1:8">
      <c r="A260" s="325" t="s">
        <v>633</v>
      </c>
      <c r="B260" s="324"/>
      <c r="C260" s="324"/>
      <c r="D260" s="324"/>
      <c r="E260" s="324"/>
      <c r="F260" s="324"/>
      <c r="G260" s="324"/>
      <c r="H260" s="324"/>
    </row>
    <row r="261" spans="1:8">
      <c r="A261" s="325" t="s">
        <v>634</v>
      </c>
      <c r="B261" s="324"/>
      <c r="C261" s="324"/>
      <c r="D261" s="324"/>
      <c r="E261" s="324"/>
      <c r="F261" s="324"/>
      <c r="G261" s="324"/>
      <c r="H261" s="324"/>
    </row>
    <row r="262" spans="1:8">
      <c r="A262" s="325" t="s">
        <v>635</v>
      </c>
      <c r="B262" s="324"/>
      <c r="C262" s="324"/>
      <c r="D262" s="324"/>
      <c r="E262" s="324"/>
      <c r="F262" s="324"/>
      <c r="G262" s="324"/>
      <c r="H262" s="324"/>
    </row>
    <row r="263" spans="1:8">
      <c r="A263" s="325" t="s">
        <v>636</v>
      </c>
      <c r="B263" s="324"/>
      <c r="C263" s="324"/>
      <c r="D263" s="324"/>
      <c r="E263" s="324"/>
      <c r="F263" s="324"/>
      <c r="G263" s="324"/>
      <c r="H263" s="324"/>
    </row>
    <row r="264" spans="1:8">
      <c r="A264" s="325" t="s">
        <v>637</v>
      </c>
      <c r="B264" s="324"/>
      <c r="C264" s="324"/>
      <c r="D264" s="324"/>
      <c r="E264" s="324"/>
      <c r="F264" s="324"/>
      <c r="G264" s="324"/>
      <c r="H264" s="324"/>
    </row>
    <row r="265" spans="1:8">
      <c r="A265" s="325" t="s">
        <v>638</v>
      </c>
      <c r="B265" s="324"/>
      <c r="C265" s="324"/>
      <c r="D265" s="324"/>
      <c r="E265" s="324"/>
      <c r="F265" s="324"/>
      <c r="G265" s="324"/>
      <c r="H265" s="324"/>
    </row>
    <row r="266" spans="1:8">
      <c r="A266" s="325" t="s">
        <v>639</v>
      </c>
      <c r="B266" s="324"/>
      <c r="C266" s="324"/>
      <c r="D266" s="324"/>
      <c r="E266" s="324"/>
      <c r="F266" s="324"/>
      <c r="G266" s="324"/>
      <c r="H266" s="324"/>
    </row>
    <row r="267" spans="1:8">
      <c r="A267" s="325" t="s">
        <v>640</v>
      </c>
      <c r="B267" s="324"/>
      <c r="C267" s="324"/>
      <c r="D267" s="324"/>
      <c r="E267" s="324"/>
      <c r="F267" s="324"/>
      <c r="G267" s="324"/>
      <c r="H267" s="324"/>
    </row>
    <row r="268" spans="1:8">
      <c r="A268" s="325" t="s">
        <v>641</v>
      </c>
      <c r="B268" s="324"/>
      <c r="C268" s="324"/>
      <c r="D268" s="324"/>
      <c r="E268" s="324"/>
      <c r="F268" s="324"/>
      <c r="G268" s="324"/>
      <c r="H268" s="324"/>
    </row>
    <row r="269" spans="1:8">
      <c r="A269" s="325" t="s">
        <v>642</v>
      </c>
      <c r="B269" s="324"/>
      <c r="C269" s="324"/>
      <c r="D269" s="324"/>
      <c r="E269" s="324"/>
      <c r="F269" s="324"/>
      <c r="G269" s="324"/>
      <c r="H269" s="324"/>
    </row>
    <row r="270" spans="1:8">
      <c r="A270" s="325" t="s">
        <v>643</v>
      </c>
      <c r="B270" s="324"/>
      <c r="C270" s="324"/>
      <c r="D270" s="324"/>
      <c r="E270" s="324"/>
      <c r="F270" s="324"/>
      <c r="G270" s="324"/>
      <c r="H270" s="324"/>
    </row>
    <row r="271" spans="1:8">
      <c r="A271" s="325" t="s">
        <v>644</v>
      </c>
      <c r="B271" s="324"/>
      <c r="C271" s="324"/>
      <c r="D271" s="324"/>
      <c r="E271" s="324"/>
      <c r="F271" s="324"/>
      <c r="G271" s="324"/>
      <c r="H271" s="324"/>
    </row>
    <row r="272" spans="1:8">
      <c r="A272" s="325" t="s">
        <v>645</v>
      </c>
      <c r="B272" s="324"/>
      <c r="C272" s="324"/>
      <c r="D272" s="324"/>
      <c r="E272" s="324"/>
      <c r="F272" s="324"/>
      <c r="G272" s="324"/>
      <c r="H272" s="324"/>
    </row>
    <row r="273" spans="1:8">
      <c r="A273" s="325" t="s">
        <v>646</v>
      </c>
      <c r="B273" s="324"/>
      <c r="C273" s="324"/>
      <c r="D273" s="324"/>
      <c r="E273" s="324"/>
      <c r="F273" s="324"/>
      <c r="G273" s="324"/>
      <c r="H273" s="324"/>
    </row>
    <row r="274" spans="1:8">
      <c r="A274" s="324"/>
      <c r="B274" s="324"/>
      <c r="C274" s="324"/>
      <c r="D274" s="324"/>
      <c r="E274" s="324"/>
      <c r="F274" s="324"/>
      <c r="G274" s="324"/>
      <c r="H274" s="324"/>
    </row>
    <row r="275" spans="1:8">
      <c r="A275" s="325" t="s">
        <v>624</v>
      </c>
      <c r="B275" s="324"/>
      <c r="C275" s="324"/>
      <c r="D275" s="324"/>
      <c r="E275" s="324"/>
      <c r="F275" s="324"/>
      <c r="G275" s="324"/>
      <c r="H275" s="324"/>
    </row>
    <row r="276" spans="1:8">
      <c r="A276" s="325" t="s">
        <v>625</v>
      </c>
      <c r="B276" s="324"/>
      <c r="C276" s="324"/>
      <c r="D276" s="324"/>
      <c r="E276" s="324"/>
      <c r="F276" s="324"/>
      <c r="G276" s="324"/>
      <c r="H276" s="324"/>
    </row>
    <row r="277" spans="1:8">
      <c r="A277" s="325" t="s">
        <v>626</v>
      </c>
      <c r="B277" s="324"/>
      <c r="C277" s="324"/>
      <c r="D277" s="324"/>
      <c r="E277" s="324"/>
      <c r="F277" s="324"/>
      <c r="G277" s="324"/>
      <c r="H277" s="324"/>
    </row>
    <row r="278" spans="1:8">
      <c r="A278" s="325" t="s">
        <v>627</v>
      </c>
      <c r="B278" s="324"/>
      <c r="C278" s="324"/>
      <c r="D278" s="324"/>
      <c r="E278" s="324"/>
      <c r="F278" s="324"/>
      <c r="G278" s="324"/>
      <c r="H278" s="324"/>
    </row>
    <row r="279" spans="1:8">
      <c r="A279" s="325" t="s">
        <v>628</v>
      </c>
      <c r="B279" s="324"/>
      <c r="C279" s="324"/>
      <c r="D279" s="324"/>
      <c r="E279" s="324"/>
      <c r="F279" s="324"/>
      <c r="G279" s="324"/>
      <c r="H279" s="324"/>
    </row>
    <row r="280" spans="1:8">
      <c r="A280" s="325" t="s">
        <v>629</v>
      </c>
      <c r="B280" s="324"/>
      <c r="C280" s="324"/>
      <c r="D280" s="324"/>
      <c r="E280" s="324"/>
      <c r="F280" s="324"/>
      <c r="G280" s="324"/>
      <c r="H280" s="324"/>
    </row>
    <row r="281" spans="1:8">
      <c r="A281" s="325" t="s">
        <v>630</v>
      </c>
      <c r="B281" s="324"/>
      <c r="C281" s="324"/>
      <c r="D281" s="324"/>
      <c r="E281" s="324"/>
      <c r="F281" s="324"/>
      <c r="G281" s="324"/>
      <c r="H281" s="324"/>
    </row>
    <row r="282" spans="1:8">
      <c r="A282" s="324"/>
      <c r="B282" s="324"/>
      <c r="C282" s="324"/>
      <c r="D282" s="324"/>
      <c r="E282" s="324"/>
      <c r="F282" s="324"/>
      <c r="G282" s="324"/>
      <c r="H282" s="324"/>
    </row>
    <row r="283" spans="1:8">
      <c r="A283" s="325" t="s">
        <v>615</v>
      </c>
      <c r="B283" s="324"/>
      <c r="C283" s="324"/>
      <c r="D283" s="324"/>
      <c r="E283" s="324"/>
      <c r="F283" s="324"/>
      <c r="G283" s="324"/>
      <c r="H283" s="324"/>
    </row>
    <row r="284" spans="1:8">
      <c r="A284" s="325" t="s">
        <v>616</v>
      </c>
      <c r="B284" s="324"/>
      <c r="C284" s="324"/>
      <c r="D284" s="324"/>
      <c r="E284" s="324"/>
      <c r="F284" s="324"/>
      <c r="G284" s="324"/>
      <c r="H284" s="324"/>
    </row>
    <row r="285" spans="1:8">
      <c r="A285" s="325" t="s">
        <v>617</v>
      </c>
      <c r="B285" s="324"/>
      <c r="C285" s="324"/>
      <c r="D285" s="324"/>
      <c r="E285" s="324"/>
      <c r="F285" s="324"/>
      <c r="G285" s="324"/>
      <c r="H285" s="324"/>
    </row>
    <row r="286" spans="1:8">
      <c r="A286" s="325" t="s">
        <v>618</v>
      </c>
      <c r="B286" s="324"/>
      <c r="C286" s="324"/>
      <c r="D286" s="324"/>
      <c r="E286" s="324"/>
      <c r="F286" s="324"/>
      <c r="G286" s="324"/>
      <c r="H286" s="324"/>
    </row>
    <row r="287" spans="1:8">
      <c r="A287" s="325" t="s">
        <v>619</v>
      </c>
      <c r="B287" s="324"/>
      <c r="C287" s="324"/>
      <c r="D287" s="324"/>
      <c r="E287" s="324"/>
      <c r="F287" s="324"/>
      <c r="G287" s="324"/>
      <c r="H287" s="324"/>
    </row>
    <row r="288" spans="1:8">
      <c r="A288" s="325" t="s">
        <v>620</v>
      </c>
      <c r="B288" s="324"/>
      <c r="C288" s="324"/>
      <c r="D288" s="324"/>
      <c r="E288" s="324"/>
      <c r="F288" s="324"/>
      <c r="G288" s="324"/>
      <c r="H288" s="324"/>
    </row>
    <row r="289" spans="1:8">
      <c r="A289" s="325" t="s">
        <v>621</v>
      </c>
      <c r="B289" s="324"/>
      <c r="C289" s="324"/>
      <c r="D289" s="324"/>
      <c r="E289" s="324"/>
      <c r="F289" s="324"/>
      <c r="G289" s="324"/>
      <c r="H289" s="324"/>
    </row>
    <row r="290" spans="1:8">
      <c r="A290" s="325" t="s">
        <v>622</v>
      </c>
      <c r="B290" s="324"/>
      <c r="C290" s="324"/>
      <c r="D290" s="324"/>
      <c r="E290" s="324"/>
      <c r="F290" s="324"/>
      <c r="G290" s="324"/>
      <c r="H290" s="324"/>
    </row>
    <row r="291" spans="1:8">
      <c r="A291" s="325" t="s">
        <v>623</v>
      </c>
      <c r="B291" s="324"/>
      <c r="C291" s="324"/>
      <c r="D291" s="324"/>
      <c r="E291" s="324"/>
      <c r="F291" s="324"/>
      <c r="G291" s="324"/>
      <c r="H291" s="324"/>
    </row>
    <row r="292" spans="1:8">
      <c r="A292" s="324"/>
      <c r="B292" s="324"/>
      <c r="C292" s="324"/>
      <c r="D292" s="324"/>
      <c r="E292" s="324"/>
      <c r="F292" s="324"/>
      <c r="G292" s="324"/>
      <c r="H292" s="324"/>
    </row>
    <row r="293" spans="1:8">
      <c r="A293" s="325" t="s">
        <v>608</v>
      </c>
      <c r="B293" s="324"/>
      <c r="C293" s="324"/>
      <c r="D293" s="324"/>
      <c r="E293" s="324"/>
      <c r="F293" s="324"/>
      <c r="G293" s="324"/>
      <c r="H293" s="324"/>
    </row>
    <row r="294" spans="1:8">
      <c r="A294" s="325" t="s">
        <v>609</v>
      </c>
      <c r="B294" s="324"/>
      <c r="C294" s="324"/>
      <c r="D294" s="324"/>
      <c r="E294" s="324"/>
      <c r="F294" s="324"/>
      <c r="G294" s="324"/>
      <c r="H294" s="324"/>
    </row>
    <row r="295" spans="1:8">
      <c r="A295" s="325" t="s">
        <v>610</v>
      </c>
      <c r="B295" s="324"/>
      <c r="C295" s="324"/>
      <c r="D295" s="324"/>
      <c r="E295" s="324"/>
      <c r="F295" s="324"/>
      <c r="G295" s="324"/>
      <c r="H295" s="324"/>
    </row>
    <row r="296" spans="1:8">
      <c r="A296" s="325" t="s">
        <v>611</v>
      </c>
      <c r="B296" s="324"/>
      <c r="C296" s="324"/>
      <c r="D296" s="324"/>
      <c r="E296" s="324"/>
      <c r="F296" s="324"/>
      <c r="G296" s="324"/>
      <c r="H296" s="324"/>
    </row>
    <row r="297" spans="1:8">
      <c r="A297" s="325" t="s">
        <v>612</v>
      </c>
      <c r="B297" s="324"/>
      <c r="C297" s="324"/>
      <c r="D297" s="324"/>
      <c r="E297" s="324"/>
      <c r="F297" s="324"/>
      <c r="G297" s="324"/>
      <c r="H297" s="324"/>
    </row>
    <row r="298" spans="1:8">
      <c r="A298" s="325" t="s">
        <v>613</v>
      </c>
      <c r="B298" s="324"/>
      <c r="C298" s="324"/>
      <c r="D298" s="324"/>
      <c r="E298" s="324"/>
      <c r="F298" s="324"/>
      <c r="G298" s="324"/>
      <c r="H298" s="324"/>
    </row>
    <row r="299" spans="1:8">
      <c r="A299" s="325" t="s">
        <v>614</v>
      </c>
      <c r="B299" s="324"/>
      <c r="C299" s="324"/>
      <c r="D299" s="324"/>
      <c r="E299" s="324"/>
      <c r="F299" s="324"/>
      <c r="G299" s="324"/>
      <c r="H299" s="324"/>
    </row>
    <row r="300" spans="1:8">
      <c r="A300" s="324"/>
      <c r="B300" s="324"/>
      <c r="C300" s="324"/>
      <c r="D300" s="324"/>
      <c r="E300" s="324"/>
      <c r="F300" s="324"/>
      <c r="G300" s="324"/>
      <c r="H300" s="324"/>
    </row>
    <row r="301" spans="1:8">
      <c r="A301" s="325" t="s">
        <v>605</v>
      </c>
      <c r="B301" s="324"/>
      <c r="C301" s="324"/>
      <c r="D301" s="324"/>
      <c r="E301" s="324"/>
      <c r="F301" s="324"/>
      <c r="G301" s="324"/>
      <c r="H301" s="324"/>
    </row>
    <row r="302" spans="1:8">
      <c r="A302" s="325" t="s">
        <v>606</v>
      </c>
      <c r="B302" s="324"/>
      <c r="C302" s="324"/>
      <c r="D302" s="324"/>
      <c r="E302" s="324"/>
      <c r="F302" s="324"/>
      <c r="G302" s="324"/>
      <c r="H302" s="324"/>
    </row>
    <row r="303" spans="1:8">
      <c r="A303" s="325" t="s">
        <v>607</v>
      </c>
      <c r="B303" s="324"/>
      <c r="C303" s="324"/>
      <c r="D303" s="324"/>
      <c r="E303" s="324"/>
      <c r="F303" s="324"/>
      <c r="G303" s="324"/>
      <c r="H303" s="324"/>
    </row>
    <row r="304" spans="1:8">
      <c r="A304" s="324"/>
      <c r="B304" s="324"/>
      <c r="C304" s="324"/>
      <c r="D304" s="324"/>
      <c r="E304" s="324"/>
      <c r="F304" s="324"/>
      <c r="G304" s="324"/>
      <c r="H304" s="324"/>
    </row>
    <row r="305" spans="1:8">
      <c r="A305" s="325" t="s">
        <v>603</v>
      </c>
      <c r="B305" s="324"/>
      <c r="C305" s="324"/>
      <c r="D305" s="324"/>
      <c r="E305" s="324"/>
      <c r="F305" s="324"/>
      <c r="G305" s="324"/>
      <c r="H305" s="324"/>
    </row>
    <row r="306" spans="1:8">
      <c r="A306" s="325" t="s">
        <v>604</v>
      </c>
      <c r="B306" s="324"/>
      <c r="C306" s="324"/>
      <c r="D306" s="324"/>
      <c r="E306" s="324"/>
      <c r="F306" s="324"/>
      <c r="G306" s="324"/>
      <c r="H306" s="324"/>
    </row>
    <row r="307" spans="1:8">
      <c r="A307" s="324"/>
      <c r="B307" s="324"/>
      <c r="C307" s="324"/>
      <c r="D307" s="324"/>
      <c r="E307" s="324"/>
      <c r="F307" s="324"/>
      <c r="G307" s="324"/>
      <c r="H307" s="324"/>
    </row>
    <row r="308" spans="1:8">
      <c r="A308" s="325" t="s">
        <v>590</v>
      </c>
      <c r="B308" s="324"/>
      <c r="C308" s="324"/>
      <c r="D308" s="324"/>
      <c r="E308" s="324"/>
      <c r="F308" s="324"/>
      <c r="G308" s="324"/>
      <c r="H308" s="324"/>
    </row>
    <row r="309" spans="1:8">
      <c r="A309" s="325" t="s">
        <v>591</v>
      </c>
      <c r="B309" s="324"/>
      <c r="C309" s="324"/>
      <c r="D309" s="324"/>
      <c r="E309" s="324"/>
      <c r="F309" s="324"/>
      <c r="G309" s="324"/>
      <c r="H309" s="324"/>
    </row>
    <row r="310" spans="1:8">
      <c r="A310" s="325" t="s">
        <v>592</v>
      </c>
      <c r="B310" s="324"/>
      <c r="C310" s="324"/>
      <c r="D310" s="324"/>
      <c r="E310" s="324"/>
      <c r="F310" s="324"/>
      <c r="G310" s="324"/>
      <c r="H310" s="324"/>
    </row>
    <row r="311" spans="1:8">
      <c r="A311" s="325" t="s">
        <v>593</v>
      </c>
      <c r="B311" s="324"/>
      <c r="C311" s="324"/>
      <c r="D311" s="324"/>
      <c r="E311" s="324"/>
      <c r="F311" s="324"/>
      <c r="G311" s="324"/>
      <c r="H311" s="324"/>
    </row>
    <row r="312" spans="1:8">
      <c r="A312" s="325" t="s">
        <v>594</v>
      </c>
      <c r="B312" s="324"/>
      <c r="C312" s="324"/>
      <c r="D312" s="324"/>
      <c r="E312" s="324"/>
      <c r="F312" s="324"/>
      <c r="G312" s="324"/>
      <c r="H312" s="324"/>
    </row>
    <row r="313" spans="1:8">
      <c r="A313" s="325" t="s">
        <v>595</v>
      </c>
      <c r="B313" s="324"/>
      <c r="C313" s="324"/>
      <c r="D313" s="324"/>
      <c r="E313" s="324"/>
      <c r="F313" s="324"/>
      <c r="G313" s="324"/>
      <c r="H313" s="324"/>
    </row>
    <row r="314" spans="1:8">
      <c r="A314" s="325" t="s">
        <v>596</v>
      </c>
      <c r="B314" s="324"/>
      <c r="C314" s="324"/>
      <c r="D314" s="324"/>
      <c r="E314" s="324"/>
      <c r="F314" s="324"/>
      <c r="G314" s="324"/>
      <c r="H314" s="324"/>
    </row>
    <row r="315" spans="1:8">
      <c r="A315" s="325" t="s">
        <v>597</v>
      </c>
      <c r="B315" s="324"/>
      <c r="C315" s="324"/>
      <c r="D315" s="324"/>
      <c r="E315" s="324"/>
      <c r="F315" s="324"/>
      <c r="G315" s="324"/>
      <c r="H315" s="324"/>
    </row>
    <row r="316" spans="1:8">
      <c r="A316" s="325" t="s">
        <v>598</v>
      </c>
      <c r="B316" s="324"/>
      <c r="C316" s="324"/>
      <c r="D316" s="324"/>
      <c r="E316" s="324"/>
      <c r="F316" s="324"/>
      <c r="G316" s="324"/>
      <c r="H316" s="324"/>
    </row>
    <row r="317" spans="1:8">
      <c r="A317" s="325" t="s">
        <v>599</v>
      </c>
      <c r="B317" s="324"/>
      <c r="C317" s="324"/>
      <c r="D317" s="324"/>
      <c r="E317" s="324"/>
      <c r="F317" s="324"/>
      <c r="G317" s="324"/>
      <c r="H317" s="324"/>
    </row>
    <row r="318" spans="1:8">
      <c r="A318" s="325" t="s">
        <v>600</v>
      </c>
      <c r="B318" s="324"/>
      <c r="C318" s="324"/>
      <c r="D318" s="324"/>
      <c r="E318" s="324"/>
      <c r="F318" s="324"/>
      <c r="G318" s="324"/>
      <c r="H318" s="324"/>
    </row>
    <row r="319" spans="1:8">
      <c r="A319" s="325" t="s">
        <v>601</v>
      </c>
      <c r="B319" s="324"/>
      <c r="C319" s="324"/>
      <c r="D319" s="324"/>
      <c r="E319" s="324"/>
      <c r="F319" s="324"/>
      <c r="G319" s="324"/>
      <c r="H319" s="324"/>
    </row>
    <row r="320" spans="1:8">
      <c r="A320" s="325" t="s">
        <v>602</v>
      </c>
      <c r="B320" s="324"/>
      <c r="C320" s="324"/>
      <c r="D320" s="324"/>
      <c r="E320" s="324"/>
      <c r="F320" s="324"/>
      <c r="G320" s="324"/>
      <c r="H320" s="324"/>
    </row>
    <row r="321" spans="1:8">
      <c r="A321" s="324"/>
      <c r="B321" s="324"/>
      <c r="C321" s="324"/>
      <c r="D321" s="324"/>
      <c r="E321" s="324"/>
      <c r="F321" s="324"/>
      <c r="G321" s="324"/>
      <c r="H321" s="324"/>
    </row>
    <row r="322" spans="1:8">
      <c r="A322" s="325" t="s">
        <v>582</v>
      </c>
      <c r="B322" s="324"/>
      <c r="C322" s="324"/>
      <c r="D322" s="324"/>
      <c r="E322" s="324"/>
      <c r="F322" s="324"/>
      <c r="G322" s="324"/>
      <c r="H322" s="324"/>
    </row>
    <row r="323" spans="1:8">
      <c r="A323" s="325" t="s">
        <v>583</v>
      </c>
      <c r="B323" s="324"/>
      <c r="C323" s="324"/>
      <c r="D323" s="324"/>
      <c r="E323" s="324"/>
      <c r="F323" s="324"/>
      <c r="G323" s="324"/>
      <c r="H323" s="324"/>
    </row>
    <row r="324" spans="1:8">
      <c r="A324" s="325" t="s">
        <v>584</v>
      </c>
      <c r="B324" s="324"/>
      <c r="C324" s="324"/>
      <c r="D324" s="324"/>
      <c r="E324" s="324"/>
      <c r="F324" s="324"/>
      <c r="G324" s="324"/>
      <c r="H324" s="324"/>
    </row>
    <row r="325" spans="1:8">
      <c r="A325" s="325" t="s">
        <v>585</v>
      </c>
      <c r="B325" s="324"/>
      <c r="C325" s="324"/>
      <c r="D325" s="324"/>
      <c r="E325" s="324"/>
      <c r="F325" s="324"/>
      <c r="G325" s="324"/>
      <c r="H325" s="324"/>
    </row>
    <row r="326" spans="1:8">
      <c r="A326" s="325" t="s">
        <v>586</v>
      </c>
      <c r="B326" s="324"/>
      <c r="C326" s="324"/>
      <c r="D326" s="324"/>
      <c r="E326" s="324"/>
      <c r="F326" s="324"/>
      <c r="G326" s="324"/>
      <c r="H326" s="324"/>
    </row>
    <row r="327" spans="1:8">
      <c r="A327" s="325" t="s">
        <v>587</v>
      </c>
      <c r="B327" s="324"/>
      <c r="C327" s="324"/>
      <c r="D327" s="324"/>
      <c r="E327" s="324"/>
      <c r="F327" s="324"/>
      <c r="G327" s="324"/>
      <c r="H327" s="324"/>
    </row>
    <row r="328" spans="1:8">
      <c r="A328" s="325" t="s">
        <v>588</v>
      </c>
      <c r="B328" s="324"/>
      <c r="C328" s="324"/>
      <c r="D328" s="324"/>
      <c r="E328" s="324"/>
      <c r="F328" s="324"/>
      <c r="G328" s="324"/>
      <c r="H328" s="324"/>
    </row>
    <row r="329" spans="1:8">
      <c r="A329" s="325" t="s">
        <v>589</v>
      </c>
      <c r="B329" s="324"/>
      <c r="C329" s="324"/>
      <c r="D329" s="324"/>
      <c r="E329" s="324"/>
      <c r="F329" s="324"/>
      <c r="G329" s="324"/>
      <c r="H329" s="324"/>
    </row>
    <row r="330" spans="1:8">
      <c r="A330" s="324"/>
      <c r="B330" s="324"/>
      <c r="C330" s="324"/>
      <c r="D330" s="324"/>
      <c r="E330" s="324"/>
      <c r="F330" s="324"/>
      <c r="G330" s="324"/>
      <c r="H330" s="324"/>
    </row>
    <row r="331" spans="1:8">
      <c r="A331" s="325" t="s">
        <v>547</v>
      </c>
      <c r="B331" s="324"/>
      <c r="C331" s="324"/>
      <c r="D331" s="324"/>
      <c r="E331" s="324"/>
      <c r="F331" s="324"/>
      <c r="G331" s="324"/>
      <c r="H331" s="324"/>
    </row>
    <row r="332" spans="1:8">
      <c r="A332" s="325" t="s">
        <v>548</v>
      </c>
      <c r="B332" s="324"/>
      <c r="C332" s="324"/>
      <c r="D332" s="324"/>
      <c r="E332" s="324"/>
      <c r="F332" s="324"/>
      <c r="G332" s="324"/>
      <c r="H332" s="324"/>
    </row>
    <row r="333" spans="1:8">
      <c r="A333" s="325" t="s">
        <v>549</v>
      </c>
      <c r="B333" s="324"/>
      <c r="C333" s="324"/>
      <c r="D333" s="324"/>
      <c r="E333" s="324"/>
      <c r="F333" s="324"/>
      <c r="G333" s="324"/>
      <c r="H333" s="324"/>
    </row>
    <row r="334" spans="1:8">
      <c r="A334" s="325" t="s">
        <v>550</v>
      </c>
      <c r="B334" s="324"/>
      <c r="C334" s="324"/>
      <c r="D334" s="324"/>
      <c r="E334" s="324"/>
      <c r="F334" s="324"/>
      <c r="G334" s="324"/>
      <c r="H334" s="324"/>
    </row>
    <row r="335" spans="1:8">
      <c r="A335" s="325" t="s">
        <v>551</v>
      </c>
      <c r="B335" s="324"/>
      <c r="C335" s="324"/>
      <c r="D335" s="324"/>
      <c r="E335" s="324"/>
      <c r="F335" s="324"/>
      <c r="G335" s="324"/>
      <c r="H335" s="324"/>
    </row>
    <row r="336" spans="1:8">
      <c r="A336" s="325" t="s">
        <v>552</v>
      </c>
      <c r="B336" s="324"/>
      <c r="C336" s="324"/>
      <c r="D336" s="324"/>
      <c r="E336" s="324"/>
      <c r="F336" s="324"/>
      <c r="G336" s="324"/>
      <c r="H336" s="324"/>
    </row>
    <row r="337" spans="1:8">
      <c r="A337" s="325" t="s">
        <v>553</v>
      </c>
      <c r="B337" s="324"/>
      <c r="C337" s="324"/>
      <c r="D337" s="324"/>
      <c r="E337" s="324"/>
      <c r="F337" s="324"/>
      <c r="G337" s="324"/>
      <c r="H337" s="324"/>
    </row>
    <row r="338" spans="1:8">
      <c r="A338" s="325" t="s">
        <v>554</v>
      </c>
      <c r="B338" s="324"/>
      <c r="C338" s="324"/>
      <c r="D338" s="324"/>
      <c r="E338" s="324"/>
      <c r="F338" s="324"/>
      <c r="G338" s="324"/>
      <c r="H338" s="324"/>
    </row>
    <row r="339" spans="1:8">
      <c r="A339" s="325" t="s">
        <v>555</v>
      </c>
      <c r="B339" s="324"/>
      <c r="C339" s="324"/>
      <c r="D339" s="324"/>
      <c r="E339" s="324"/>
      <c r="F339" s="324"/>
      <c r="G339" s="324"/>
      <c r="H339" s="324"/>
    </row>
    <row r="340" spans="1:8">
      <c r="A340" s="325" t="s">
        <v>556</v>
      </c>
      <c r="B340" s="324"/>
      <c r="C340" s="324"/>
      <c r="D340" s="324"/>
      <c r="E340" s="324"/>
      <c r="F340" s="324"/>
      <c r="G340" s="324"/>
      <c r="H340" s="324"/>
    </row>
    <row r="341" spans="1:8">
      <c r="A341" s="325" t="s">
        <v>557</v>
      </c>
      <c r="B341" s="324"/>
      <c r="C341" s="324"/>
      <c r="D341" s="324"/>
      <c r="E341" s="324"/>
      <c r="F341" s="324"/>
      <c r="G341" s="324"/>
      <c r="H341" s="324"/>
    </row>
    <row r="342" spans="1:8">
      <c r="A342" s="325" t="s">
        <v>558</v>
      </c>
      <c r="B342" s="324"/>
      <c r="C342" s="324"/>
      <c r="D342" s="324"/>
      <c r="E342" s="324"/>
      <c r="F342" s="324"/>
      <c r="G342" s="324"/>
      <c r="H342" s="324"/>
    </row>
    <row r="343" spans="1:8">
      <c r="A343" s="325" t="s">
        <v>559</v>
      </c>
      <c r="B343" s="324"/>
      <c r="C343" s="324"/>
      <c r="D343" s="324"/>
      <c r="E343" s="324"/>
      <c r="F343" s="324"/>
      <c r="G343" s="324"/>
      <c r="H343" s="324"/>
    </row>
    <row r="344" spans="1:8">
      <c r="A344" s="325" t="s">
        <v>560</v>
      </c>
      <c r="B344" s="324"/>
      <c r="C344" s="324"/>
      <c r="D344" s="324"/>
      <c r="E344" s="324"/>
      <c r="F344" s="324"/>
      <c r="G344" s="324"/>
      <c r="H344" s="324"/>
    </row>
    <row r="345" spans="1:8">
      <c r="A345" s="325" t="s">
        <v>561</v>
      </c>
      <c r="B345" s="324"/>
      <c r="C345" s="324"/>
      <c r="D345" s="324"/>
      <c r="E345" s="324"/>
      <c r="F345" s="324"/>
      <c r="G345" s="324"/>
      <c r="H345" s="324"/>
    </row>
    <row r="346" spans="1:8">
      <c r="A346" s="325" t="s">
        <v>562</v>
      </c>
      <c r="B346" s="324"/>
      <c r="C346" s="324"/>
      <c r="D346" s="324"/>
      <c r="E346" s="324"/>
      <c r="F346" s="324"/>
      <c r="G346" s="324"/>
      <c r="H346" s="324"/>
    </row>
    <row r="347" spans="1:8">
      <c r="A347" s="325" t="s">
        <v>563</v>
      </c>
      <c r="B347" s="324"/>
      <c r="C347" s="324"/>
      <c r="D347" s="324"/>
      <c r="E347" s="324"/>
      <c r="F347" s="324"/>
      <c r="G347" s="324"/>
      <c r="H347" s="324"/>
    </row>
    <row r="348" spans="1:8">
      <c r="A348" s="325" t="s">
        <v>564</v>
      </c>
      <c r="B348" s="324"/>
      <c r="C348" s="324"/>
      <c r="D348" s="324"/>
      <c r="E348" s="324"/>
      <c r="F348" s="324"/>
      <c r="G348" s="324"/>
      <c r="H348" s="324"/>
    </row>
    <row r="349" spans="1:8">
      <c r="A349" s="325" t="s">
        <v>565</v>
      </c>
      <c r="B349" s="324"/>
      <c r="C349" s="324"/>
      <c r="D349" s="324"/>
      <c r="E349" s="324"/>
      <c r="F349" s="324"/>
      <c r="G349" s="324"/>
      <c r="H349" s="324"/>
    </row>
    <row r="350" spans="1:8">
      <c r="A350" s="325" t="s">
        <v>566</v>
      </c>
      <c r="B350" s="324"/>
      <c r="C350" s="324"/>
      <c r="D350" s="324"/>
      <c r="E350" s="324"/>
      <c r="F350" s="324"/>
      <c r="G350" s="324"/>
      <c r="H350" s="324"/>
    </row>
    <row r="351" spans="1:8">
      <c r="A351" s="325" t="s">
        <v>567</v>
      </c>
      <c r="B351" s="324"/>
      <c r="C351" s="324"/>
      <c r="D351" s="324"/>
      <c r="E351" s="324"/>
      <c r="F351" s="324"/>
      <c r="G351" s="324"/>
      <c r="H351" s="324"/>
    </row>
    <row r="352" spans="1:8">
      <c r="A352" s="325" t="s">
        <v>568</v>
      </c>
      <c r="B352" s="324"/>
      <c r="C352" s="324"/>
      <c r="D352" s="324"/>
      <c r="E352" s="324"/>
      <c r="F352" s="324"/>
      <c r="G352" s="324"/>
      <c r="H352" s="324"/>
    </row>
    <row r="353" spans="1:8">
      <c r="A353" s="325" t="s">
        <v>569</v>
      </c>
      <c r="B353" s="324"/>
      <c r="C353" s="324"/>
      <c r="D353" s="324"/>
      <c r="E353" s="324"/>
      <c r="F353" s="324"/>
      <c r="G353" s="324"/>
      <c r="H353" s="324"/>
    </row>
    <row r="354" spans="1:8">
      <c r="A354" s="325" t="s">
        <v>570</v>
      </c>
      <c r="B354" s="324"/>
      <c r="C354" s="324"/>
      <c r="D354" s="324"/>
      <c r="E354" s="324"/>
      <c r="F354" s="324"/>
      <c r="G354" s="324"/>
      <c r="H354" s="324"/>
    </row>
    <row r="355" spans="1:8">
      <c r="A355" s="325" t="s">
        <v>571</v>
      </c>
      <c r="B355" s="324"/>
      <c r="C355" s="324"/>
      <c r="D355" s="324"/>
      <c r="E355" s="324"/>
      <c r="F355" s="324"/>
      <c r="G355" s="324"/>
      <c r="H355" s="324"/>
    </row>
    <row r="356" spans="1:8">
      <c r="A356" s="325" t="s">
        <v>572</v>
      </c>
      <c r="B356" s="324"/>
      <c r="C356" s="324"/>
      <c r="D356" s="324"/>
      <c r="E356" s="324"/>
      <c r="F356" s="324"/>
      <c r="G356" s="324"/>
      <c r="H356" s="324"/>
    </row>
    <row r="357" spans="1:8">
      <c r="A357" s="325" t="s">
        <v>573</v>
      </c>
      <c r="B357" s="324"/>
      <c r="C357" s="324"/>
      <c r="D357" s="324"/>
      <c r="E357" s="324"/>
      <c r="F357" s="324"/>
      <c r="G357" s="324"/>
      <c r="H357" s="324"/>
    </row>
    <row r="358" spans="1:8">
      <c r="A358" s="325" t="s">
        <v>574</v>
      </c>
      <c r="B358" s="324"/>
      <c r="C358" s="324"/>
      <c r="D358" s="324"/>
      <c r="E358" s="324"/>
      <c r="F358" s="324"/>
      <c r="G358" s="324"/>
      <c r="H358" s="324"/>
    </row>
    <row r="359" spans="1:8">
      <c r="A359" s="325" t="s">
        <v>575</v>
      </c>
      <c r="B359" s="324"/>
      <c r="C359" s="324"/>
      <c r="D359" s="324"/>
      <c r="E359" s="324"/>
      <c r="F359" s="324"/>
      <c r="G359" s="324"/>
      <c r="H359" s="324"/>
    </row>
    <row r="360" spans="1:8">
      <c r="A360" s="325" t="s">
        <v>576</v>
      </c>
      <c r="B360" s="324"/>
      <c r="C360" s="324"/>
      <c r="D360" s="324"/>
      <c r="E360" s="324"/>
      <c r="F360" s="324"/>
      <c r="G360" s="324"/>
      <c r="H360" s="324"/>
    </row>
    <row r="361" spans="1:8">
      <c r="A361" s="325" t="s">
        <v>577</v>
      </c>
      <c r="B361" s="324"/>
      <c r="C361" s="324"/>
      <c r="D361" s="324"/>
      <c r="E361" s="324"/>
      <c r="F361" s="324"/>
      <c r="G361" s="324"/>
      <c r="H361" s="324"/>
    </row>
    <row r="362" spans="1:8">
      <c r="A362" s="325" t="s">
        <v>578</v>
      </c>
      <c r="B362" s="324"/>
      <c r="C362" s="324"/>
      <c r="D362" s="324"/>
      <c r="E362" s="324"/>
      <c r="F362" s="324"/>
      <c r="G362" s="324"/>
      <c r="H362" s="324"/>
    </row>
    <row r="363" spans="1:8">
      <c r="A363" s="325" t="s">
        <v>579</v>
      </c>
      <c r="B363" s="324"/>
      <c r="C363" s="324"/>
      <c r="D363" s="324"/>
      <c r="E363" s="324"/>
      <c r="F363" s="324"/>
      <c r="G363" s="324"/>
      <c r="H363" s="324"/>
    </row>
    <row r="364" spans="1:8">
      <c r="A364" s="325" t="s">
        <v>580</v>
      </c>
      <c r="B364" s="324"/>
      <c r="C364" s="324"/>
      <c r="D364" s="324"/>
      <c r="E364" s="324"/>
      <c r="F364" s="324"/>
      <c r="G364" s="324"/>
      <c r="H364" s="324"/>
    </row>
    <row r="365" spans="1:8">
      <c r="A365" s="325" t="s">
        <v>581</v>
      </c>
      <c r="B365" s="324"/>
      <c r="C365" s="324"/>
      <c r="D365" s="324"/>
      <c r="E365" s="324"/>
      <c r="F365" s="324"/>
      <c r="G365" s="324"/>
      <c r="H365" s="324"/>
    </row>
    <row r="366" spans="1:8">
      <c r="A366" s="324"/>
      <c r="B366" s="324"/>
      <c r="C366" s="324"/>
      <c r="D366" s="324"/>
      <c r="E366" s="324"/>
      <c r="F366" s="324"/>
      <c r="G366" s="324"/>
      <c r="H366" s="324"/>
    </row>
    <row r="367" spans="1:8">
      <c r="A367" s="325" t="s">
        <v>539</v>
      </c>
      <c r="B367" s="324"/>
      <c r="C367" s="324"/>
      <c r="D367" s="324"/>
      <c r="E367" s="324"/>
      <c r="F367" s="324"/>
      <c r="G367" s="324"/>
      <c r="H367" s="324"/>
    </row>
    <row r="368" spans="1:8">
      <c r="A368" s="325" t="s">
        <v>543</v>
      </c>
      <c r="B368" s="324"/>
      <c r="C368" s="324"/>
      <c r="D368" s="324"/>
      <c r="E368" s="324"/>
      <c r="F368" s="324"/>
      <c r="G368" s="324"/>
      <c r="H368" s="324"/>
    </row>
    <row r="369" spans="1:8">
      <c r="A369" s="325" t="s">
        <v>544</v>
      </c>
      <c r="B369" s="324"/>
      <c r="C369" s="324"/>
      <c r="D369" s="324"/>
      <c r="E369" s="324"/>
      <c r="F369" s="324"/>
      <c r="G369" s="324"/>
      <c r="H369" s="324"/>
    </row>
    <row r="370" spans="1:8">
      <c r="A370" s="325" t="s">
        <v>545</v>
      </c>
      <c r="B370" s="324"/>
      <c r="C370" s="324"/>
      <c r="D370" s="324"/>
      <c r="E370" s="324"/>
      <c r="F370" s="324"/>
      <c r="G370" s="324"/>
      <c r="H370" s="324"/>
    </row>
    <row r="371" spans="1:8">
      <c r="A371" s="325" t="s">
        <v>546</v>
      </c>
      <c r="B371" s="324"/>
      <c r="C371" s="324"/>
      <c r="D371" s="324"/>
      <c r="E371" s="324"/>
      <c r="F371" s="324"/>
      <c r="G371" s="324"/>
      <c r="H371" s="324"/>
    </row>
    <row r="372" spans="1:8">
      <c r="A372" s="324"/>
      <c r="B372" s="324"/>
      <c r="C372" s="324"/>
      <c r="D372" s="324"/>
      <c r="E372" s="324"/>
      <c r="F372" s="324"/>
      <c r="G372" s="324"/>
      <c r="H372" s="324"/>
    </row>
    <row r="373" spans="1:8">
      <c r="A373" s="325" t="s">
        <v>539</v>
      </c>
      <c r="B373" s="324"/>
      <c r="C373" s="324"/>
      <c r="D373" s="324"/>
      <c r="E373" s="324"/>
      <c r="F373" s="324"/>
      <c r="G373" s="324"/>
      <c r="H373" s="324"/>
    </row>
    <row r="374" spans="1:8">
      <c r="A374" s="325" t="s">
        <v>540</v>
      </c>
      <c r="B374" s="324"/>
      <c r="C374" s="324"/>
      <c r="D374" s="324"/>
      <c r="E374" s="324"/>
      <c r="F374" s="324"/>
      <c r="G374" s="324"/>
      <c r="H374" s="324"/>
    </row>
    <row r="375" spans="1:8">
      <c r="A375" s="325" t="s">
        <v>541</v>
      </c>
      <c r="B375" s="324"/>
      <c r="C375" s="324"/>
      <c r="D375" s="324"/>
      <c r="E375" s="324"/>
      <c r="F375" s="324"/>
      <c r="G375" s="324"/>
      <c r="H375" s="324"/>
    </row>
    <row r="376" spans="1:8">
      <c r="A376" s="325" t="s">
        <v>542</v>
      </c>
      <c r="B376" s="324"/>
      <c r="C376" s="324"/>
      <c r="D376" s="324"/>
      <c r="E376" s="324"/>
      <c r="F376" s="324"/>
      <c r="G376" s="324"/>
      <c r="H376" s="324"/>
    </row>
    <row r="377" spans="1:8">
      <c r="A377" s="324"/>
      <c r="B377" s="324"/>
      <c r="C377" s="324"/>
      <c r="D377" s="324"/>
      <c r="E377" s="324"/>
      <c r="F377" s="324"/>
      <c r="G377" s="324"/>
      <c r="H377" s="324"/>
    </row>
    <row r="378" spans="1:8">
      <c r="A378" s="325" t="s">
        <v>533</v>
      </c>
      <c r="B378" s="324"/>
      <c r="C378" s="324"/>
      <c r="D378" s="324"/>
      <c r="E378" s="324"/>
      <c r="F378" s="324"/>
      <c r="G378" s="324"/>
      <c r="H378" s="324"/>
    </row>
    <row r="379" spans="1:8">
      <c r="A379" s="325" t="s">
        <v>534</v>
      </c>
      <c r="B379" s="324"/>
      <c r="C379" s="324"/>
      <c r="D379" s="324"/>
      <c r="E379" s="324"/>
      <c r="F379" s="324"/>
      <c r="G379" s="324"/>
      <c r="H379" s="324"/>
    </row>
    <row r="380" spans="1:8">
      <c r="A380" s="325" t="s">
        <v>535</v>
      </c>
      <c r="B380" s="324"/>
      <c r="C380" s="324"/>
      <c r="D380" s="324"/>
      <c r="E380" s="324"/>
      <c r="F380" s="324"/>
      <c r="G380" s="324"/>
      <c r="H380" s="324"/>
    </row>
    <row r="381" spans="1:8">
      <c r="A381" s="325" t="s">
        <v>536</v>
      </c>
      <c r="B381" s="324"/>
      <c r="C381" s="324"/>
      <c r="D381" s="324"/>
      <c r="E381" s="324"/>
      <c r="F381" s="324"/>
      <c r="G381" s="324"/>
      <c r="H381" s="324"/>
    </row>
    <row r="382" spans="1:8">
      <c r="A382" s="325" t="s">
        <v>537</v>
      </c>
      <c r="B382" s="324"/>
      <c r="C382" s="324"/>
      <c r="D382" s="324"/>
      <c r="E382" s="324"/>
      <c r="F382" s="324"/>
      <c r="G382" s="324"/>
      <c r="H382" s="324"/>
    </row>
    <row r="383" spans="1:8">
      <c r="A383" s="325" t="s">
        <v>538</v>
      </c>
      <c r="B383" s="324"/>
      <c r="C383" s="324"/>
      <c r="D383" s="324"/>
      <c r="E383" s="324"/>
      <c r="F383" s="324"/>
      <c r="G383" s="324"/>
      <c r="H383" s="324"/>
    </row>
    <row r="384" spans="1:8">
      <c r="A384" s="324"/>
      <c r="B384" s="324"/>
      <c r="C384" s="324"/>
      <c r="D384" s="324"/>
      <c r="E384" s="324"/>
      <c r="F384" s="324"/>
      <c r="G384" s="324"/>
      <c r="H384" s="324"/>
    </row>
    <row r="385" spans="1:8">
      <c r="A385" s="325" t="s">
        <v>528</v>
      </c>
      <c r="B385" s="324"/>
      <c r="C385" s="324"/>
      <c r="D385" s="324"/>
      <c r="E385" s="324"/>
      <c r="F385" s="324"/>
      <c r="G385" s="324"/>
      <c r="H385" s="324"/>
    </row>
    <row r="386" spans="1:8">
      <c r="A386" s="325" t="s">
        <v>529</v>
      </c>
      <c r="B386" s="324"/>
      <c r="C386" s="324"/>
      <c r="D386" s="324"/>
      <c r="E386" s="324"/>
      <c r="F386" s="324"/>
      <c r="G386" s="324"/>
      <c r="H386" s="324"/>
    </row>
    <row r="387" spans="1:8">
      <c r="A387" s="325" t="s">
        <v>530</v>
      </c>
      <c r="B387" s="324"/>
      <c r="C387" s="324"/>
      <c r="D387" s="324"/>
      <c r="E387" s="324"/>
      <c r="F387" s="324"/>
      <c r="G387" s="324"/>
      <c r="H387" s="324"/>
    </row>
    <row r="388" spans="1:8">
      <c r="A388" s="325" t="s">
        <v>531</v>
      </c>
      <c r="B388" s="324"/>
      <c r="C388" s="324"/>
      <c r="D388" s="324"/>
      <c r="E388" s="324"/>
      <c r="F388" s="324"/>
      <c r="G388" s="324"/>
      <c r="H388" s="324"/>
    </row>
    <row r="389" spans="1:8">
      <c r="A389" s="325" t="s">
        <v>532</v>
      </c>
      <c r="B389" s="324"/>
      <c r="C389" s="324"/>
      <c r="D389" s="324"/>
      <c r="E389" s="324"/>
      <c r="F389" s="324"/>
      <c r="G389" s="324"/>
      <c r="H389" s="324"/>
    </row>
    <row r="390" spans="1:8">
      <c r="A390" s="324"/>
      <c r="B390" s="324"/>
      <c r="C390" s="324"/>
      <c r="D390" s="324"/>
      <c r="E390" s="324"/>
      <c r="F390" s="324"/>
      <c r="G390" s="324"/>
      <c r="H390" s="324"/>
    </row>
    <row r="391" spans="1:8">
      <c r="A391" s="325" t="s">
        <v>526</v>
      </c>
      <c r="B391" s="324"/>
      <c r="C391" s="324"/>
      <c r="D391" s="324"/>
      <c r="E391" s="324"/>
      <c r="F391" s="324"/>
      <c r="G391" s="324"/>
      <c r="H391" s="324"/>
    </row>
    <row r="392" spans="1:8">
      <c r="A392" s="325" t="s">
        <v>527</v>
      </c>
      <c r="B392" s="324"/>
      <c r="C392" s="324"/>
      <c r="D392" s="324"/>
      <c r="E392" s="324"/>
      <c r="F392" s="324"/>
      <c r="G392" s="324"/>
      <c r="H392" s="324"/>
    </row>
    <row r="394" spans="1:8">
      <c r="A394" s="320" t="s">
        <v>784</v>
      </c>
    </row>
  </sheetData>
  <mergeCells count="12">
    <mergeCell ref="A135:H135"/>
    <mergeCell ref="A136:H136"/>
    <mergeCell ref="B128:C128"/>
    <mergeCell ref="D128:F128"/>
    <mergeCell ref="G128:H128"/>
    <mergeCell ref="A114:H114"/>
    <mergeCell ref="A115:H115"/>
    <mergeCell ref="A116:H116"/>
    <mergeCell ref="A117:H117"/>
    <mergeCell ref="A119:H119"/>
    <mergeCell ref="A120:H120"/>
    <mergeCell ref="A127:H127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theme="3"/>
    <pageSetUpPr autoPageBreaks="0" fitToPage="1"/>
  </sheetPr>
  <dimension ref="A1:BT432"/>
  <sheetViews>
    <sheetView showGridLines="0" zoomScale="115" zoomScaleNormal="115" zoomScaleSheetLayoutView="85" workbookViewId="0">
      <pane xSplit="2" ySplit="7" topLeftCell="J8" activePane="bottomRight" state="frozen"/>
      <selection pane="topRight" activeCell="C1" sqref="C1"/>
      <selection pane="bottomLeft" activeCell="A9" sqref="A9"/>
      <selection pane="bottomRight" activeCell="J8" sqref="J8"/>
    </sheetView>
  </sheetViews>
  <sheetFormatPr defaultRowHeight="12.75" outlineLevelRow="3" outlineLevelCol="1"/>
  <cols>
    <col min="1" max="1" width="1.7109375" style="245" customWidth="1"/>
    <col min="2" max="2" width="27.42578125" customWidth="1"/>
    <col min="3" max="4" width="9.140625" hidden="1" customWidth="1" outlineLevel="1"/>
    <col min="5" max="5" width="9.28515625" hidden="1" customWidth="1" outlineLevel="1"/>
    <col min="6" max="7" width="9.140625" hidden="1" customWidth="1" outlineLevel="1" collapsed="1"/>
    <col min="8" max="9" width="8.28515625" hidden="1" customWidth="1" outlineLevel="1" collapsed="1"/>
    <col min="10" max="10" width="8.28515625" customWidth="1" collapsed="1"/>
    <col min="11" max="17" width="8.28515625" customWidth="1"/>
    <col min="18" max="18" width="4.7109375" style="257" customWidth="1"/>
    <col min="19" max="30" width="8.28515625" hidden="1" customWidth="1" outlineLevel="1"/>
    <col min="31" max="31" width="8.28515625" hidden="1" customWidth="1" outlineLevel="1" collapsed="1"/>
    <col min="32" max="34" width="8.28515625" hidden="1" customWidth="1" outlineLevel="1"/>
    <col min="35" max="35" width="8.28515625" hidden="1" customWidth="1" outlineLevel="1" collapsed="1"/>
    <col min="36" max="38" width="8.28515625" hidden="1" customWidth="1" outlineLevel="1"/>
    <col min="39" max="39" width="8.28515625" hidden="1" customWidth="1" outlineLevel="1" collapsed="1"/>
    <col min="40" max="42" width="8.28515625" hidden="1" customWidth="1" outlineLevel="1"/>
    <col min="43" max="43" width="8.28515625" hidden="1" customWidth="1" outlineLevel="1" collapsed="1"/>
    <col min="44" max="46" width="8.28515625" hidden="1" customWidth="1" outlineLevel="1"/>
    <col min="47" max="47" width="8.28515625" customWidth="1" collapsed="1"/>
    <col min="48" max="62" width="8.28515625" customWidth="1"/>
    <col min="65" max="65" width="9.140625" style="245" hidden="1" customWidth="1" outlineLevel="1"/>
    <col min="66" max="66" width="50.7109375" hidden="1" customWidth="1" outlineLevel="1"/>
    <col min="67" max="71" width="9.140625" hidden="1" customWidth="1" outlineLevel="1"/>
    <col min="72" max="72" width="9.140625" collapsed="1"/>
  </cols>
  <sheetData>
    <row r="1" spans="1:65" ht="15.75">
      <c r="A1" s="118"/>
      <c r="B1" s="14" t="s">
        <v>422</v>
      </c>
      <c r="C1" s="92">
        <f t="shared" ref="C1:Q1" si="0">C34</f>
        <v>0</v>
      </c>
      <c r="D1" s="92">
        <f t="shared" si="0"/>
        <v>0</v>
      </c>
      <c r="E1" s="92">
        <f t="shared" si="0"/>
        <v>0</v>
      </c>
      <c r="F1" s="92">
        <f t="shared" si="0"/>
        <v>0</v>
      </c>
      <c r="G1" s="92">
        <f t="shared" si="0"/>
        <v>0.43264000000000008</v>
      </c>
      <c r="H1" s="92">
        <f t="shared" si="0"/>
        <v>0.81916200000000028</v>
      </c>
      <c r="I1" s="92">
        <f t="shared" si="0"/>
        <v>1.4593965393965393</v>
      </c>
      <c r="J1" s="92">
        <f t="shared" si="0"/>
        <v>1.4846484606345471</v>
      </c>
      <c r="K1" s="92">
        <f t="shared" si="0"/>
        <v>2.2638206119355542</v>
      </c>
      <c r="L1" s="92">
        <f t="shared" si="0"/>
        <v>9.2032876253558493E-2</v>
      </c>
      <c r="M1" s="92">
        <f t="shared" si="0"/>
        <v>-0.5652434814034496</v>
      </c>
      <c r="N1" s="92">
        <f t="shared" si="0"/>
        <v>1.4282220114488575</v>
      </c>
      <c r="O1" s="92">
        <f t="shared" si="0"/>
        <v>2.8746425977577492</v>
      </c>
      <c r="P1" s="92">
        <f t="shared" si="0"/>
        <v>3.4937423178776865</v>
      </c>
      <c r="Q1" s="92">
        <f t="shared" si="0"/>
        <v>3.3249486896097609</v>
      </c>
      <c r="R1" s="51"/>
      <c r="S1" s="92">
        <f t="shared" ref="S1:BJ1" si="1">S34</f>
        <v>6.5217391304348074E-3</v>
      </c>
      <c r="T1" s="92">
        <f t="shared" si="1"/>
        <v>0.15393194706994326</v>
      </c>
      <c r="U1" s="92">
        <f t="shared" si="1"/>
        <v>0.19657844990548212</v>
      </c>
      <c r="V1" s="92">
        <f t="shared" si="1"/>
        <v>5.189035916824198E-2</v>
      </c>
      <c r="W1" s="92">
        <f t="shared" si="1"/>
        <v>7.0480151228733537E-2</v>
      </c>
      <c r="X1" s="92">
        <f t="shared" si="1"/>
        <v>0.20425708884688096</v>
      </c>
      <c r="Y1" s="92">
        <f t="shared" si="1"/>
        <v>0.19962948960302457</v>
      </c>
      <c r="Z1" s="92">
        <f t="shared" si="1"/>
        <v>0.29988846880907377</v>
      </c>
      <c r="AA1" s="92">
        <f t="shared" si="1"/>
        <v>0.36733870192769674</v>
      </c>
      <c r="AB1" s="92">
        <f t="shared" si="1"/>
        <v>0.37418486101760101</v>
      </c>
      <c r="AC1" s="92">
        <f t="shared" si="1"/>
        <v>0.35539924745211482</v>
      </c>
      <c r="AD1" s="92">
        <f t="shared" si="1"/>
        <v>0.36267324673360191</v>
      </c>
      <c r="AE1" s="92">
        <f t="shared" si="1"/>
        <v>0.346677633444892</v>
      </c>
      <c r="AF1" s="92">
        <f t="shared" si="1"/>
        <v>0.37935634170627691</v>
      </c>
      <c r="AG1" s="92">
        <f t="shared" si="1"/>
        <v>0.42147782140642903</v>
      </c>
      <c r="AH1" s="92">
        <f t="shared" si="1"/>
        <v>0.33709674399445788</v>
      </c>
      <c r="AI1" s="92">
        <f t="shared" si="1"/>
        <v>0.33986383986383978</v>
      </c>
      <c r="AJ1" s="92">
        <f t="shared" si="1"/>
        <v>0.52806752423427084</v>
      </c>
      <c r="AK1" s="92">
        <f t="shared" si="1"/>
        <v>0.78276616476384819</v>
      </c>
      <c r="AL1" s="92">
        <f t="shared" si="1"/>
        <v>0.61166728008833271</v>
      </c>
      <c r="AM1" s="92">
        <f t="shared" si="1"/>
        <v>0.39607139542222786</v>
      </c>
      <c r="AN1" s="92">
        <f t="shared" si="1"/>
        <v>-2.8402974543699128E-2</v>
      </c>
      <c r="AO1" s="92">
        <f t="shared" si="1"/>
        <v>-3.9071489710096365E-2</v>
      </c>
      <c r="AP1" s="92">
        <f t="shared" si="1"/>
        <v>-0.23841554559043346</v>
      </c>
      <c r="AQ1" s="92">
        <f t="shared" si="1"/>
        <v>-0.18863594639250961</v>
      </c>
      <c r="AR1" s="92">
        <f t="shared" si="1"/>
        <v>-0.17954176324960186</v>
      </c>
      <c r="AS1" s="92">
        <f t="shared" si="1"/>
        <v>-0.13546103545503632</v>
      </c>
      <c r="AT1" s="92">
        <f t="shared" si="1"/>
        <v>-8.0253114285335991E-2</v>
      </c>
      <c r="AU1" s="92">
        <f t="shared" si="1"/>
        <v>8.0455717134380642E-2</v>
      </c>
      <c r="AV1" s="92">
        <f t="shared" si="1"/>
        <v>0.35949722374763543</v>
      </c>
      <c r="AW1" s="92">
        <f t="shared" si="1"/>
        <v>0.50466478363474054</v>
      </c>
      <c r="AX1" s="92">
        <f t="shared" si="1"/>
        <v>0.48494281075670465</v>
      </c>
      <c r="AY1" s="92">
        <f t="shared" si="1"/>
        <v>0.34247087531542247</v>
      </c>
      <c r="AZ1" s="92">
        <f t="shared" si="1"/>
        <v>0.66745463722064424</v>
      </c>
      <c r="BA1" s="92">
        <f t="shared" si="1"/>
        <v>0.89171964280046079</v>
      </c>
      <c r="BB1" s="92">
        <f t="shared" si="1"/>
        <v>0.97299744242122232</v>
      </c>
      <c r="BC1" s="92">
        <f t="shared" si="1"/>
        <v>0.92034714686220531</v>
      </c>
      <c r="BD1" s="92">
        <f t="shared" si="1"/>
        <v>0.89695258886511708</v>
      </c>
      <c r="BE1" s="92">
        <f t="shared" si="1"/>
        <v>0.8694232844663945</v>
      </c>
      <c r="BF1" s="92">
        <f t="shared" si="1"/>
        <v>0.80701929768396818</v>
      </c>
      <c r="BG1" s="92">
        <f t="shared" si="1"/>
        <v>0.80671789288370843</v>
      </c>
      <c r="BH1" s="92">
        <f t="shared" si="1"/>
        <v>0.84753299032604545</v>
      </c>
      <c r="BI1" s="92">
        <f t="shared" si="1"/>
        <v>0.85170173001953786</v>
      </c>
      <c r="BJ1" s="92">
        <f t="shared" si="1"/>
        <v>0.81899607638046745</v>
      </c>
      <c r="BK1" s="1"/>
      <c r="BL1" s="1"/>
      <c r="BM1" s="1"/>
    </row>
    <row r="2" spans="1:65" ht="12.75" customHeight="1">
      <c r="A2" s="118"/>
      <c r="B2" s="15" t="s">
        <v>421</v>
      </c>
      <c r="C2" s="172">
        <f t="shared" ref="C2:O2" si="2">MIN(C252,0)</f>
        <v>0</v>
      </c>
      <c r="D2" s="172">
        <f t="shared" si="2"/>
        <v>0</v>
      </c>
      <c r="E2" s="172">
        <f t="shared" si="2"/>
        <v>0</v>
      </c>
      <c r="F2" s="172">
        <f t="shared" si="2"/>
        <v>0</v>
      </c>
      <c r="G2" s="172">
        <f t="shared" si="2"/>
        <v>0</v>
      </c>
      <c r="H2" s="172">
        <f t="shared" si="2"/>
        <v>0</v>
      </c>
      <c r="I2" s="172">
        <f t="shared" si="2"/>
        <v>0</v>
      </c>
      <c r="J2" s="172">
        <f t="shared" si="2"/>
        <v>0</v>
      </c>
      <c r="K2" s="172">
        <f t="shared" si="2"/>
        <v>0</v>
      </c>
      <c r="L2" s="172">
        <f t="shared" si="2"/>
        <v>0</v>
      </c>
      <c r="M2" s="172">
        <f t="shared" si="2"/>
        <v>0</v>
      </c>
      <c r="N2" s="172">
        <f t="shared" si="2"/>
        <v>0</v>
      </c>
      <c r="O2" s="172">
        <f t="shared" si="2"/>
        <v>0</v>
      </c>
      <c r="P2" s="172"/>
      <c r="Q2" s="172"/>
      <c r="R2" s="305"/>
      <c r="S2" s="172">
        <f t="shared" ref="S2:BJ2" si="3">MIN(S252,0)</f>
        <v>0</v>
      </c>
      <c r="T2" s="172">
        <f t="shared" si="3"/>
        <v>0</v>
      </c>
      <c r="U2" s="172">
        <f t="shared" si="3"/>
        <v>0</v>
      </c>
      <c r="V2" s="172">
        <f t="shared" si="3"/>
        <v>0</v>
      </c>
      <c r="W2" s="172">
        <f t="shared" si="3"/>
        <v>0</v>
      </c>
      <c r="X2" s="172">
        <f t="shared" si="3"/>
        <v>0</v>
      </c>
      <c r="Y2" s="172">
        <f t="shared" si="3"/>
        <v>0</v>
      </c>
      <c r="Z2" s="172">
        <f t="shared" si="3"/>
        <v>0</v>
      </c>
      <c r="AA2" s="172">
        <f t="shared" si="3"/>
        <v>0</v>
      </c>
      <c r="AB2" s="172">
        <f t="shared" si="3"/>
        <v>0</v>
      </c>
      <c r="AC2" s="172">
        <f t="shared" si="3"/>
        <v>0</v>
      </c>
      <c r="AD2" s="172">
        <f t="shared" si="3"/>
        <v>0</v>
      </c>
      <c r="AE2" s="172">
        <f t="shared" si="3"/>
        <v>0</v>
      </c>
      <c r="AF2" s="172">
        <f t="shared" si="3"/>
        <v>0</v>
      </c>
      <c r="AG2" s="172">
        <f t="shared" si="3"/>
        <v>0</v>
      </c>
      <c r="AH2" s="172">
        <f t="shared" si="3"/>
        <v>0</v>
      </c>
      <c r="AI2" s="172">
        <f t="shared" si="3"/>
        <v>0</v>
      </c>
      <c r="AJ2" s="172">
        <f t="shared" si="3"/>
        <v>0</v>
      </c>
      <c r="AK2" s="172">
        <f t="shared" si="3"/>
        <v>0</v>
      </c>
      <c r="AL2" s="172">
        <f t="shared" si="3"/>
        <v>0</v>
      </c>
      <c r="AM2" s="172">
        <f t="shared" si="3"/>
        <v>0</v>
      </c>
      <c r="AN2" s="172">
        <f t="shared" si="3"/>
        <v>0</v>
      </c>
      <c r="AO2" s="172">
        <f t="shared" si="3"/>
        <v>0</v>
      </c>
      <c r="AP2" s="172">
        <f t="shared" si="3"/>
        <v>0</v>
      </c>
      <c r="AQ2" s="172">
        <f t="shared" si="3"/>
        <v>0</v>
      </c>
      <c r="AR2" s="172">
        <f t="shared" si="3"/>
        <v>0</v>
      </c>
      <c r="AS2" s="172">
        <f t="shared" si="3"/>
        <v>0</v>
      </c>
      <c r="AT2" s="172">
        <f t="shared" si="3"/>
        <v>0</v>
      </c>
      <c r="AU2" s="172">
        <f t="shared" si="3"/>
        <v>0</v>
      </c>
      <c r="AV2" s="172">
        <f t="shared" si="3"/>
        <v>0</v>
      </c>
      <c r="AW2" s="172">
        <f t="shared" si="3"/>
        <v>0</v>
      </c>
      <c r="AX2" s="172">
        <f t="shared" si="3"/>
        <v>0</v>
      </c>
      <c r="AY2" s="172">
        <f t="shared" si="3"/>
        <v>0</v>
      </c>
      <c r="AZ2" s="172">
        <f t="shared" si="3"/>
        <v>0</v>
      </c>
      <c r="BA2" s="172">
        <f t="shared" si="3"/>
        <v>0</v>
      </c>
      <c r="BB2" s="172">
        <f t="shared" si="3"/>
        <v>0</v>
      </c>
      <c r="BC2" s="172">
        <f t="shared" si="3"/>
        <v>0</v>
      </c>
      <c r="BD2" s="172">
        <f t="shared" si="3"/>
        <v>0</v>
      </c>
      <c r="BE2" s="172">
        <f t="shared" si="3"/>
        <v>0</v>
      </c>
      <c r="BF2" s="172">
        <f t="shared" si="3"/>
        <v>0</v>
      </c>
      <c r="BG2" s="172">
        <f t="shared" si="3"/>
        <v>0</v>
      </c>
      <c r="BH2" s="172">
        <f t="shared" si="3"/>
        <v>0</v>
      </c>
      <c r="BI2" s="172">
        <f t="shared" si="3"/>
        <v>0</v>
      </c>
      <c r="BJ2" s="172">
        <f t="shared" si="3"/>
        <v>0</v>
      </c>
      <c r="BK2" s="1"/>
      <c r="BL2" s="1"/>
      <c r="BM2" s="1"/>
    </row>
    <row r="3" spans="1:65" ht="12.75" customHeight="1">
      <c r="A3" s="118"/>
      <c r="B3" s="15"/>
      <c r="C3" s="15"/>
      <c r="D3" s="15"/>
      <c r="E3" s="12"/>
      <c r="F3" s="12"/>
      <c r="G3" s="12"/>
      <c r="H3" s="1"/>
      <c r="I3" s="9"/>
      <c r="J3" s="71"/>
      <c r="K3" s="56"/>
      <c r="L3" s="56"/>
      <c r="M3" s="21"/>
      <c r="N3" s="21"/>
      <c r="O3" s="100"/>
      <c r="P3" s="100"/>
      <c r="Q3" s="100"/>
      <c r="R3" s="5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303" t="s">
        <v>480</v>
      </c>
      <c r="BC3" s="21"/>
      <c r="BD3" s="21"/>
      <c r="BE3" s="21"/>
      <c r="BF3" s="21"/>
      <c r="BG3" s="21"/>
      <c r="BH3" s="21"/>
      <c r="BI3" s="21"/>
      <c r="BJ3" s="21"/>
      <c r="BK3" s="1"/>
      <c r="BL3" s="1"/>
      <c r="BM3" s="1"/>
    </row>
    <row r="4" spans="1:65" ht="12.75" hidden="1" customHeight="1">
      <c r="A4" s="118"/>
      <c r="B4" s="31" t="s">
        <v>132</v>
      </c>
      <c r="C4" s="27">
        <v>2006</v>
      </c>
      <c r="D4" s="27">
        <v>2007</v>
      </c>
      <c r="E4" s="27">
        <v>2008</v>
      </c>
      <c r="F4" s="27">
        <v>2009</v>
      </c>
      <c r="G4" s="27">
        <v>2010</v>
      </c>
      <c r="H4" s="27">
        <v>2011</v>
      </c>
      <c r="I4" s="27">
        <v>2012</v>
      </c>
      <c r="J4" s="27">
        <v>2013</v>
      </c>
      <c r="K4" s="27">
        <v>2014</v>
      </c>
      <c r="L4" s="27">
        <v>2015</v>
      </c>
      <c r="M4" s="27">
        <v>2016</v>
      </c>
      <c r="N4" s="27">
        <v>2017</v>
      </c>
      <c r="O4" s="27">
        <v>2018</v>
      </c>
      <c r="P4" s="27">
        <f>+O4+1</f>
        <v>2019</v>
      </c>
      <c r="Q4" s="27">
        <f>+P4+1</f>
        <v>2020</v>
      </c>
      <c r="R4" s="306"/>
      <c r="S4" s="95">
        <v>2010</v>
      </c>
      <c r="T4" s="95">
        <v>2010</v>
      </c>
      <c r="U4" s="95">
        <v>2010</v>
      </c>
      <c r="V4" s="95">
        <v>2010</v>
      </c>
      <c r="W4" s="95">
        <v>2011</v>
      </c>
      <c r="X4" s="95">
        <v>2011</v>
      </c>
      <c r="Y4" s="95">
        <v>2011</v>
      </c>
      <c r="Z4" s="95">
        <v>2011</v>
      </c>
      <c r="AA4" s="95">
        <v>2012</v>
      </c>
      <c r="AB4" s="95">
        <v>2012</v>
      </c>
      <c r="AC4" s="95">
        <v>2012</v>
      </c>
      <c r="AD4" s="95">
        <v>2012</v>
      </c>
      <c r="AE4" s="95">
        <v>2013</v>
      </c>
      <c r="AF4" s="95">
        <v>2013</v>
      </c>
      <c r="AG4" s="95">
        <v>2013</v>
      </c>
      <c r="AH4" s="95">
        <v>2013</v>
      </c>
      <c r="AI4" s="95">
        <v>2014</v>
      </c>
      <c r="AJ4" s="95">
        <v>2014</v>
      </c>
      <c r="AK4" s="95">
        <v>2014</v>
      </c>
      <c r="AL4" s="95">
        <v>2014</v>
      </c>
      <c r="AM4" s="95">
        <v>2015</v>
      </c>
      <c r="AN4" s="95">
        <v>2015</v>
      </c>
      <c r="AO4" s="95">
        <v>2015</v>
      </c>
      <c r="AP4" s="95">
        <v>2015</v>
      </c>
      <c r="AQ4" s="95">
        <v>2016</v>
      </c>
      <c r="AR4" s="95">
        <v>2016</v>
      </c>
      <c r="AS4" s="95">
        <v>2016</v>
      </c>
      <c r="AT4" s="95">
        <v>2016</v>
      </c>
      <c r="AU4" s="95">
        <v>2017</v>
      </c>
      <c r="AV4" s="95">
        <v>2017</v>
      </c>
      <c r="AW4" s="95">
        <v>2017</v>
      </c>
      <c r="AX4" s="95">
        <v>2017</v>
      </c>
      <c r="AY4" s="95">
        <v>2018</v>
      </c>
      <c r="AZ4" s="95">
        <v>2018</v>
      </c>
      <c r="BA4" s="95">
        <v>2018</v>
      </c>
      <c r="BB4" s="95">
        <v>2018</v>
      </c>
      <c r="BC4" s="95">
        <f t="shared" ref="BC4:BJ4" si="4">+AY4+1</f>
        <v>2019</v>
      </c>
      <c r="BD4" s="95">
        <f t="shared" si="4"/>
        <v>2019</v>
      </c>
      <c r="BE4" s="95">
        <f t="shared" si="4"/>
        <v>2019</v>
      </c>
      <c r="BF4" s="95">
        <f t="shared" si="4"/>
        <v>2019</v>
      </c>
      <c r="BG4" s="95">
        <f t="shared" si="4"/>
        <v>2020</v>
      </c>
      <c r="BH4" s="95">
        <f t="shared" si="4"/>
        <v>2020</v>
      </c>
      <c r="BI4" s="95">
        <f t="shared" si="4"/>
        <v>2020</v>
      </c>
      <c r="BJ4" s="95">
        <f t="shared" si="4"/>
        <v>2020</v>
      </c>
      <c r="BK4" s="1"/>
      <c r="BL4" s="1"/>
      <c r="BM4" s="1"/>
    </row>
    <row r="5" spans="1:65" ht="12.75" hidden="1" customHeight="1">
      <c r="A5" s="118"/>
      <c r="B5" s="31" t="s">
        <v>58</v>
      </c>
      <c r="C5" s="32"/>
      <c r="D5" s="32"/>
      <c r="E5" s="23"/>
      <c r="F5" s="23"/>
      <c r="G5" s="27">
        <v>1</v>
      </c>
      <c r="H5" s="27">
        <v>5</v>
      </c>
      <c r="I5" s="27">
        <f t="shared" ref="I5:Q5" si="5">H5+4</f>
        <v>9</v>
      </c>
      <c r="J5" s="27">
        <f t="shared" si="5"/>
        <v>13</v>
      </c>
      <c r="K5" s="27">
        <f t="shared" si="5"/>
        <v>17</v>
      </c>
      <c r="L5" s="27">
        <f t="shared" si="5"/>
        <v>21</v>
      </c>
      <c r="M5" s="27">
        <f t="shared" si="5"/>
        <v>25</v>
      </c>
      <c r="N5" s="27">
        <f t="shared" si="5"/>
        <v>29</v>
      </c>
      <c r="O5" s="27">
        <f t="shared" si="5"/>
        <v>33</v>
      </c>
      <c r="P5" s="27">
        <f t="shared" si="5"/>
        <v>37</v>
      </c>
      <c r="Q5" s="27">
        <f t="shared" si="5"/>
        <v>41</v>
      </c>
      <c r="R5" s="306"/>
      <c r="S5" s="27">
        <v>1</v>
      </c>
      <c r="T5" s="27">
        <f t="shared" ref="T5:BJ5" si="6">S5+1</f>
        <v>2</v>
      </c>
      <c r="U5" s="27">
        <f t="shared" si="6"/>
        <v>3</v>
      </c>
      <c r="V5" s="27">
        <f t="shared" si="6"/>
        <v>4</v>
      </c>
      <c r="W5" s="27">
        <f t="shared" si="6"/>
        <v>5</v>
      </c>
      <c r="X5" s="27">
        <f t="shared" si="6"/>
        <v>6</v>
      </c>
      <c r="Y5" s="27">
        <f t="shared" si="6"/>
        <v>7</v>
      </c>
      <c r="Z5" s="27">
        <f t="shared" si="6"/>
        <v>8</v>
      </c>
      <c r="AA5" s="27">
        <f t="shared" si="6"/>
        <v>9</v>
      </c>
      <c r="AB5" s="27">
        <f t="shared" si="6"/>
        <v>10</v>
      </c>
      <c r="AC5" s="27">
        <f t="shared" si="6"/>
        <v>11</v>
      </c>
      <c r="AD5" s="27">
        <f t="shared" si="6"/>
        <v>12</v>
      </c>
      <c r="AE5" s="27">
        <f t="shared" si="6"/>
        <v>13</v>
      </c>
      <c r="AF5" s="27">
        <f t="shared" si="6"/>
        <v>14</v>
      </c>
      <c r="AG5" s="27">
        <f t="shared" si="6"/>
        <v>15</v>
      </c>
      <c r="AH5" s="27">
        <f t="shared" si="6"/>
        <v>16</v>
      </c>
      <c r="AI5" s="27">
        <f t="shared" si="6"/>
        <v>17</v>
      </c>
      <c r="AJ5" s="27">
        <f t="shared" si="6"/>
        <v>18</v>
      </c>
      <c r="AK5" s="27">
        <f t="shared" si="6"/>
        <v>19</v>
      </c>
      <c r="AL5" s="27">
        <f t="shared" si="6"/>
        <v>20</v>
      </c>
      <c r="AM5" s="27">
        <f t="shared" si="6"/>
        <v>21</v>
      </c>
      <c r="AN5" s="27">
        <f t="shared" si="6"/>
        <v>22</v>
      </c>
      <c r="AO5" s="27">
        <f t="shared" si="6"/>
        <v>23</v>
      </c>
      <c r="AP5" s="27">
        <f t="shared" si="6"/>
        <v>24</v>
      </c>
      <c r="AQ5" s="27">
        <f t="shared" si="6"/>
        <v>25</v>
      </c>
      <c r="AR5" s="27">
        <f t="shared" si="6"/>
        <v>26</v>
      </c>
      <c r="AS5" s="27">
        <f t="shared" si="6"/>
        <v>27</v>
      </c>
      <c r="AT5" s="27">
        <f t="shared" si="6"/>
        <v>28</v>
      </c>
      <c r="AU5" s="27">
        <f t="shared" si="6"/>
        <v>29</v>
      </c>
      <c r="AV5" s="27">
        <f t="shared" si="6"/>
        <v>30</v>
      </c>
      <c r="AW5" s="27">
        <f t="shared" si="6"/>
        <v>31</v>
      </c>
      <c r="AX5" s="27">
        <f t="shared" si="6"/>
        <v>32</v>
      </c>
      <c r="AY5" s="27">
        <f t="shared" si="6"/>
        <v>33</v>
      </c>
      <c r="AZ5" s="27">
        <f t="shared" si="6"/>
        <v>34</v>
      </c>
      <c r="BA5" s="27">
        <f t="shared" si="6"/>
        <v>35</v>
      </c>
      <c r="BB5" s="27">
        <f t="shared" si="6"/>
        <v>36</v>
      </c>
      <c r="BC5" s="27">
        <f t="shared" si="6"/>
        <v>37</v>
      </c>
      <c r="BD5" s="27">
        <f t="shared" si="6"/>
        <v>38</v>
      </c>
      <c r="BE5" s="27">
        <f t="shared" si="6"/>
        <v>39</v>
      </c>
      <c r="BF5" s="27">
        <f t="shared" si="6"/>
        <v>40</v>
      </c>
      <c r="BG5" s="27">
        <f t="shared" si="6"/>
        <v>41</v>
      </c>
      <c r="BH5" s="27">
        <f t="shared" si="6"/>
        <v>42</v>
      </c>
      <c r="BI5" s="27">
        <f t="shared" si="6"/>
        <v>43</v>
      </c>
      <c r="BJ5" s="27">
        <f t="shared" si="6"/>
        <v>44</v>
      </c>
      <c r="BK5" s="1"/>
      <c r="BL5" s="1"/>
      <c r="BM5" s="1"/>
    </row>
    <row r="6" spans="1:65" ht="12.75" hidden="1" customHeight="1">
      <c r="A6" s="118"/>
      <c r="B6" s="31" t="s">
        <v>59</v>
      </c>
      <c r="C6" s="32"/>
      <c r="D6" s="32"/>
      <c r="E6" s="23"/>
      <c r="F6" s="23"/>
      <c r="G6" s="27">
        <f t="shared" ref="G6:Q6" si="7">G5+3</f>
        <v>4</v>
      </c>
      <c r="H6" s="27">
        <f t="shared" si="7"/>
        <v>8</v>
      </c>
      <c r="I6" s="27">
        <f t="shared" si="7"/>
        <v>12</v>
      </c>
      <c r="J6" s="27">
        <f t="shared" si="7"/>
        <v>16</v>
      </c>
      <c r="K6" s="27">
        <f t="shared" si="7"/>
        <v>20</v>
      </c>
      <c r="L6" s="27">
        <f t="shared" si="7"/>
        <v>24</v>
      </c>
      <c r="M6" s="27">
        <f t="shared" si="7"/>
        <v>28</v>
      </c>
      <c r="N6" s="27">
        <f t="shared" si="7"/>
        <v>32</v>
      </c>
      <c r="O6" s="27">
        <f t="shared" si="7"/>
        <v>36</v>
      </c>
      <c r="P6" s="27">
        <f t="shared" si="7"/>
        <v>40</v>
      </c>
      <c r="Q6" s="27">
        <f t="shared" si="7"/>
        <v>44</v>
      </c>
      <c r="R6" s="306"/>
      <c r="S6" s="27">
        <v>1</v>
      </c>
      <c r="T6" s="27">
        <f t="shared" ref="T6:BJ6" si="8">S6+1</f>
        <v>2</v>
      </c>
      <c r="U6" s="27">
        <f t="shared" si="8"/>
        <v>3</v>
      </c>
      <c r="V6" s="27">
        <f t="shared" si="8"/>
        <v>4</v>
      </c>
      <c r="W6" s="27">
        <f t="shared" si="8"/>
        <v>5</v>
      </c>
      <c r="X6" s="27">
        <f t="shared" si="8"/>
        <v>6</v>
      </c>
      <c r="Y6" s="27">
        <f t="shared" si="8"/>
        <v>7</v>
      </c>
      <c r="Z6" s="27">
        <f t="shared" si="8"/>
        <v>8</v>
      </c>
      <c r="AA6" s="27">
        <f t="shared" si="8"/>
        <v>9</v>
      </c>
      <c r="AB6" s="27">
        <f t="shared" si="8"/>
        <v>10</v>
      </c>
      <c r="AC6" s="27">
        <f t="shared" si="8"/>
        <v>11</v>
      </c>
      <c r="AD6" s="27">
        <f t="shared" si="8"/>
        <v>12</v>
      </c>
      <c r="AE6" s="27">
        <f t="shared" si="8"/>
        <v>13</v>
      </c>
      <c r="AF6" s="27">
        <f t="shared" si="8"/>
        <v>14</v>
      </c>
      <c r="AG6" s="27">
        <f t="shared" si="8"/>
        <v>15</v>
      </c>
      <c r="AH6" s="27">
        <f t="shared" si="8"/>
        <v>16</v>
      </c>
      <c r="AI6" s="27">
        <f t="shared" si="8"/>
        <v>17</v>
      </c>
      <c r="AJ6" s="27">
        <f t="shared" si="8"/>
        <v>18</v>
      </c>
      <c r="AK6" s="27">
        <f t="shared" si="8"/>
        <v>19</v>
      </c>
      <c r="AL6" s="27">
        <f t="shared" si="8"/>
        <v>20</v>
      </c>
      <c r="AM6" s="27">
        <f t="shared" si="8"/>
        <v>21</v>
      </c>
      <c r="AN6" s="27">
        <f t="shared" si="8"/>
        <v>22</v>
      </c>
      <c r="AO6" s="27">
        <f t="shared" si="8"/>
        <v>23</v>
      </c>
      <c r="AP6" s="27">
        <f t="shared" si="8"/>
        <v>24</v>
      </c>
      <c r="AQ6" s="27">
        <f t="shared" si="8"/>
        <v>25</v>
      </c>
      <c r="AR6" s="27">
        <f t="shared" si="8"/>
        <v>26</v>
      </c>
      <c r="AS6" s="27">
        <f t="shared" si="8"/>
        <v>27</v>
      </c>
      <c r="AT6" s="27">
        <f t="shared" si="8"/>
        <v>28</v>
      </c>
      <c r="AU6" s="27">
        <f t="shared" si="8"/>
        <v>29</v>
      </c>
      <c r="AV6" s="27">
        <f t="shared" si="8"/>
        <v>30</v>
      </c>
      <c r="AW6" s="27">
        <f t="shared" si="8"/>
        <v>31</v>
      </c>
      <c r="AX6" s="27">
        <f t="shared" si="8"/>
        <v>32</v>
      </c>
      <c r="AY6" s="27">
        <f t="shared" si="8"/>
        <v>33</v>
      </c>
      <c r="AZ6" s="27">
        <f t="shared" si="8"/>
        <v>34</v>
      </c>
      <c r="BA6" s="27">
        <f t="shared" si="8"/>
        <v>35</v>
      </c>
      <c r="BB6" s="27">
        <f t="shared" si="8"/>
        <v>36</v>
      </c>
      <c r="BC6" s="27">
        <f t="shared" si="8"/>
        <v>37</v>
      </c>
      <c r="BD6" s="27">
        <f t="shared" si="8"/>
        <v>38</v>
      </c>
      <c r="BE6" s="27">
        <f t="shared" si="8"/>
        <v>39</v>
      </c>
      <c r="BF6" s="27">
        <f t="shared" si="8"/>
        <v>40</v>
      </c>
      <c r="BG6" s="27">
        <f t="shared" si="8"/>
        <v>41</v>
      </c>
      <c r="BH6" s="27">
        <f t="shared" si="8"/>
        <v>42</v>
      </c>
      <c r="BI6" s="27">
        <f t="shared" si="8"/>
        <v>43</v>
      </c>
      <c r="BJ6" s="27">
        <f t="shared" si="8"/>
        <v>44</v>
      </c>
      <c r="BK6" s="1"/>
      <c r="BL6" s="1"/>
      <c r="BM6" s="1"/>
    </row>
    <row r="7" spans="1:65" ht="12.75" customHeight="1">
      <c r="A7" s="144"/>
      <c r="B7" s="16"/>
      <c r="C7" s="2">
        <v>2006</v>
      </c>
      <c r="D7" s="2">
        <v>2007</v>
      </c>
      <c r="E7" s="2">
        <v>2008</v>
      </c>
      <c r="F7" s="2">
        <v>2009</v>
      </c>
      <c r="G7" s="2">
        <v>2010</v>
      </c>
      <c r="H7" s="131">
        <v>2011</v>
      </c>
      <c r="I7" s="131">
        <v>2012</v>
      </c>
      <c r="J7" s="131">
        <v>2013</v>
      </c>
      <c r="K7" s="131">
        <v>2014</v>
      </c>
      <c r="L7" s="131">
        <v>2015</v>
      </c>
      <c r="M7" s="131">
        <v>2016</v>
      </c>
      <c r="N7" s="131">
        <v>2017</v>
      </c>
      <c r="O7" s="131" t="s">
        <v>288</v>
      </c>
      <c r="P7" s="131" t="s">
        <v>289</v>
      </c>
      <c r="Q7" s="131" t="s">
        <v>381</v>
      </c>
      <c r="R7" s="51"/>
      <c r="S7" s="79" t="s">
        <v>22</v>
      </c>
      <c r="T7" s="79" t="s">
        <v>23</v>
      </c>
      <c r="U7" s="79" t="s">
        <v>24</v>
      </c>
      <c r="V7" s="79" t="s">
        <v>25</v>
      </c>
      <c r="W7" s="79" t="s">
        <v>26</v>
      </c>
      <c r="X7" s="79" t="s">
        <v>27</v>
      </c>
      <c r="Y7" s="79" t="s">
        <v>28</v>
      </c>
      <c r="Z7" s="79" t="s">
        <v>256</v>
      </c>
      <c r="AA7" s="79" t="s">
        <v>263</v>
      </c>
      <c r="AB7" s="79" t="s">
        <v>271</v>
      </c>
      <c r="AC7" s="79" t="s">
        <v>272</v>
      </c>
      <c r="AD7" s="79" t="s">
        <v>273</v>
      </c>
      <c r="AE7" s="79" t="s">
        <v>274</v>
      </c>
      <c r="AF7" s="79" t="s">
        <v>275</v>
      </c>
      <c r="AG7" s="79" t="s">
        <v>277</v>
      </c>
      <c r="AH7" s="79" t="s">
        <v>278</v>
      </c>
      <c r="AI7" s="13" t="s">
        <v>279</v>
      </c>
      <c r="AJ7" s="13" t="s">
        <v>280</v>
      </c>
      <c r="AK7" s="13" t="s">
        <v>293</v>
      </c>
      <c r="AL7" s="13" t="s">
        <v>295</v>
      </c>
      <c r="AM7" s="13" t="s">
        <v>307</v>
      </c>
      <c r="AN7" s="13" t="s">
        <v>339</v>
      </c>
      <c r="AO7" s="13" t="s">
        <v>345</v>
      </c>
      <c r="AP7" s="13" t="s">
        <v>365</v>
      </c>
      <c r="AQ7" s="13" t="s">
        <v>367</v>
      </c>
      <c r="AR7" s="13" t="s">
        <v>370</v>
      </c>
      <c r="AS7" s="13" t="s">
        <v>382</v>
      </c>
      <c r="AT7" s="13" t="s">
        <v>401</v>
      </c>
      <c r="AU7" s="13" t="s">
        <v>405</v>
      </c>
      <c r="AV7" s="13" t="s">
        <v>413</v>
      </c>
      <c r="AW7" s="13" t="s">
        <v>428</v>
      </c>
      <c r="AX7" s="13" t="s">
        <v>441</v>
      </c>
      <c r="AY7" s="13" t="s">
        <v>281</v>
      </c>
      <c r="AZ7" s="13" t="s">
        <v>282</v>
      </c>
      <c r="BA7" s="13" t="s">
        <v>283</v>
      </c>
      <c r="BB7" s="13" t="s">
        <v>284</v>
      </c>
      <c r="BC7" s="13" t="s">
        <v>373</v>
      </c>
      <c r="BD7" s="13" t="s">
        <v>374</v>
      </c>
      <c r="BE7" s="13" t="s">
        <v>375</v>
      </c>
      <c r="BF7" s="13" t="s">
        <v>376</v>
      </c>
      <c r="BG7" s="13" t="s">
        <v>377</v>
      </c>
      <c r="BH7" s="13" t="s">
        <v>378</v>
      </c>
      <c r="BI7" s="13" t="s">
        <v>379</v>
      </c>
      <c r="BJ7" s="13" t="s">
        <v>380</v>
      </c>
      <c r="BK7" s="51"/>
      <c r="BL7" s="79"/>
      <c r="BM7" s="78">
        <v>1</v>
      </c>
    </row>
    <row r="8" spans="1:65" ht="12.75" customHeight="1">
      <c r="A8" s="118" t="s">
        <v>29</v>
      </c>
      <c r="B8" s="19" t="s">
        <v>1</v>
      </c>
      <c r="C8" s="19"/>
      <c r="D8" s="19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5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29"/>
      <c r="AL8" s="1"/>
      <c r="AM8" s="1"/>
      <c r="AN8" s="1"/>
      <c r="AO8" s="1"/>
      <c r="AP8" s="1"/>
      <c r="AQ8" s="1"/>
      <c r="AR8" s="1"/>
      <c r="AS8" s="173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23">
        <f t="shared" ref="BM8:BM71" si="9">BM7+1</f>
        <v>2</v>
      </c>
    </row>
    <row r="9" spans="1:65" ht="12.75" customHeight="1" outlineLevel="1">
      <c r="A9" s="118"/>
      <c r="B9" s="3" t="s">
        <v>2</v>
      </c>
      <c r="C9" s="4">
        <f t="shared" ref="C9:Q9" si="10">C7</f>
        <v>2006</v>
      </c>
      <c r="D9" s="4">
        <f t="shared" si="10"/>
        <v>2007</v>
      </c>
      <c r="E9" s="4">
        <f t="shared" si="10"/>
        <v>2008</v>
      </c>
      <c r="F9" s="4">
        <f t="shared" si="10"/>
        <v>2009</v>
      </c>
      <c r="G9" s="4">
        <f t="shared" si="10"/>
        <v>2010</v>
      </c>
      <c r="H9" s="4">
        <f t="shared" si="10"/>
        <v>2011</v>
      </c>
      <c r="I9" s="4">
        <f t="shared" si="10"/>
        <v>2012</v>
      </c>
      <c r="J9" s="4">
        <f t="shared" si="10"/>
        <v>2013</v>
      </c>
      <c r="K9" s="4">
        <f t="shared" si="10"/>
        <v>2014</v>
      </c>
      <c r="L9" s="4">
        <f t="shared" si="10"/>
        <v>2015</v>
      </c>
      <c r="M9" s="4">
        <f t="shared" si="10"/>
        <v>2016</v>
      </c>
      <c r="N9" s="4">
        <f t="shared" si="10"/>
        <v>2017</v>
      </c>
      <c r="O9" s="4" t="str">
        <f t="shared" si="10"/>
        <v>2018E</v>
      </c>
      <c r="P9" s="4" t="str">
        <f t="shared" si="10"/>
        <v>2019E</v>
      </c>
      <c r="Q9" s="4" t="str">
        <f t="shared" si="10"/>
        <v>2020E</v>
      </c>
      <c r="R9" s="51"/>
      <c r="S9" s="4" t="str">
        <f t="shared" ref="S9:BJ9" si="11">S7</f>
        <v>1Q10</v>
      </c>
      <c r="T9" s="4" t="str">
        <f t="shared" si="11"/>
        <v>2Q10</v>
      </c>
      <c r="U9" s="4" t="str">
        <f t="shared" si="11"/>
        <v>3Q10</v>
      </c>
      <c r="V9" s="4" t="str">
        <f t="shared" si="11"/>
        <v>4Q10</v>
      </c>
      <c r="W9" s="4" t="str">
        <f t="shared" si="11"/>
        <v>1Q11</v>
      </c>
      <c r="X9" s="4" t="str">
        <f t="shared" si="11"/>
        <v>2Q11</v>
      </c>
      <c r="Y9" s="4" t="str">
        <f t="shared" si="11"/>
        <v>3Q11</v>
      </c>
      <c r="Z9" s="4" t="str">
        <f t="shared" si="11"/>
        <v>4Q11</v>
      </c>
      <c r="AA9" s="4" t="str">
        <f t="shared" si="11"/>
        <v>1Q12</v>
      </c>
      <c r="AB9" s="4" t="str">
        <f t="shared" si="11"/>
        <v>2Q12</v>
      </c>
      <c r="AC9" s="4" t="str">
        <f t="shared" si="11"/>
        <v>3Q12</v>
      </c>
      <c r="AD9" s="4" t="str">
        <f t="shared" si="11"/>
        <v>4Q12</v>
      </c>
      <c r="AE9" s="4" t="str">
        <f t="shared" si="11"/>
        <v>1Q13</v>
      </c>
      <c r="AF9" s="4" t="str">
        <f t="shared" si="11"/>
        <v>2Q13</v>
      </c>
      <c r="AG9" s="4" t="str">
        <f t="shared" si="11"/>
        <v>3Q13</v>
      </c>
      <c r="AH9" s="4" t="str">
        <f t="shared" si="11"/>
        <v>4Q13</v>
      </c>
      <c r="AI9" s="4" t="str">
        <f t="shared" si="11"/>
        <v>1Q14</v>
      </c>
      <c r="AJ9" s="4" t="str">
        <f t="shared" si="11"/>
        <v>2Q14</v>
      </c>
      <c r="AK9" s="68" t="str">
        <f t="shared" si="11"/>
        <v>3Q14</v>
      </c>
      <c r="AL9" s="4" t="str">
        <f t="shared" si="11"/>
        <v>4Q14</v>
      </c>
      <c r="AM9" s="4" t="str">
        <f t="shared" si="11"/>
        <v>1Q15</v>
      </c>
      <c r="AN9" s="4" t="str">
        <f t="shared" si="11"/>
        <v>2Q15</v>
      </c>
      <c r="AO9" s="4" t="str">
        <f t="shared" si="11"/>
        <v>3Q15</v>
      </c>
      <c r="AP9" s="4" t="str">
        <f t="shared" si="11"/>
        <v>4Q15</v>
      </c>
      <c r="AQ9" s="4" t="str">
        <f t="shared" si="11"/>
        <v>1Q16</v>
      </c>
      <c r="AR9" s="4" t="str">
        <f t="shared" si="11"/>
        <v>2Q16</v>
      </c>
      <c r="AS9" s="4" t="str">
        <f t="shared" si="11"/>
        <v>3Q16</v>
      </c>
      <c r="AT9" s="4" t="str">
        <f t="shared" si="11"/>
        <v>4Q16</v>
      </c>
      <c r="AU9" s="4" t="str">
        <f t="shared" si="11"/>
        <v>1Q17</v>
      </c>
      <c r="AV9" s="4" t="str">
        <f t="shared" si="11"/>
        <v>2Q17</v>
      </c>
      <c r="AW9" s="4" t="str">
        <f t="shared" si="11"/>
        <v>3Q17</v>
      </c>
      <c r="AX9" s="4" t="str">
        <f t="shared" si="11"/>
        <v>4Q17</v>
      </c>
      <c r="AY9" s="4" t="str">
        <f t="shared" si="11"/>
        <v>1Q18E</v>
      </c>
      <c r="AZ9" s="4" t="str">
        <f t="shared" si="11"/>
        <v>2Q18E</v>
      </c>
      <c r="BA9" s="4" t="str">
        <f t="shared" si="11"/>
        <v>3Q18E</v>
      </c>
      <c r="BB9" s="4" t="str">
        <f t="shared" si="11"/>
        <v>4Q18E</v>
      </c>
      <c r="BC9" s="4" t="str">
        <f t="shared" si="11"/>
        <v>1Q19E</v>
      </c>
      <c r="BD9" s="4" t="str">
        <f t="shared" si="11"/>
        <v>2Q19E</v>
      </c>
      <c r="BE9" s="4" t="str">
        <f t="shared" si="11"/>
        <v>3Q19E</v>
      </c>
      <c r="BF9" s="4" t="str">
        <f t="shared" si="11"/>
        <v>4Q19E</v>
      </c>
      <c r="BG9" s="4" t="str">
        <f t="shared" si="11"/>
        <v>1Q20E</v>
      </c>
      <c r="BH9" s="4" t="str">
        <f t="shared" si="11"/>
        <v>2Q20E</v>
      </c>
      <c r="BI9" s="4" t="str">
        <f t="shared" si="11"/>
        <v>3Q20E</v>
      </c>
      <c r="BJ9" s="4" t="str">
        <f t="shared" si="11"/>
        <v>4Q20E</v>
      </c>
      <c r="BK9" s="1"/>
      <c r="BL9" s="1"/>
      <c r="BM9" s="23">
        <f t="shared" si="9"/>
        <v>3</v>
      </c>
    </row>
    <row r="10" spans="1:65" ht="12.75" customHeight="1" outlineLevel="1">
      <c r="A10" s="118"/>
      <c r="B10" s="212" t="s">
        <v>20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51"/>
      <c r="S10" s="1"/>
      <c r="T10" s="1"/>
      <c r="U10" s="1"/>
      <c r="V10" s="1"/>
      <c r="W10" s="1"/>
      <c r="X10" s="1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23">
        <f t="shared" si="9"/>
        <v>4</v>
      </c>
    </row>
    <row r="11" spans="1:65" ht="12.75" customHeight="1" outlineLevel="1">
      <c r="A11" s="118"/>
      <c r="B11" s="46" t="s">
        <v>17</v>
      </c>
      <c r="C11" s="9">
        <v>10.69</v>
      </c>
      <c r="D11" s="9">
        <v>18.018999999999998</v>
      </c>
      <c r="E11" s="9">
        <f>34.684+3.191</f>
        <v>37.875</v>
      </c>
      <c r="F11" s="9">
        <v>35.835999999999999</v>
      </c>
      <c r="G11" s="9">
        <v>69.555999999999997</v>
      </c>
      <c r="H11" s="9">
        <f>SUM(INDEX($S11:$AH11,H$5):INDEX($S11:$AH11,H$6))</f>
        <v>107.072176</v>
      </c>
      <c r="I11" s="9">
        <f>SUM(INDEX($S11:$AH11,I$5):INDEX($S11:$AH11,I$6))</f>
        <v>243.74800000000002</v>
      </c>
      <c r="J11" s="9">
        <f>SUM(INDEX($S11:$AH11,J$5):INDEX($S11:$AH11,J$6))</f>
        <v>347.51099999999997</v>
      </c>
      <c r="K11" s="9">
        <f>SUM(INDEX($S11:$BK11,K$5):INDEX($S11:$BK11,K$6))</f>
        <v>662.77</v>
      </c>
      <c r="L11" s="9">
        <f>SUM(INDEX($S11:$BK11,L$5):INDEX($S11:$BK11,L$6))</f>
        <v>430.43700000000001</v>
      </c>
      <c r="M11" s="9">
        <f>SUM(INDEX($S11:$BK11,M$5):INDEX($S11:$BK11,M$6))</f>
        <v>362.54999999999995</v>
      </c>
      <c r="N11" s="9">
        <f>SUM(INDEX($S11:$BK11,N$5):INDEX($S11:$BK11,N$6))</f>
        <v>1020.366</v>
      </c>
      <c r="O11" s="9">
        <f>SUM(INDEX($S11:$BK11,O$5):INDEX($S11:$BK11,O$6))</f>
        <v>1550.1453624999999</v>
      </c>
      <c r="P11" s="9">
        <f>SUM(INDEX($S11:$BK11,P$5):INDEX($S11:$BK11,P$6))</f>
        <v>1830.172</v>
      </c>
      <c r="Q11" s="9">
        <f>SUM(INDEX($S11:$BK11,Q$5):INDEX($S11:$BK11,Q$6))</f>
        <v>1874.1420000000001</v>
      </c>
      <c r="R11" s="51"/>
      <c r="S11" s="9">
        <f t="shared" ref="S11:Z11" si="12">S43*S44/1000</f>
        <v>14.650999999999998</v>
      </c>
      <c r="T11" s="9">
        <f t="shared" si="12"/>
        <v>17.117000000000001</v>
      </c>
      <c r="U11" s="9">
        <f t="shared" si="12"/>
        <v>19.417000000000005</v>
      </c>
      <c r="V11" s="9">
        <f t="shared" si="12"/>
        <v>18.370999999999992</v>
      </c>
      <c r="W11" s="9">
        <f t="shared" si="12"/>
        <v>19.238000000000003</v>
      </c>
      <c r="X11" s="9">
        <f t="shared" si="12"/>
        <v>25.838000000000001</v>
      </c>
      <c r="Y11" s="9">
        <f t="shared" si="12"/>
        <v>24.246000000000002</v>
      </c>
      <c r="Z11" s="9">
        <f t="shared" si="12"/>
        <v>37.750175999999996</v>
      </c>
      <c r="AA11" s="132">
        <v>53.81</v>
      </c>
      <c r="AB11" s="132">
        <v>54.5</v>
      </c>
      <c r="AC11" s="132">
        <v>64.537999999999997</v>
      </c>
      <c r="AD11" s="132">
        <v>70.900000000000006</v>
      </c>
      <c r="AE11" s="132">
        <v>73.599999999999994</v>
      </c>
      <c r="AF11" s="132">
        <v>77.7</v>
      </c>
      <c r="AG11" s="132">
        <v>94.2</v>
      </c>
      <c r="AH11" s="132">
        <v>102.011</v>
      </c>
      <c r="AI11" s="132">
        <v>130.584</v>
      </c>
      <c r="AJ11" s="132">
        <v>149.33099999999999</v>
      </c>
      <c r="AK11" s="132">
        <v>186.81200000000001</v>
      </c>
      <c r="AL11" s="132">
        <v>196.04300000000001</v>
      </c>
      <c r="AM11" s="132">
        <v>148.75299999999999</v>
      </c>
      <c r="AN11" s="132">
        <v>90.855000000000004</v>
      </c>
      <c r="AO11" s="132">
        <v>101.98699999999999</v>
      </c>
      <c r="AP11" s="132">
        <v>88.841999999999999</v>
      </c>
      <c r="AQ11" s="132">
        <v>73.864999999999995</v>
      </c>
      <c r="AR11" s="132">
        <v>64.926000000000002</v>
      </c>
      <c r="AS11" s="132">
        <v>86.781999999999996</v>
      </c>
      <c r="AT11" s="132">
        <v>136.977</v>
      </c>
      <c r="AU11" s="132">
        <v>192.959</v>
      </c>
      <c r="AV11" s="132">
        <v>235.018</v>
      </c>
      <c r="AW11" s="132">
        <v>286.36900000000003</v>
      </c>
      <c r="AX11" s="132">
        <v>306.02</v>
      </c>
      <c r="AY11" s="9">
        <f>+AY43*AY44/1000</f>
        <v>315.52300000000002</v>
      </c>
      <c r="AZ11" s="9">
        <f t="shared" ref="AZ11:BJ11" si="13">+AZ43*AZ44/1000</f>
        <v>358.37636250000003</v>
      </c>
      <c r="BA11" s="9">
        <f t="shared" si="13"/>
        <v>423.52300000000002</v>
      </c>
      <c r="BB11" s="9">
        <f t="shared" si="13"/>
        <v>452.72300000000001</v>
      </c>
      <c r="BC11" s="9">
        <f t="shared" si="13"/>
        <v>456.01300000000003</v>
      </c>
      <c r="BD11" s="9">
        <f t="shared" si="13"/>
        <v>455.733</v>
      </c>
      <c r="BE11" s="9">
        <f t="shared" si="13"/>
        <v>458.053</v>
      </c>
      <c r="BF11" s="9">
        <f t="shared" si="13"/>
        <v>460.37299999999999</v>
      </c>
      <c r="BG11" s="9">
        <f t="shared" si="13"/>
        <v>465.91050000000001</v>
      </c>
      <c r="BH11" s="9">
        <f t="shared" si="13"/>
        <v>469.41050000000001</v>
      </c>
      <c r="BI11" s="9">
        <f t="shared" si="13"/>
        <v>469.41050000000001</v>
      </c>
      <c r="BJ11" s="9">
        <f t="shared" si="13"/>
        <v>469.41050000000001</v>
      </c>
      <c r="BK11" s="1"/>
      <c r="BL11" s="91"/>
      <c r="BM11" s="23">
        <f t="shared" si="9"/>
        <v>5</v>
      </c>
    </row>
    <row r="12" spans="1:65" ht="12.75" customHeight="1" outlineLevel="1">
      <c r="A12" s="118"/>
      <c r="B12" s="46" t="s">
        <v>18</v>
      </c>
      <c r="C12" s="9">
        <v>199.27699999999999</v>
      </c>
      <c r="D12" s="9">
        <v>199.75700000000001</v>
      </c>
      <c r="E12" s="9">
        <f>181.702+14.006</f>
        <v>195.708</v>
      </c>
      <c r="F12" s="9">
        <v>155.78700000000001</v>
      </c>
      <c r="G12" s="9">
        <v>175.39699999999999</v>
      </c>
      <c r="H12" s="9">
        <f>SUM(INDEX($S12:$AH12,H$5):INDEX($S12:$AH12,H$6))</f>
        <v>188.52423999999999</v>
      </c>
      <c r="I12" s="9">
        <f>SUM(INDEX($S12:$AH12,I$5):INDEX($S12:$AH12,I$6))</f>
        <v>198.12800000000001</v>
      </c>
      <c r="J12" s="9">
        <f>SUM(INDEX($S12:$AH12,J$5):INDEX($S12:$AH12,J$6))</f>
        <v>198.46299999999999</v>
      </c>
      <c r="K12" s="9">
        <f>SUM(INDEX($S12:$BK12,K$5):INDEX($S12:$BK12,K$6))</f>
        <v>213.971</v>
      </c>
      <c r="L12" s="9">
        <f>SUM(INDEX($S12:$BK12,L$5):INDEX($S12:$BK12,L$6))</f>
        <v>212.55199999999999</v>
      </c>
      <c r="M12" s="9">
        <f>SUM(INDEX($S12:$BK12,M$5):INDEX($S12:$BK12,M$6))</f>
        <v>197.07499999999999</v>
      </c>
      <c r="N12" s="9">
        <f>SUM(INDEX($S12:$BK12,N$5):INDEX($S12:$BK12,N$6))</f>
        <v>220.48499999999999</v>
      </c>
      <c r="O12" s="9">
        <f>SUM(INDEX($S12:$BK12,O$5):INDEX($S12:$BK12,O$6))</f>
        <v>233.91253650000002</v>
      </c>
      <c r="P12" s="9">
        <f>SUM(INDEX($S12:$BK12,P$5):INDEX($S12:$BK12,P$6))</f>
        <v>245.74851084690002</v>
      </c>
      <c r="Q12" s="9">
        <f>SUM(INDEX($S12:$BK12,Q$5):INDEX($S12:$BK12,Q$6))</f>
        <v>255.65217583403009</v>
      </c>
      <c r="R12" s="51"/>
      <c r="S12" s="9">
        <f t="shared" ref="S12:Z12" si="14">S158*S162/1000</f>
        <v>40.659999999999997</v>
      </c>
      <c r="T12" s="9">
        <f t="shared" si="14"/>
        <v>47.018000000000001</v>
      </c>
      <c r="U12" s="9">
        <f t="shared" si="14"/>
        <v>46.619</v>
      </c>
      <c r="V12" s="9">
        <f t="shared" si="14"/>
        <v>41.099999999999994</v>
      </c>
      <c r="W12" s="9">
        <f t="shared" si="14"/>
        <v>45.194000000000003</v>
      </c>
      <c r="X12" s="9">
        <f t="shared" si="14"/>
        <v>48.242000000000004</v>
      </c>
      <c r="Y12" s="9">
        <f t="shared" si="14"/>
        <v>49.206999999999987</v>
      </c>
      <c r="Z12" s="9">
        <f t="shared" si="14"/>
        <v>45.881239999999998</v>
      </c>
      <c r="AA12" s="132">
        <v>48.780999999999999</v>
      </c>
      <c r="AB12" s="132">
        <v>50.1</v>
      </c>
      <c r="AC12" s="132">
        <v>51.347000000000001</v>
      </c>
      <c r="AD12" s="132">
        <v>47.9</v>
      </c>
      <c r="AE12" s="132">
        <v>48.7</v>
      </c>
      <c r="AF12" s="132">
        <v>52.1</v>
      </c>
      <c r="AG12" s="132">
        <v>50.2</v>
      </c>
      <c r="AH12" s="132">
        <v>47.463000000000001</v>
      </c>
      <c r="AI12" s="132">
        <v>49.511000000000003</v>
      </c>
      <c r="AJ12" s="132">
        <v>56.47</v>
      </c>
      <c r="AK12" s="132">
        <v>54.444000000000003</v>
      </c>
      <c r="AL12" s="132">
        <v>53.545999999999999</v>
      </c>
      <c r="AM12" s="132">
        <v>55.204999999999998</v>
      </c>
      <c r="AN12" s="132">
        <v>56.655999999999999</v>
      </c>
      <c r="AO12" s="132">
        <v>53.420999999999999</v>
      </c>
      <c r="AP12" s="132">
        <v>47.27</v>
      </c>
      <c r="AQ12" s="132">
        <v>48.645000000000003</v>
      </c>
      <c r="AR12" s="132">
        <v>52.067999999999998</v>
      </c>
      <c r="AS12" s="132">
        <v>50.966000000000001</v>
      </c>
      <c r="AT12" s="132">
        <v>45.396000000000001</v>
      </c>
      <c r="AU12" s="132">
        <v>51.838000000000001</v>
      </c>
      <c r="AV12" s="132">
        <v>55.447000000000003</v>
      </c>
      <c r="AW12" s="132">
        <v>58.654000000000003</v>
      </c>
      <c r="AX12" s="132">
        <v>54.545999999999999</v>
      </c>
      <c r="AY12" s="9">
        <f t="shared" ref="AY12:BJ12" si="15">AY158*AY162/1000</f>
        <v>54.994934200000003</v>
      </c>
      <c r="AZ12" s="9">
        <f t="shared" si="15"/>
        <v>58.8237223</v>
      </c>
      <c r="BA12" s="9">
        <f t="shared" si="15"/>
        <v>62.226028600000006</v>
      </c>
      <c r="BB12" s="9">
        <f t="shared" si="15"/>
        <v>57.867851399999999</v>
      </c>
      <c r="BC12" s="9">
        <f t="shared" si="15"/>
        <v>57.777677870520002</v>
      </c>
      <c r="BD12" s="9">
        <f t="shared" si="15"/>
        <v>61.800202648380001</v>
      </c>
      <c r="BE12" s="9">
        <f t="shared" si="15"/>
        <v>65.374665647160001</v>
      </c>
      <c r="BF12" s="9">
        <f t="shared" si="15"/>
        <v>60.795964680840001</v>
      </c>
      <c r="BG12" s="9">
        <f t="shared" si="15"/>
        <v>60.106118288701957</v>
      </c>
      <c r="BH12" s="9">
        <f t="shared" si="15"/>
        <v>64.290750815109718</v>
      </c>
      <c r="BI12" s="9">
        <f t="shared" si="15"/>
        <v>68.009264672740571</v>
      </c>
      <c r="BJ12" s="9">
        <f t="shared" si="15"/>
        <v>63.246042057477865</v>
      </c>
      <c r="BK12" s="1"/>
      <c r="BL12" s="91"/>
      <c r="BM12" s="23">
        <f t="shared" si="9"/>
        <v>6</v>
      </c>
    </row>
    <row r="13" spans="1:65" ht="12.75" customHeight="1" outlineLevel="1">
      <c r="A13" s="118"/>
      <c r="B13" s="46" t="s">
        <v>477</v>
      </c>
      <c r="C13" s="9">
        <v>0</v>
      </c>
      <c r="D13" s="9">
        <v>0</v>
      </c>
      <c r="E13" s="9">
        <v>0</v>
      </c>
      <c r="F13" s="9">
        <v>0</v>
      </c>
      <c r="G13" s="9">
        <f>SUM(INDEX($S13:$BK13,G$5):INDEX($S13:$BK13,G$6))</f>
        <v>0</v>
      </c>
      <c r="H13" s="9">
        <f>SUM(INDEX($S13:$BK13,H$5):INDEX($S13:$BK13,H$6))</f>
        <v>0</v>
      </c>
      <c r="I13" s="9">
        <f>SUM(INDEX($S13:$BK13,I$5):INDEX($S13:$BK13,I$6))</f>
        <v>0</v>
      </c>
      <c r="J13" s="9">
        <f>SUM(INDEX($S13:$BK13,J$5):INDEX($S13:$BK13,J$6))</f>
        <v>0</v>
      </c>
      <c r="K13" s="9">
        <f>SUM(INDEX($S13:$BK13,K$5):INDEX($S13:$BK13,K$6))</f>
        <v>0</v>
      </c>
      <c r="L13" s="9">
        <f>SUM(INDEX($S13:$BK13,L$5):INDEX($S13:$BK13,L$6))</f>
        <v>0</v>
      </c>
      <c r="M13" s="9">
        <f>SUM(INDEX($S13:$BK13,M$5):INDEX($S13:$BK13,M$6))</f>
        <v>0</v>
      </c>
      <c r="N13" s="9">
        <f>SUM(INDEX($S13:$BK13,N$5):INDEX($S13:$BK13,N$6))</f>
        <v>0</v>
      </c>
      <c r="O13" s="9">
        <f>SUM(INDEX($S13:$BK13,O$5):INDEX($S13:$BK13,O$6))</f>
        <v>125.625</v>
      </c>
      <c r="P13" s="9">
        <f>SUM(INDEX($S13:$BK13,P$5):INDEX($S13:$BK13,P$6))</f>
        <v>256.28756249999998</v>
      </c>
      <c r="Q13" s="9">
        <f>SUM(INDEX($S13:$BK13,Q$5):INDEX($S13:$BK13,Q$6))</f>
        <v>261.41331375000004</v>
      </c>
      <c r="R13" s="51"/>
      <c r="S13" s="132">
        <v>0</v>
      </c>
      <c r="T13" s="132">
        <v>0</v>
      </c>
      <c r="U13" s="132">
        <v>0</v>
      </c>
      <c r="V13" s="132">
        <v>0</v>
      </c>
      <c r="W13" s="132">
        <v>0</v>
      </c>
      <c r="X13" s="132">
        <v>0</v>
      </c>
      <c r="Y13" s="132">
        <v>0</v>
      </c>
      <c r="Z13" s="132">
        <v>0</v>
      </c>
      <c r="AA13" s="132">
        <v>0</v>
      </c>
      <c r="AB13" s="132">
        <v>0</v>
      </c>
      <c r="AC13" s="132">
        <v>0</v>
      </c>
      <c r="AD13" s="132">
        <v>0</v>
      </c>
      <c r="AE13" s="132">
        <v>0</v>
      </c>
      <c r="AF13" s="132">
        <v>0</v>
      </c>
      <c r="AG13" s="132">
        <v>0</v>
      </c>
      <c r="AH13" s="132">
        <v>0</v>
      </c>
      <c r="AI13" s="132">
        <v>0</v>
      </c>
      <c r="AJ13" s="132">
        <v>0</v>
      </c>
      <c r="AK13" s="132">
        <v>0</v>
      </c>
      <c r="AL13" s="132">
        <v>0</v>
      </c>
      <c r="AM13" s="132">
        <v>0</v>
      </c>
      <c r="AN13" s="132">
        <v>0</v>
      </c>
      <c r="AO13" s="132">
        <v>0</v>
      </c>
      <c r="AP13" s="132">
        <v>0</v>
      </c>
      <c r="AQ13" s="132">
        <v>0</v>
      </c>
      <c r="AR13" s="132">
        <v>0</v>
      </c>
      <c r="AS13" s="132">
        <v>0</v>
      </c>
      <c r="AT13" s="132">
        <v>0</v>
      </c>
      <c r="AU13" s="132">
        <v>0</v>
      </c>
      <c r="AV13" s="132">
        <v>0</v>
      </c>
      <c r="AW13" s="132">
        <v>0</v>
      </c>
      <c r="AX13" s="132">
        <v>0</v>
      </c>
      <c r="AY13" s="132">
        <v>0</v>
      </c>
      <c r="AZ13" s="132">
        <v>0</v>
      </c>
      <c r="BA13" s="304">
        <v>62.5</v>
      </c>
      <c r="BB13" s="132">
        <f t="shared" ref="BB13:BD13" si="16">+BA13*1.01</f>
        <v>63.125</v>
      </c>
      <c r="BC13" s="132">
        <f t="shared" si="16"/>
        <v>63.756250000000001</v>
      </c>
      <c r="BD13" s="132">
        <f t="shared" si="16"/>
        <v>64.393812499999996</v>
      </c>
      <c r="BE13" s="9">
        <f>BA13*(1+BE171)</f>
        <v>63.75</v>
      </c>
      <c r="BF13" s="9">
        <f t="shared" ref="BF13:BJ13" si="17">BB13*(1+BF171)</f>
        <v>64.387500000000003</v>
      </c>
      <c r="BG13" s="9">
        <f t="shared" si="17"/>
        <v>65.031374999999997</v>
      </c>
      <c r="BH13" s="9">
        <f t="shared" si="17"/>
        <v>65.681688749999992</v>
      </c>
      <c r="BI13" s="9">
        <f t="shared" si="17"/>
        <v>65.025000000000006</v>
      </c>
      <c r="BJ13" s="9">
        <f t="shared" si="17"/>
        <v>65.675250000000005</v>
      </c>
      <c r="BK13" s="1"/>
      <c r="BL13" s="91"/>
      <c r="BM13" s="23">
        <f t="shared" si="9"/>
        <v>7</v>
      </c>
    </row>
    <row r="14" spans="1:65" ht="12.75" customHeight="1" outlineLevel="1">
      <c r="A14" s="118"/>
      <c r="B14" s="212" t="s">
        <v>19</v>
      </c>
      <c r="C14" s="10">
        <f t="shared" ref="C14:Q14" si="18">SUM(C11:C13)</f>
        <v>209.96699999999998</v>
      </c>
      <c r="D14" s="10">
        <f t="shared" si="18"/>
        <v>217.77600000000001</v>
      </c>
      <c r="E14" s="10">
        <f t="shared" si="18"/>
        <v>233.583</v>
      </c>
      <c r="F14" s="10">
        <f t="shared" si="18"/>
        <v>191.62299999999999</v>
      </c>
      <c r="G14" s="10">
        <f t="shared" si="18"/>
        <v>244.95299999999997</v>
      </c>
      <c r="H14" s="10">
        <f t="shared" si="18"/>
        <v>295.59641599999998</v>
      </c>
      <c r="I14" s="10">
        <f t="shared" si="18"/>
        <v>441.87600000000003</v>
      </c>
      <c r="J14" s="10">
        <f t="shared" si="18"/>
        <v>545.97399999999993</v>
      </c>
      <c r="K14" s="10">
        <f t="shared" si="18"/>
        <v>876.74099999999999</v>
      </c>
      <c r="L14" s="10">
        <f t="shared" si="18"/>
        <v>642.98900000000003</v>
      </c>
      <c r="M14" s="10">
        <f t="shared" si="18"/>
        <v>559.625</v>
      </c>
      <c r="N14" s="10">
        <f t="shared" si="18"/>
        <v>1240.8509999999999</v>
      </c>
      <c r="O14" s="10">
        <f t="shared" si="18"/>
        <v>1909.6828989999999</v>
      </c>
      <c r="P14" s="10">
        <f t="shared" si="18"/>
        <v>2332.2080733469002</v>
      </c>
      <c r="Q14" s="10">
        <f t="shared" si="18"/>
        <v>2391.2074895840306</v>
      </c>
      <c r="R14" s="254"/>
      <c r="S14" s="10">
        <f t="shared" ref="S14:BJ14" si="19">SUM(S11:S13)</f>
        <v>55.310999999999993</v>
      </c>
      <c r="T14" s="10">
        <f t="shared" si="19"/>
        <v>64.135000000000005</v>
      </c>
      <c r="U14" s="10">
        <f t="shared" si="19"/>
        <v>66.036000000000001</v>
      </c>
      <c r="V14" s="10">
        <f t="shared" si="19"/>
        <v>59.470999999999989</v>
      </c>
      <c r="W14" s="10">
        <f t="shared" si="19"/>
        <v>64.432000000000002</v>
      </c>
      <c r="X14" s="10">
        <f t="shared" si="19"/>
        <v>74.080000000000013</v>
      </c>
      <c r="Y14" s="10">
        <f t="shared" si="19"/>
        <v>73.452999999999989</v>
      </c>
      <c r="Z14" s="10">
        <f t="shared" si="19"/>
        <v>83.631416000000002</v>
      </c>
      <c r="AA14" s="10">
        <f t="shared" si="19"/>
        <v>102.59100000000001</v>
      </c>
      <c r="AB14" s="10">
        <f t="shared" si="19"/>
        <v>104.6</v>
      </c>
      <c r="AC14" s="10">
        <f t="shared" si="19"/>
        <v>115.88499999999999</v>
      </c>
      <c r="AD14" s="10">
        <f t="shared" si="19"/>
        <v>118.80000000000001</v>
      </c>
      <c r="AE14" s="10">
        <f t="shared" si="19"/>
        <v>122.3</v>
      </c>
      <c r="AF14" s="10">
        <f t="shared" si="19"/>
        <v>129.80000000000001</v>
      </c>
      <c r="AG14" s="10">
        <f t="shared" si="19"/>
        <v>144.4</v>
      </c>
      <c r="AH14" s="10">
        <f t="shared" si="19"/>
        <v>149.47399999999999</v>
      </c>
      <c r="AI14" s="10">
        <f t="shared" si="19"/>
        <v>180.095</v>
      </c>
      <c r="AJ14" s="10">
        <f t="shared" si="19"/>
        <v>205.80099999999999</v>
      </c>
      <c r="AK14" s="10">
        <f t="shared" si="19"/>
        <v>241.25600000000003</v>
      </c>
      <c r="AL14" s="10">
        <f t="shared" si="19"/>
        <v>249.589</v>
      </c>
      <c r="AM14" s="10">
        <f t="shared" si="19"/>
        <v>203.95799999999997</v>
      </c>
      <c r="AN14" s="10">
        <f t="shared" si="19"/>
        <v>147.511</v>
      </c>
      <c r="AO14" s="10">
        <f t="shared" si="19"/>
        <v>155.40799999999999</v>
      </c>
      <c r="AP14" s="10">
        <f t="shared" si="19"/>
        <v>136.11199999999999</v>
      </c>
      <c r="AQ14" s="10">
        <f t="shared" si="19"/>
        <v>122.50999999999999</v>
      </c>
      <c r="AR14" s="10">
        <f t="shared" si="19"/>
        <v>116.994</v>
      </c>
      <c r="AS14" s="10">
        <f t="shared" si="19"/>
        <v>137.74799999999999</v>
      </c>
      <c r="AT14" s="10">
        <f t="shared" si="19"/>
        <v>182.37299999999999</v>
      </c>
      <c r="AU14" s="10">
        <f t="shared" si="19"/>
        <v>244.797</v>
      </c>
      <c r="AV14" s="10">
        <f t="shared" si="19"/>
        <v>290.46500000000003</v>
      </c>
      <c r="AW14" s="10">
        <f t="shared" si="19"/>
        <v>345.02300000000002</v>
      </c>
      <c r="AX14" s="10">
        <f t="shared" si="19"/>
        <v>360.56599999999997</v>
      </c>
      <c r="AY14" s="10">
        <f t="shared" si="19"/>
        <v>370.51793420000001</v>
      </c>
      <c r="AZ14" s="10">
        <f t="shared" si="19"/>
        <v>417.20008480000001</v>
      </c>
      <c r="BA14" s="10">
        <f t="shared" si="19"/>
        <v>548.24902859999997</v>
      </c>
      <c r="BB14" s="10">
        <f t="shared" si="19"/>
        <v>573.71585140000002</v>
      </c>
      <c r="BC14" s="10">
        <f t="shared" si="19"/>
        <v>577.54692787052011</v>
      </c>
      <c r="BD14" s="10">
        <f t="shared" si="19"/>
        <v>581.92701514837995</v>
      </c>
      <c r="BE14" s="10">
        <f t="shared" si="19"/>
        <v>587.17766564715998</v>
      </c>
      <c r="BF14" s="10">
        <f t="shared" si="19"/>
        <v>585.55646468084001</v>
      </c>
      <c r="BG14" s="10">
        <f t="shared" si="19"/>
        <v>591.04799328870195</v>
      </c>
      <c r="BH14" s="10">
        <f t="shared" si="19"/>
        <v>599.38293956510972</v>
      </c>
      <c r="BI14" s="10">
        <f t="shared" si="19"/>
        <v>602.44476467274058</v>
      </c>
      <c r="BJ14" s="10">
        <f t="shared" si="19"/>
        <v>598.33179205747786</v>
      </c>
      <c r="BK14" s="1"/>
      <c r="BL14" s="91"/>
      <c r="BM14" s="23">
        <f t="shared" si="9"/>
        <v>8</v>
      </c>
    </row>
    <row r="15" spans="1:65" ht="5.0999999999999996" customHeight="1" outlineLevel="1">
      <c r="A15" s="118"/>
      <c r="B15" s="130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5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91"/>
      <c r="BM15" s="23">
        <f t="shared" si="9"/>
        <v>9</v>
      </c>
    </row>
    <row r="16" spans="1:65" ht="12.75" customHeight="1" outlineLevel="1">
      <c r="A16" s="118"/>
      <c r="B16" s="212" t="s">
        <v>267</v>
      </c>
      <c r="C16" s="1"/>
      <c r="D16" s="1"/>
      <c r="E16" s="1"/>
      <c r="F16" s="1"/>
      <c r="G16" s="1"/>
      <c r="H16" s="69"/>
      <c r="I16" s="1"/>
      <c r="J16" s="1"/>
      <c r="K16" s="87"/>
      <c r="L16" s="87"/>
      <c r="M16" s="87"/>
      <c r="N16" s="87"/>
      <c r="O16" s="87"/>
      <c r="P16" s="87"/>
      <c r="Q16" s="87"/>
      <c r="R16" s="51"/>
      <c r="S16" s="1"/>
      <c r="T16" s="1"/>
      <c r="U16" s="1"/>
      <c r="V16" s="1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  <c r="AK16" s="49"/>
      <c r="AL16" s="49"/>
      <c r="AM16" s="49"/>
      <c r="AN16" s="49"/>
      <c r="AO16" s="49"/>
      <c r="AP16" s="49"/>
      <c r="AQ16" s="49"/>
      <c r="AR16" s="49"/>
      <c r="AS16" s="49"/>
      <c r="AT16" s="49"/>
      <c r="AU16" s="49"/>
      <c r="AV16" s="49"/>
      <c r="AW16" s="49"/>
      <c r="AX16" s="49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91"/>
      <c r="BM16" s="23">
        <f t="shared" si="9"/>
        <v>10</v>
      </c>
    </row>
    <row r="17" spans="1:71" ht="12.75" customHeight="1" outlineLevel="1">
      <c r="A17" s="118"/>
      <c r="B17" s="46" t="s">
        <v>17</v>
      </c>
      <c r="C17" s="9"/>
      <c r="D17" s="9"/>
      <c r="E17" s="9">
        <f>21.649+1.908</f>
        <v>23.557000000000002</v>
      </c>
      <c r="F17" s="9">
        <v>23.515000000000001</v>
      </c>
      <c r="G17" s="9">
        <v>43.118000000000002</v>
      </c>
      <c r="H17" s="9">
        <f>SUM(INDEX($S17:$AH17,H$5):INDEX($S17:$AH17,H$6))</f>
        <v>67.59</v>
      </c>
      <c r="I17" s="9">
        <f>SUM(INDEX($S17:$AH17,I$5):INDEX($S17:$AH17,I$6))</f>
        <v>140.101</v>
      </c>
      <c r="J17" s="9">
        <f>SUM(INDEX($S17:$AH17,J$5):INDEX($S17:$AH17,J$6))</f>
        <v>145.95000000000002</v>
      </c>
      <c r="K17" s="9">
        <f>SUM(INDEX($S17:$BK17,K$5):INDEX($S17:$BK17,K$6))</f>
        <v>256.137</v>
      </c>
      <c r="L17" s="9">
        <f>SUM(INDEX($S17:$BK17,L$5):INDEX($S17:$BK17,L$6))</f>
        <v>88.929000000000002</v>
      </c>
      <c r="M17" s="9">
        <f>SUM(INDEX($S17:$BK17,M$5):INDEX($S17:$BK17,M$6))</f>
        <v>11.445</v>
      </c>
      <c r="N17" s="9">
        <f>SUM(INDEX($S17:$BK17,N$5):INDEX($S17:$BK17,N$6))</f>
        <v>301.97299999999996</v>
      </c>
      <c r="O17" s="9">
        <f>SUM(INDEX($S17:$BK17,O$5):INDEX($S17:$BK17,O$6))</f>
        <v>502.83831250000003</v>
      </c>
      <c r="P17" s="9">
        <f>SUM(INDEX($S17:$BK17,P$5):INDEX($S17:$BK17,P$6))</f>
        <v>569.28</v>
      </c>
      <c r="Q17" s="9">
        <f>SUM(INDEX($S17:$BK17,Q$5):INDEX($S17:$BK17,Q$6))</f>
        <v>552.875</v>
      </c>
      <c r="R17" s="51"/>
      <c r="S17" s="9">
        <f>19.338-T17</f>
        <v>9.120000000000001</v>
      </c>
      <c r="T17" s="9">
        <v>10.218</v>
      </c>
      <c r="U17" s="9">
        <f>31.896-T17-S17</f>
        <v>12.558</v>
      </c>
      <c r="V17" s="9">
        <f>G17-SUM(S17:U17)</f>
        <v>11.222000000000001</v>
      </c>
      <c r="W17" s="132">
        <f>28.195-X17</f>
        <v>11.490000000000002</v>
      </c>
      <c r="X17" s="132">
        <v>16.704999999999998</v>
      </c>
      <c r="Y17" s="132">
        <v>15.632999999999999</v>
      </c>
      <c r="Z17" s="132">
        <f>67.59-Y17-X17-W17</f>
        <v>23.762000000000008</v>
      </c>
      <c r="AA17" s="132">
        <v>35.064999999999998</v>
      </c>
      <c r="AB17" s="132">
        <v>33.299999999999997</v>
      </c>
      <c r="AC17" s="132">
        <v>34.235999999999997</v>
      </c>
      <c r="AD17" s="132">
        <v>37.5</v>
      </c>
      <c r="AE17" s="132">
        <v>36.200000000000003</v>
      </c>
      <c r="AF17" s="132">
        <v>35.5</v>
      </c>
      <c r="AG17" s="132">
        <v>40.1</v>
      </c>
      <c r="AH17" s="132">
        <v>34.15</v>
      </c>
      <c r="AI17" s="132">
        <v>41.628</v>
      </c>
      <c r="AJ17" s="132">
        <v>57.06</v>
      </c>
      <c r="AK17" s="132">
        <v>77.03</v>
      </c>
      <c r="AL17" s="132">
        <v>80.418999999999997</v>
      </c>
      <c r="AM17" s="132">
        <v>52.195</v>
      </c>
      <c r="AN17" s="132">
        <v>13.257</v>
      </c>
      <c r="AO17" s="132">
        <v>16.521000000000001</v>
      </c>
      <c r="AP17" s="132">
        <v>6.9560000000000004</v>
      </c>
      <c r="AQ17" s="132">
        <v>0.85099999999999998</v>
      </c>
      <c r="AR17" s="132">
        <v>-5.9950000000000001</v>
      </c>
      <c r="AS17" s="132">
        <v>-1.897</v>
      </c>
      <c r="AT17" s="132">
        <v>18.486000000000001</v>
      </c>
      <c r="AU17" s="132">
        <v>38.841000000000001</v>
      </c>
      <c r="AV17" s="132">
        <v>71.221999999999994</v>
      </c>
      <c r="AW17" s="132">
        <v>96.087000000000003</v>
      </c>
      <c r="AX17" s="132">
        <v>95.822999999999993</v>
      </c>
      <c r="AY17" s="9">
        <f>+AY43*AY46/1000</f>
        <v>88.950000000000017</v>
      </c>
      <c r="AZ17" s="9">
        <f t="shared" ref="AZ17:BJ17" si="20">+AZ43*AZ46/1000</f>
        <v>115.21331250000001</v>
      </c>
      <c r="BA17" s="9">
        <f t="shared" si="20"/>
        <v>143.92500000000001</v>
      </c>
      <c r="BB17" s="9">
        <f t="shared" si="20"/>
        <v>154.75</v>
      </c>
      <c r="BC17" s="9">
        <f t="shared" si="20"/>
        <v>148.66500000000002</v>
      </c>
      <c r="BD17" s="9">
        <f t="shared" si="20"/>
        <v>143.13499999999999</v>
      </c>
      <c r="BE17" s="9">
        <f t="shared" si="20"/>
        <v>140.20499999999998</v>
      </c>
      <c r="BF17" s="9">
        <f t="shared" si="20"/>
        <v>137.27499999999998</v>
      </c>
      <c r="BG17" s="9">
        <f t="shared" si="20"/>
        <v>137.5625</v>
      </c>
      <c r="BH17" s="9">
        <f t="shared" si="20"/>
        <v>138.4375</v>
      </c>
      <c r="BI17" s="9">
        <f t="shared" si="20"/>
        <v>138.4375</v>
      </c>
      <c r="BJ17" s="9">
        <f t="shared" si="20"/>
        <v>138.4375</v>
      </c>
      <c r="BK17" s="1"/>
      <c r="BL17" s="91"/>
      <c r="BM17" s="23">
        <f t="shared" si="9"/>
        <v>11</v>
      </c>
    </row>
    <row r="18" spans="1:71" ht="12.75" customHeight="1" outlineLevel="1">
      <c r="A18" s="118"/>
      <c r="B18" s="46" t="s">
        <v>18</v>
      </c>
      <c r="C18" s="9"/>
      <c r="D18" s="9"/>
      <c r="E18" s="9">
        <f>41.666+0.022</f>
        <v>41.687999999999995</v>
      </c>
      <c r="F18" s="9">
        <v>37.418999999999997</v>
      </c>
      <c r="G18" s="9">
        <v>46.030999999999999</v>
      </c>
      <c r="H18" s="9">
        <f>SUM(INDEX($S18:$AH18,H$5):INDEX($S18:$AH18,H$6))</f>
        <v>53.013000000000005</v>
      </c>
      <c r="I18" s="9">
        <f>SUM(INDEX($S18:$AH18,I$5):INDEX($S18:$AH18,I$6))</f>
        <v>53.540999999999997</v>
      </c>
      <c r="J18" s="9">
        <f>SUM(INDEX($S18:$AH18,J$5):INDEX($S18:$AH18,J$6))</f>
        <v>56.832999999999998</v>
      </c>
      <c r="K18" s="9">
        <f>SUM(INDEX($S18:$BK18,K$5):INDEX($S18:$BK18,K$6))</f>
        <v>61.102000000000004</v>
      </c>
      <c r="L18" s="9">
        <f>SUM(INDEX($S18:$BK18,L$5):INDEX($S18:$BK18,L$6))</f>
        <v>70.137999999999991</v>
      </c>
      <c r="M18" s="9">
        <f>SUM(INDEX($S18:$BK18,M$5):INDEX($S18:$BK18,M$6))</f>
        <v>78.987000000000009</v>
      </c>
      <c r="N18" s="9">
        <f>SUM(INDEX($S18:$BK18,N$5):INDEX($S18:$BK18,N$6))</f>
        <v>88.780000000000015</v>
      </c>
      <c r="O18" s="9">
        <f>SUM(INDEX($S18:$BK18,O$5):INDEX($S18:$BK18,O$6))</f>
        <v>98.256386499999991</v>
      </c>
      <c r="P18" s="9">
        <f>SUM(INDEX($S18:$BK18,P$5):INDEX($S18:$BK18,P$6))</f>
        <v>106.02267634689998</v>
      </c>
      <c r="Q18" s="9">
        <f>SUM(INDEX($S18:$BK18,Q$5):INDEX($S18:$BK18,Q$6))</f>
        <v>111.73456629903006</v>
      </c>
      <c r="R18" s="90"/>
      <c r="S18" s="9">
        <f>23.708-T18</f>
        <v>9.4299999999999979</v>
      </c>
      <c r="T18" s="9">
        <v>14.278</v>
      </c>
      <c r="U18" s="9">
        <f>37.018-T18-S18</f>
        <v>13.310000000000004</v>
      </c>
      <c r="V18" s="9">
        <f>G18-SUM(S18:U18)</f>
        <v>9.0129999999999981</v>
      </c>
      <c r="W18" s="132">
        <f>24.765-X18</f>
        <v>9.9329999999999998</v>
      </c>
      <c r="X18" s="132">
        <v>14.832000000000001</v>
      </c>
      <c r="Y18" s="132">
        <v>13.73</v>
      </c>
      <c r="Z18" s="132">
        <f>53.013-Y18-X18-W18</f>
        <v>14.518000000000001</v>
      </c>
      <c r="AA18" s="132">
        <v>12.356999999999999</v>
      </c>
      <c r="AB18" s="132">
        <v>14</v>
      </c>
      <c r="AC18" s="132">
        <v>14.183999999999999</v>
      </c>
      <c r="AD18" s="132">
        <v>13</v>
      </c>
      <c r="AE18" s="132">
        <v>13.2</v>
      </c>
      <c r="AF18" s="132">
        <v>15.3</v>
      </c>
      <c r="AG18" s="132">
        <v>14.5</v>
      </c>
      <c r="AH18" s="132">
        <v>13.833</v>
      </c>
      <c r="AI18" s="132">
        <v>13.186999999999999</v>
      </c>
      <c r="AJ18" s="132">
        <v>17.614999999999998</v>
      </c>
      <c r="AK18" s="132">
        <v>16.844000000000001</v>
      </c>
      <c r="AL18" s="132">
        <v>13.456</v>
      </c>
      <c r="AM18" s="132">
        <v>15.456</v>
      </c>
      <c r="AN18" s="132">
        <v>19.530999999999999</v>
      </c>
      <c r="AO18" s="132">
        <v>19.966999999999999</v>
      </c>
      <c r="AP18" s="132">
        <v>15.183999999999999</v>
      </c>
      <c r="AQ18" s="132">
        <v>16.893000000000001</v>
      </c>
      <c r="AR18" s="132">
        <v>21.486000000000001</v>
      </c>
      <c r="AS18" s="132">
        <v>21.587</v>
      </c>
      <c r="AT18" s="132">
        <v>19.021000000000001</v>
      </c>
      <c r="AU18" s="132">
        <v>20.216000000000001</v>
      </c>
      <c r="AV18" s="132">
        <v>23.266999999999999</v>
      </c>
      <c r="AW18" s="132">
        <v>23.978000000000002</v>
      </c>
      <c r="AX18" s="132">
        <v>21.318999999999999</v>
      </c>
      <c r="AY18" s="9">
        <f t="shared" ref="AY18:BJ18" si="21">AY158*AY164/1000</f>
        <v>22.424274199999999</v>
      </c>
      <c r="AZ18" s="9">
        <f t="shared" si="21"/>
        <v>25.678322299999987</v>
      </c>
      <c r="BA18" s="9">
        <f t="shared" si="21"/>
        <v>26.509748599999998</v>
      </c>
      <c r="BB18" s="9">
        <f t="shared" si="21"/>
        <v>23.644041399999999</v>
      </c>
      <c r="BC18" s="9">
        <f t="shared" si="21"/>
        <v>24.229898070520001</v>
      </c>
      <c r="BD18" s="9">
        <f t="shared" si="21"/>
        <v>27.660440648379982</v>
      </c>
      <c r="BE18" s="9">
        <f t="shared" si="21"/>
        <v>28.586897247160003</v>
      </c>
      <c r="BF18" s="9">
        <f t="shared" si="21"/>
        <v>25.545440380839995</v>
      </c>
      <c r="BG18" s="9">
        <f t="shared" si="21"/>
        <v>25.551905094701958</v>
      </c>
      <c r="BH18" s="9">
        <f t="shared" si="21"/>
        <v>29.126795955109696</v>
      </c>
      <c r="BI18" s="9">
        <f t="shared" si="21"/>
        <v>30.117863220740556</v>
      </c>
      <c r="BJ18" s="9">
        <f t="shared" si="21"/>
        <v>26.938002028477854</v>
      </c>
      <c r="BK18" s="1"/>
      <c r="BL18" s="91"/>
      <c r="BM18" s="23">
        <f t="shared" si="9"/>
        <v>12</v>
      </c>
    </row>
    <row r="19" spans="1:71" ht="12.75" customHeight="1" outlineLevel="1">
      <c r="A19" s="118"/>
      <c r="B19" s="46" t="s">
        <v>477</v>
      </c>
      <c r="C19" s="9">
        <v>0</v>
      </c>
      <c r="D19" s="9">
        <v>0</v>
      </c>
      <c r="E19" s="9">
        <v>0</v>
      </c>
      <c r="F19" s="9">
        <v>0</v>
      </c>
      <c r="G19" s="9">
        <f>SUM(INDEX($S19:$BK19,G$5):INDEX($S19:$BK19,G$6))</f>
        <v>0</v>
      </c>
      <c r="H19" s="9">
        <f>SUM(INDEX($S19:$BK19,H$5):INDEX($S19:$BK19,H$6))</f>
        <v>0</v>
      </c>
      <c r="I19" s="9">
        <f>SUM(INDEX($S19:$BK19,I$5):INDEX($S19:$BK19,I$6))</f>
        <v>0</v>
      </c>
      <c r="J19" s="9">
        <f>SUM(INDEX($S19:$BK19,J$5):INDEX($S19:$BK19,J$6))</f>
        <v>0</v>
      </c>
      <c r="K19" s="9">
        <f>SUM(INDEX($S19:$BK19,K$5):INDEX($S19:$BK19,K$6))</f>
        <v>0</v>
      </c>
      <c r="L19" s="9">
        <f>SUM(INDEX($S19:$BK19,L$5):INDEX($S19:$BK19,L$6))</f>
        <v>0</v>
      </c>
      <c r="M19" s="9">
        <f>SUM(INDEX($S19:$BK19,M$5):INDEX($S19:$BK19,M$6))</f>
        <v>0</v>
      </c>
      <c r="N19" s="9">
        <f>SUM(INDEX($S19:$BK19,N$5):INDEX($S19:$BK19,N$6))</f>
        <v>0</v>
      </c>
      <c r="O19" s="9">
        <f>SUM(INDEX($S19:$BK19,O$5):INDEX($S19:$BK19,O$6))</f>
        <v>45.856250000000003</v>
      </c>
      <c r="P19" s="9">
        <f>SUM(INDEX($S19:$BK19,P$5):INDEX($S19:$BK19,P$6))</f>
        <v>97.389273750000001</v>
      </c>
      <c r="Q19" s="9">
        <f>SUM(INDEX($S19:$BK19,Q$5):INDEX($S19:$BK19,Q$6))</f>
        <v>99.337059225000004</v>
      </c>
      <c r="R19" s="90"/>
      <c r="S19" s="9">
        <v>0</v>
      </c>
      <c r="T19" s="9">
        <v>0</v>
      </c>
      <c r="U19" s="9">
        <v>0</v>
      </c>
      <c r="V19" s="9">
        <v>0</v>
      </c>
      <c r="W19" s="132">
        <v>0</v>
      </c>
      <c r="X19" s="132">
        <v>0</v>
      </c>
      <c r="Y19" s="132">
        <v>0</v>
      </c>
      <c r="Z19" s="132">
        <v>0</v>
      </c>
      <c r="AA19" s="132">
        <v>0</v>
      </c>
      <c r="AB19" s="132">
        <v>0</v>
      </c>
      <c r="AC19" s="132">
        <v>0</v>
      </c>
      <c r="AD19" s="132">
        <v>0</v>
      </c>
      <c r="AE19" s="132">
        <v>0</v>
      </c>
      <c r="AF19" s="132">
        <v>0</v>
      </c>
      <c r="AG19" s="132">
        <v>0</v>
      </c>
      <c r="AH19" s="132">
        <v>0</v>
      </c>
      <c r="AI19" s="132">
        <v>0</v>
      </c>
      <c r="AJ19" s="132">
        <v>0</v>
      </c>
      <c r="AK19" s="132">
        <v>0</v>
      </c>
      <c r="AL19" s="132">
        <v>0</v>
      </c>
      <c r="AM19" s="132">
        <v>0</v>
      </c>
      <c r="AN19" s="132">
        <v>0</v>
      </c>
      <c r="AO19" s="132">
        <v>0</v>
      </c>
      <c r="AP19" s="132">
        <v>0</v>
      </c>
      <c r="AQ19" s="132">
        <v>0</v>
      </c>
      <c r="AR19" s="132">
        <v>0</v>
      </c>
      <c r="AS19" s="132">
        <v>0</v>
      </c>
      <c r="AT19" s="132">
        <v>0</v>
      </c>
      <c r="AU19" s="132">
        <v>0</v>
      </c>
      <c r="AV19" s="132">
        <v>0</v>
      </c>
      <c r="AW19" s="132">
        <v>0</v>
      </c>
      <c r="AX19" s="132">
        <v>0</v>
      </c>
      <c r="AY19" s="9">
        <v>0</v>
      </c>
      <c r="AZ19" s="9">
        <v>0</v>
      </c>
      <c r="BA19" s="304">
        <v>22.5</v>
      </c>
      <c r="BB19" s="9">
        <f>+BB13*BB172</f>
        <v>23.356249999999999</v>
      </c>
      <c r="BC19" s="9">
        <f t="shared" ref="BC19:BJ19" si="22">+BC13*BC172</f>
        <v>24.227375000000002</v>
      </c>
      <c r="BD19" s="9">
        <f t="shared" si="22"/>
        <v>24.469648749999998</v>
      </c>
      <c r="BE19" s="9">
        <f t="shared" si="22"/>
        <v>24.225000000000001</v>
      </c>
      <c r="BF19" s="9">
        <f t="shared" si="22"/>
        <v>24.46725</v>
      </c>
      <c r="BG19" s="9">
        <f t="shared" si="22"/>
        <v>24.7119225</v>
      </c>
      <c r="BH19" s="9">
        <f t="shared" si="22"/>
        <v>24.959041724999999</v>
      </c>
      <c r="BI19" s="9">
        <f t="shared" si="22"/>
        <v>24.709500000000002</v>
      </c>
      <c r="BJ19" s="9">
        <f t="shared" si="22"/>
        <v>24.956595000000004</v>
      </c>
      <c r="BK19" s="1"/>
      <c r="BL19" s="91"/>
      <c r="BM19" s="23">
        <f t="shared" si="9"/>
        <v>13</v>
      </c>
    </row>
    <row r="20" spans="1:71" ht="12.75" customHeight="1" outlineLevel="1">
      <c r="A20" s="118"/>
      <c r="B20" s="6" t="s">
        <v>266</v>
      </c>
      <c r="C20" s="10">
        <f t="shared" ref="C20:Q20" si="23">SUM(C17:C19)</f>
        <v>0</v>
      </c>
      <c r="D20" s="10">
        <f t="shared" si="23"/>
        <v>0</v>
      </c>
      <c r="E20" s="10">
        <f t="shared" si="23"/>
        <v>65.245000000000005</v>
      </c>
      <c r="F20" s="10">
        <f t="shared" si="23"/>
        <v>60.933999999999997</v>
      </c>
      <c r="G20" s="10">
        <f t="shared" si="23"/>
        <v>89.149000000000001</v>
      </c>
      <c r="H20" s="10">
        <f t="shared" si="23"/>
        <v>120.60300000000001</v>
      </c>
      <c r="I20" s="10">
        <f t="shared" si="23"/>
        <v>193.642</v>
      </c>
      <c r="J20" s="10">
        <f t="shared" si="23"/>
        <v>202.78300000000002</v>
      </c>
      <c r="K20" s="10">
        <f t="shared" si="23"/>
        <v>317.23900000000003</v>
      </c>
      <c r="L20" s="10">
        <f t="shared" si="23"/>
        <v>159.06700000000001</v>
      </c>
      <c r="M20" s="10">
        <f t="shared" si="23"/>
        <v>90.432000000000016</v>
      </c>
      <c r="N20" s="10">
        <f t="shared" si="23"/>
        <v>390.75299999999999</v>
      </c>
      <c r="O20" s="10">
        <f t="shared" si="23"/>
        <v>646.95094900000004</v>
      </c>
      <c r="P20" s="10">
        <f t="shared" si="23"/>
        <v>772.69195009689997</v>
      </c>
      <c r="Q20" s="10">
        <f t="shared" si="23"/>
        <v>763.94662552403008</v>
      </c>
      <c r="R20" s="254"/>
      <c r="S20" s="10">
        <f t="shared" ref="S20:BJ20" si="24">SUM(S17:S19)</f>
        <v>18.549999999999997</v>
      </c>
      <c r="T20" s="10">
        <f t="shared" si="24"/>
        <v>24.496000000000002</v>
      </c>
      <c r="U20" s="10">
        <f t="shared" si="24"/>
        <v>25.868000000000002</v>
      </c>
      <c r="V20" s="10">
        <f t="shared" si="24"/>
        <v>20.234999999999999</v>
      </c>
      <c r="W20" s="10">
        <f t="shared" si="24"/>
        <v>21.423000000000002</v>
      </c>
      <c r="X20" s="10">
        <f t="shared" si="24"/>
        <v>31.536999999999999</v>
      </c>
      <c r="Y20" s="10">
        <f t="shared" si="24"/>
        <v>29.363</v>
      </c>
      <c r="Z20" s="10">
        <f t="shared" si="24"/>
        <v>38.280000000000008</v>
      </c>
      <c r="AA20" s="10">
        <f t="shared" si="24"/>
        <v>47.421999999999997</v>
      </c>
      <c r="AB20" s="10">
        <f t="shared" si="24"/>
        <v>47.3</v>
      </c>
      <c r="AC20" s="10">
        <f t="shared" si="24"/>
        <v>48.419999999999995</v>
      </c>
      <c r="AD20" s="10">
        <f t="shared" si="24"/>
        <v>50.5</v>
      </c>
      <c r="AE20" s="10">
        <f t="shared" si="24"/>
        <v>49.400000000000006</v>
      </c>
      <c r="AF20" s="10">
        <f t="shared" si="24"/>
        <v>50.8</v>
      </c>
      <c r="AG20" s="10">
        <f t="shared" si="24"/>
        <v>54.6</v>
      </c>
      <c r="AH20" s="10">
        <f t="shared" si="24"/>
        <v>47.982999999999997</v>
      </c>
      <c r="AI20" s="10">
        <f t="shared" si="24"/>
        <v>54.814999999999998</v>
      </c>
      <c r="AJ20" s="10">
        <f t="shared" si="24"/>
        <v>74.674999999999997</v>
      </c>
      <c r="AK20" s="10">
        <f t="shared" si="24"/>
        <v>93.873999999999995</v>
      </c>
      <c r="AL20" s="10">
        <f t="shared" si="24"/>
        <v>93.875</v>
      </c>
      <c r="AM20" s="10">
        <f t="shared" si="24"/>
        <v>67.650999999999996</v>
      </c>
      <c r="AN20" s="10">
        <f t="shared" si="24"/>
        <v>32.787999999999997</v>
      </c>
      <c r="AO20" s="10">
        <f t="shared" si="24"/>
        <v>36.488</v>
      </c>
      <c r="AP20" s="10">
        <f t="shared" si="24"/>
        <v>22.14</v>
      </c>
      <c r="AQ20" s="10">
        <f t="shared" si="24"/>
        <v>17.744</v>
      </c>
      <c r="AR20" s="10">
        <f t="shared" si="24"/>
        <v>15.491</v>
      </c>
      <c r="AS20" s="10">
        <f t="shared" si="24"/>
        <v>19.690000000000001</v>
      </c>
      <c r="AT20" s="10">
        <f t="shared" si="24"/>
        <v>37.507000000000005</v>
      </c>
      <c r="AU20" s="10">
        <f t="shared" si="24"/>
        <v>59.057000000000002</v>
      </c>
      <c r="AV20" s="10">
        <f t="shared" si="24"/>
        <v>94.48899999999999</v>
      </c>
      <c r="AW20" s="10">
        <f t="shared" si="24"/>
        <v>120.065</v>
      </c>
      <c r="AX20" s="10">
        <f t="shared" si="24"/>
        <v>117.142</v>
      </c>
      <c r="AY20" s="10">
        <f t="shared" si="24"/>
        <v>111.37427420000002</v>
      </c>
      <c r="AZ20" s="10">
        <f t="shared" si="24"/>
        <v>140.89163479999999</v>
      </c>
      <c r="BA20" s="10">
        <f t="shared" si="24"/>
        <v>192.93474860000001</v>
      </c>
      <c r="BB20" s="10">
        <f t="shared" si="24"/>
        <v>201.75029139999998</v>
      </c>
      <c r="BC20" s="10">
        <f t="shared" si="24"/>
        <v>197.12227307052001</v>
      </c>
      <c r="BD20" s="10">
        <f t="shared" si="24"/>
        <v>195.26508939837998</v>
      </c>
      <c r="BE20" s="10">
        <f t="shared" si="24"/>
        <v>193.01689724715999</v>
      </c>
      <c r="BF20" s="10">
        <f t="shared" si="24"/>
        <v>187.28769038083999</v>
      </c>
      <c r="BG20" s="10">
        <f t="shared" si="24"/>
        <v>187.82632759470198</v>
      </c>
      <c r="BH20" s="10">
        <f t="shared" si="24"/>
        <v>192.52333768010968</v>
      </c>
      <c r="BI20" s="10">
        <f t="shared" si="24"/>
        <v>193.26486322074055</v>
      </c>
      <c r="BJ20" s="10">
        <f t="shared" si="24"/>
        <v>190.33209702847785</v>
      </c>
      <c r="BK20" s="1"/>
      <c r="BL20" s="91"/>
      <c r="BM20" s="23">
        <f t="shared" si="9"/>
        <v>14</v>
      </c>
    </row>
    <row r="21" spans="1:71" ht="12.75" customHeight="1" outlineLevel="1">
      <c r="A21" s="118"/>
      <c r="B21" s="46" t="s">
        <v>439</v>
      </c>
      <c r="C21" s="9"/>
      <c r="D21" s="9"/>
      <c r="E21" s="9">
        <f>-1.545+1.662</f>
        <v>0.11699999999999999</v>
      </c>
      <c r="F21" s="9">
        <v>-5.5110000000000001</v>
      </c>
      <c r="G21" s="9">
        <v>-2.19</v>
      </c>
      <c r="H21" s="9">
        <f>SUM(INDEX($S21:$AH21,H$5):INDEX($S21:$AH21,H$6))</f>
        <v>-6.2030000000000003</v>
      </c>
      <c r="I21" s="9">
        <f>SUM(INDEX($S21:$AH21,I$5):INDEX($S21:$AH21,I$6))</f>
        <v>-8.2782999999999998</v>
      </c>
      <c r="J21" s="9">
        <f>SUM(INDEX($S21:$AH21,J$5):INDEX($S21:$AH21,J$6))</f>
        <v>-5.3350000000000009</v>
      </c>
      <c r="K21" s="9">
        <f>SUM(INDEX($S21:$BK21,K$5):INDEX($S21:$BK21,K$6))</f>
        <v>-7.0810000000000004</v>
      </c>
      <c r="L21" s="9">
        <f>SUM(INDEX($S21:$BK21,L$5):INDEX($S21:$BK21,L$6))</f>
        <v>-11.144</v>
      </c>
      <c r="M21" s="9">
        <f>SUM(INDEX($S21:$BK21,M$5):INDEX($S21:$BK21,M$6))</f>
        <v>-8.1020000000000003</v>
      </c>
      <c r="N21" s="9">
        <f>SUM(INDEX($S21:$BK21,N$5):INDEX($S21:$BK21,N$6))</f>
        <v>-11.917</v>
      </c>
      <c r="O21" s="9">
        <f>SUM(INDEX($S21:$BK21,O$5):INDEX($S21:$BK21,O$6))</f>
        <v>-15</v>
      </c>
      <c r="P21" s="9">
        <f>SUM(INDEX($S21:$BK21,P$5):INDEX($S21:$BK21,P$6))</f>
        <v>-12</v>
      </c>
      <c r="Q21" s="9">
        <f>SUM(INDEX($S21:$BK21,Q$5):INDEX($S21:$BK21,Q$6))</f>
        <v>-12</v>
      </c>
      <c r="R21" s="51"/>
      <c r="S21" s="132">
        <f>-1.386-T21</f>
        <v>-0.93799999999999994</v>
      </c>
      <c r="T21" s="132">
        <v>-0.44800000000000001</v>
      </c>
      <c r="U21" s="132">
        <f>U20-U18-U17</f>
        <v>0</v>
      </c>
      <c r="V21" s="132">
        <f>G21-SUM(S21:U21)</f>
        <v>-0.80400000000000005</v>
      </c>
      <c r="W21" s="132">
        <f>-0.352-X21</f>
        <v>-0.26600000000000001</v>
      </c>
      <c r="X21" s="132">
        <v>-8.5999999999999993E-2</v>
      </c>
      <c r="Y21" s="132">
        <v>-1.151</v>
      </c>
      <c r="Z21" s="132">
        <f>-6.203-Y21-X21-W21</f>
        <v>-4.7</v>
      </c>
      <c r="AA21" s="132">
        <v>-1.752</v>
      </c>
      <c r="AB21" s="132">
        <f>(AB14-AB20-58.92)</f>
        <v>-1.6200000000000045</v>
      </c>
      <c r="AC21" s="132">
        <v>-2.2410000000000001</v>
      </c>
      <c r="AD21" s="132">
        <v>-2.6652999999999949</v>
      </c>
      <c r="AE21" s="132">
        <v>-1.5010000000000048</v>
      </c>
      <c r="AF21" s="132">
        <v>-1.2689999999999912</v>
      </c>
      <c r="AG21" s="132">
        <v>-1.1810000000000045</v>
      </c>
      <c r="AH21" s="132">
        <v>-1.3839999999999999</v>
      </c>
      <c r="AI21" s="132">
        <v>-1.49</v>
      </c>
      <c r="AJ21" s="132">
        <v>-1.2909999999999999</v>
      </c>
      <c r="AK21" s="132">
        <v>-2.3149999999999999</v>
      </c>
      <c r="AL21" s="132">
        <v>-1.9850000000000001</v>
      </c>
      <c r="AM21" s="132">
        <v>-2.3460000000000001</v>
      </c>
      <c r="AN21" s="132">
        <v>-2.4769999999999999</v>
      </c>
      <c r="AO21" s="132">
        <v>-3.6789999999999998</v>
      </c>
      <c r="AP21" s="132">
        <v>-2.6419999999999999</v>
      </c>
      <c r="AQ21" s="132">
        <v>-1.9850000000000001</v>
      </c>
      <c r="AR21" s="132">
        <v>-1.204</v>
      </c>
      <c r="AS21" s="132">
        <v>-1.3680000000000001</v>
      </c>
      <c r="AT21" s="132">
        <v>-3.5449999999999999</v>
      </c>
      <c r="AU21" s="132">
        <v>-1.7350000000000001</v>
      </c>
      <c r="AV21" s="132">
        <v>-1.4350000000000001</v>
      </c>
      <c r="AW21" s="132">
        <v>-2.9649999999999999</v>
      </c>
      <c r="AX21" s="132">
        <f>-11.282+5.5</f>
        <v>-5.782</v>
      </c>
      <c r="AY21" s="132">
        <v>-6</v>
      </c>
      <c r="AZ21" s="132">
        <v>-3</v>
      </c>
      <c r="BA21" s="132">
        <f t="shared" ref="BA21:BJ21" si="25">AZ21</f>
        <v>-3</v>
      </c>
      <c r="BB21" s="132">
        <f t="shared" si="25"/>
        <v>-3</v>
      </c>
      <c r="BC21" s="132">
        <f t="shared" si="25"/>
        <v>-3</v>
      </c>
      <c r="BD21" s="132">
        <f t="shared" si="25"/>
        <v>-3</v>
      </c>
      <c r="BE21" s="132">
        <f t="shared" si="25"/>
        <v>-3</v>
      </c>
      <c r="BF21" s="132">
        <f t="shared" si="25"/>
        <v>-3</v>
      </c>
      <c r="BG21" s="132">
        <f t="shared" si="25"/>
        <v>-3</v>
      </c>
      <c r="BH21" s="132">
        <f t="shared" si="25"/>
        <v>-3</v>
      </c>
      <c r="BI21" s="132">
        <f t="shared" si="25"/>
        <v>-3</v>
      </c>
      <c r="BJ21" s="132">
        <f t="shared" si="25"/>
        <v>-3</v>
      </c>
      <c r="BK21" s="189"/>
      <c r="BL21" s="91"/>
      <c r="BM21" s="23">
        <f t="shared" si="9"/>
        <v>15</v>
      </c>
    </row>
    <row r="22" spans="1:71" ht="12.75" customHeight="1" outlineLevel="1">
      <c r="A22" s="118"/>
      <c r="B22" s="46" t="s">
        <v>3</v>
      </c>
      <c r="C22" s="9"/>
      <c r="D22" s="9"/>
      <c r="E22" s="9">
        <f>-19.6-2.122</f>
        <v>-21.722000000000001</v>
      </c>
      <c r="F22" s="9">
        <v>-11.922000000000001</v>
      </c>
      <c r="G22" s="9">
        <f>SUM(S22:V22)</f>
        <v>-21.663</v>
      </c>
      <c r="H22" s="9">
        <f>SUM(INDEX($S22:$AH22,H$5):INDEX($S22:$AH22,H$6))</f>
        <v>-23.347999999999999</v>
      </c>
      <c r="I22" s="9">
        <f>SUM(INDEX($S22:$AH22,I$5):INDEX($S22:$AH22,I$6))</f>
        <v>-41.298999999999999</v>
      </c>
      <c r="J22" s="9">
        <f>SUM(INDEX($S22:$AH22,J$5):INDEX($S22:$AH22,J$6))</f>
        <v>-46.621000000000002</v>
      </c>
      <c r="K22" s="9">
        <f>SUM(INDEX($S22:$BK22,K$5):INDEX($S22:$BK22,K$6))</f>
        <v>-87.671999999999997</v>
      </c>
      <c r="L22" s="9">
        <f>SUM(INDEX($S22:$BK22,L$5):INDEX($S22:$BK22,L$6))</f>
        <v>-58.899859999999997</v>
      </c>
      <c r="M22" s="9">
        <f>SUM(INDEX($S22:$BK22,M$5):INDEX($S22:$BK22,M$6))</f>
        <v>-59.189000000000007</v>
      </c>
      <c r="N22" s="9">
        <f>SUM(INDEX($S22:$BK22,N$5):INDEX($S22:$BK22,N$6))</f>
        <v>-107.592</v>
      </c>
      <c r="O22" s="9">
        <f>SUM(INDEX($S22:$BK22,O$5):INDEX($S22:$BK22,O$6))</f>
        <v>-144.08279999999999</v>
      </c>
      <c r="P22" s="9">
        <f>SUM(INDEX($S22:$BK22,P$5):INDEX($S22:$BK22,P$6))</f>
        <v>-172.12517546284801</v>
      </c>
      <c r="Q22" s="9">
        <f>SUM(INDEX($S22:$BK22,Q$5):INDEX($S22:$BK22,Q$6))</f>
        <v>-186.31382546662957</v>
      </c>
      <c r="R22" s="176"/>
      <c r="S22" s="132">
        <v>-4.6849999999999996</v>
      </c>
      <c r="T22" s="132">
        <v>-5.7110000000000012</v>
      </c>
      <c r="U22" s="132">
        <v>-4.972999999999999</v>
      </c>
      <c r="V22" s="132">
        <v>-6.2940000000000005</v>
      </c>
      <c r="W22" s="132">
        <v>-5.3239999999999998</v>
      </c>
      <c r="X22" s="132">
        <v>-5.952</v>
      </c>
      <c r="Y22" s="109">
        <v>-5.2160000000000002</v>
      </c>
      <c r="Z22" s="109">
        <v>-6.8559999999999999</v>
      </c>
      <c r="AA22" s="109">
        <v>-9.9039999999999999</v>
      </c>
      <c r="AB22" s="109">
        <v>-9.718</v>
      </c>
      <c r="AC22" s="109">
        <v>-10.135</v>
      </c>
      <c r="AD22" s="109">
        <v>-11.542</v>
      </c>
      <c r="AE22" s="109">
        <v>-12.404</v>
      </c>
      <c r="AF22" s="109">
        <v>-10.099</v>
      </c>
      <c r="AG22" s="109">
        <f>-12.83+1.1</f>
        <v>-11.73</v>
      </c>
      <c r="AH22" s="109">
        <f>-14.456+((2.051-0.5)/0.75)</f>
        <v>-12.388</v>
      </c>
      <c r="AI22" s="109">
        <f>-15.445</f>
        <v>-15.445</v>
      </c>
      <c r="AJ22" s="109">
        <f>-19.267</f>
        <v>-19.266999999999999</v>
      </c>
      <c r="AK22" s="109">
        <f>-18.6+1.3</f>
        <v>-17.3</v>
      </c>
      <c r="AL22" s="109">
        <f>-35.66</f>
        <v>-35.659999999999997</v>
      </c>
      <c r="AM22" s="109">
        <f>-26.961+7.6+1.4</f>
        <v>-17.960999999999999</v>
      </c>
      <c r="AN22" s="109">
        <f>-6.575+0.02*AN37-8.8</f>
        <v>-14.29786</v>
      </c>
      <c r="AO22" s="109">
        <f>-13.559+0.5</f>
        <v>-13.058999999999999</v>
      </c>
      <c r="AP22" s="109">
        <f>-15.682+2.1</f>
        <v>-13.582000000000001</v>
      </c>
      <c r="AQ22" s="109">
        <f>-15.503+2.2</f>
        <v>-13.303000000000001</v>
      </c>
      <c r="AR22" s="109">
        <f>-14.585+1.1</f>
        <v>-13.485000000000001</v>
      </c>
      <c r="AS22" s="109">
        <f>-18.472+(4.667-1)</f>
        <v>-14.805000000000001</v>
      </c>
      <c r="AT22" s="109">
        <f>-19.167+(2.571-1)</f>
        <v>-17.596</v>
      </c>
      <c r="AU22" s="133">
        <v>-22.341000000000001</v>
      </c>
      <c r="AV22" s="133">
        <v>-26.012</v>
      </c>
      <c r="AW22" s="133">
        <v>-29.602</v>
      </c>
      <c r="AX22" s="133">
        <v>-29.637</v>
      </c>
      <c r="AY22" s="132">
        <v>-31</v>
      </c>
      <c r="AZ22" s="132">
        <v>-32</v>
      </c>
      <c r="BA22" s="304">
        <f>+AZ22*1.02-(90-60)/4</f>
        <v>-40.14</v>
      </c>
      <c r="BB22" s="132">
        <f t="shared" ref="BB22:BJ22" si="26">+BA22*1.02</f>
        <v>-40.942799999999998</v>
      </c>
      <c r="BC22" s="132">
        <f t="shared" si="26"/>
        <v>-41.761656000000002</v>
      </c>
      <c r="BD22" s="132">
        <f t="shared" si="26"/>
        <v>-42.59688912</v>
      </c>
      <c r="BE22" s="132">
        <f t="shared" si="26"/>
        <v>-43.4488269024</v>
      </c>
      <c r="BF22" s="132">
        <f t="shared" si="26"/>
        <v>-44.317803440448003</v>
      </c>
      <c r="BG22" s="132">
        <f t="shared" si="26"/>
        <v>-45.204159509256961</v>
      </c>
      <c r="BH22" s="132">
        <f t="shared" si="26"/>
        <v>-46.108242699442101</v>
      </c>
      <c r="BI22" s="132">
        <f t="shared" si="26"/>
        <v>-47.030407553430948</v>
      </c>
      <c r="BJ22" s="132">
        <f t="shared" si="26"/>
        <v>-47.971015704499564</v>
      </c>
      <c r="BK22" s="189"/>
      <c r="BL22" s="91"/>
      <c r="BM22" s="23">
        <f t="shared" si="9"/>
        <v>16</v>
      </c>
    </row>
    <row r="23" spans="1:71" ht="12.75" customHeight="1" outlineLevel="1">
      <c r="A23" s="118"/>
      <c r="B23" s="6" t="s">
        <v>38</v>
      </c>
      <c r="C23" s="10"/>
      <c r="D23" s="10"/>
      <c r="E23" s="10">
        <f t="shared" ref="E23:Q23" si="27">SUM(E20:E22)</f>
        <v>43.640000000000008</v>
      </c>
      <c r="F23" s="10">
        <f t="shared" si="27"/>
        <v>43.500999999999991</v>
      </c>
      <c r="G23" s="10">
        <f t="shared" si="27"/>
        <v>65.296000000000006</v>
      </c>
      <c r="H23" s="10">
        <f t="shared" si="27"/>
        <v>91.052000000000007</v>
      </c>
      <c r="I23" s="10">
        <f t="shared" si="27"/>
        <v>144.06469999999999</v>
      </c>
      <c r="J23" s="10">
        <f t="shared" si="27"/>
        <v>150.827</v>
      </c>
      <c r="K23" s="10">
        <f t="shared" si="27"/>
        <v>222.48600000000002</v>
      </c>
      <c r="L23" s="10">
        <f t="shared" si="27"/>
        <v>89.023140000000012</v>
      </c>
      <c r="M23" s="10">
        <f t="shared" si="27"/>
        <v>23.141000000000005</v>
      </c>
      <c r="N23" s="10">
        <f t="shared" si="27"/>
        <v>271.24400000000003</v>
      </c>
      <c r="O23" s="10">
        <f t="shared" si="27"/>
        <v>487.86814900000002</v>
      </c>
      <c r="P23" s="10">
        <f t="shared" si="27"/>
        <v>588.56677463405197</v>
      </c>
      <c r="Q23" s="10">
        <f t="shared" si="27"/>
        <v>565.63280005740057</v>
      </c>
      <c r="R23" s="254"/>
      <c r="S23" s="10">
        <f t="shared" ref="S23:BJ23" si="28">SUM(S20:S22)</f>
        <v>12.927</v>
      </c>
      <c r="T23" s="10">
        <f t="shared" si="28"/>
        <v>18.337</v>
      </c>
      <c r="U23" s="10">
        <f t="shared" si="28"/>
        <v>20.895000000000003</v>
      </c>
      <c r="V23" s="10">
        <f t="shared" si="28"/>
        <v>13.137</v>
      </c>
      <c r="W23" s="10">
        <f t="shared" si="28"/>
        <v>15.833000000000004</v>
      </c>
      <c r="X23" s="10">
        <f t="shared" si="28"/>
        <v>25.499000000000002</v>
      </c>
      <c r="Y23" s="10">
        <f t="shared" si="28"/>
        <v>22.995999999999999</v>
      </c>
      <c r="Z23" s="10">
        <f t="shared" si="28"/>
        <v>26.724000000000004</v>
      </c>
      <c r="AA23" s="10">
        <f t="shared" si="28"/>
        <v>35.765999999999991</v>
      </c>
      <c r="AB23" s="10">
        <f t="shared" si="28"/>
        <v>35.961999999999989</v>
      </c>
      <c r="AC23" s="10">
        <f t="shared" si="28"/>
        <v>36.043999999999997</v>
      </c>
      <c r="AD23" s="10">
        <f t="shared" si="28"/>
        <v>36.292700000000004</v>
      </c>
      <c r="AE23" s="10">
        <f t="shared" si="28"/>
        <v>35.495000000000005</v>
      </c>
      <c r="AF23" s="10">
        <f t="shared" si="28"/>
        <v>39.432000000000002</v>
      </c>
      <c r="AG23" s="10">
        <f t="shared" si="28"/>
        <v>41.688999999999993</v>
      </c>
      <c r="AH23" s="10">
        <f t="shared" si="28"/>
        <v>34.210999999999999</v>
      </c>
      <c r="AI23" s="10">
        <f t="shared" si="28"/>
        <v>37.879999999999995</v>
      </c>
      <c r="AJ23" s="10">
        <f t="shared" si="28"/>
        <v>54.117000000000004</v>
      </c>
      <c r="AK23" s="10">
        <f t="shared" si="28"/>
        <v>74.259</v>
      </c>
      <c r="AL23" s="10">
        <f t="shared" si="28"/>
        <v>56.230000000000004</v>
      </c>
      <c r="AM23" s="10">
        <f t="shared" si="28"/>
        <v>47.343999999999994</v>
      </c>
      <c r="AN23" s="10">
        <f t="shared" si="28"/>
        <v>16.013139999999996</v>
      </c>
      <c r="AO23" s="10">
        <f t="shared" si="28"/>
        <v>19.75</v>
      </c>
      <c r="AP23" s="10">
        <f t="shared" si="28"/>
        <v>5.9160000000000004</v>
      </c>
      <c r="AQ23" s="10">
        <f t="shared" si="28"/>
        <v>2.4559999999999995</v>
      </c>
      <c r="AR23" s="10">
        <f t="shared" si="28"/>
        <v>0.80199999999999783</v>
      </c>
      <c r="AS23" s="10">
        <f t="shared" si="28"/>
        <v>3.5170000000000012</v>
      </c>
      <c r="AT23" s="10">
        <f t="shared" si="28"/>
        <v>16.366000000000003</v>
      </c>
      <c r="AU23" s="10">
        <f t="shared" si="28"/>
        <v>34.981000000000002</v>
      </c>
      <c r="AV23" s="10">
        <f t="shared" si="28"/>
        <v>67.041999999999987</v>
      </c>
      <c r="AW23" s="10">
        <f t="shared" si="28"/>
        <v>87.49799999999999</v>
      </c>
      <c r="AX23" s="10">
        <f t="shared" si="28"/>
        <v>81.722999999999999</v>
      </c>
      <c r="AY23" s="10">
        <f t="shared" si="28"/>
        <v>74.374274200000016</v>
      </c>
      <c r="AZ23" s="10">
        <f t="shared" si="28"/>
        <v>105.89163479999999</v>
      </c>
      <c r="BA23" s="10">
        <f t="shared" si="28"/>
        <v>149.79474859999999</v>
      </c>
      <c r="BB23" s="10">
        <f t="shared" si="28"/>
        <v>157.80749139999998</v>
      </c>
      <c r="BC23" s="10">
        <f t="shared" si="28"/>
        <v>152.36061707051999</v>
      </c>
      <c r="BD23" s="10">
        <f t="shared" si="28"/>
        <v>149.66820027837997</v>
      </c>
      <c r="BE23" s="10">
        <f t="shared" si="28"/>
        <v>146.56807034475997</v>
      </c>
      <c r="BF23" s="10">
        <f t="shared" si="28"/>
        <v>139.96988694039197</v>
      </c>
      <c r="BG23" s="10">
        <f t="shared" si="28"/>
        <v>139.62216808544503</v>
      </c>
      <c r="BH23" s="10">
        <f t="shared" si="28"/>
        <v>143.41509498066756</v>
      </c>
      <c r="BI23" s="10">
        <f t="shared" si="28"/>
        <v>143.23445566730959</v>
      </c>
      <c r="BJ23" s="10">
        <f t="shared" si="28"/>
        <v>139.36108132397828</v>
      </c>
      <c r="BK23" s="1"/>
      <c r="BL23" s="91"/>
      <c r="BM23" s="23">
        <f t="shared" si="9"/>
        <v>17</v>
      </c>
    </row>
    <row r="24" spans="1:71" ht="12.75" customHeight="1" outlineLevel="1">
      <c r="A24" s="118"/>
      <c r="B24" s="46" t="s">
        <v>4</v>
      </c>
      <c r="C24" s="9"/>
      <c r="D24" s="9"/>
      <c r="E24" s="9">
        <f>-15.264-1.803</f>
        <v>-17.067</v>
      </c>
      <c r="F24" s="9">
        <v>-17.887</v>
      </c>
      <c r="G24" s="9">
        <f>SUM(S24:V24)</f>
        <v>-19.305</v>
      </c>
      <c r="H24" s="9">
        <f>SUM(INDEX($S24:$AH24,H$5):INDEX($S24:$AH24,H$6))</f>
        <v>-20.998999999999999</v>
      </c>
      <c r="I24" s="9">
        <f>SUM(INDEX($S24:$AH24,I$5):INDEX($S24:$AH24,I$6))</f>
        <v>-25.099000000000004</v>
      </c>
      <c r="J24" s="9">
        <f>SUM(INDEX($S24:$AH24,J$5):INDEX($S24:$AH24,J$6))</f>
        <v>-36.417999999999999</v>
      </c>
      <c r="K24" s="9">
        <f>SUM(INDEX($S24:$BK24,K$5):INDEX($S24:$BK24,K$6))</f>
        <v>-45.019000000000005</v>
      </c>
      <c r="L24" s="9">
        <f>SUM(INDEX($S24:$BK24,L$5):INDEX($S24:$BK24,L$6))</f>
        <v>-57.374000000000002</v>
      </c>
      <c r="M24" s="9">
        <f>SUM(INDEX($S24:$BK24,M$5):INDEX($S24:$BK24,M$6))</f>
        <v>-68.134</v>
      </c>
      <c r="N24" s="9">
        <f>SUM(INDEX($S24:$BK24,N$5):INDEX($S24:$BK24,N$6))</f>
        <v>-97.233000000000004</v>
      </c>
      <c r="O24" s="9">
        <f>SUM(INDEX($S24:$BK24,O$5):INDEX($S24:$BK24,O$6))</f>
        <v>-147.50038926708487</v>
      </c>
      <c r="P24" s="9">
        <f>SUM(INDEX($S24:$BK24,P$5):INDEX($S24:$BK24,P$6))</f>
        <v>-162.29663155082721</v>
      </c>
      <c r="Q24" s="9">
        <f>SUM(INDEX($S24:$BK24,Q$5):INDEX($S24:$BK24,Q$6))</f>
        <v>-156.43574523661812</v>
      </c>
      <c r="R24" s="51"/>
      <c r="S24" s="132">
        <v>-4.72</v>
      </c>
      <c r="T24" s="132">
        <v>-4.7730000000000006</v>
      </c>
      <c r="U24" s="132">
        <v>-4.7720000000000002</v>
      </c>
      <c r="V24" s="132">
        <v>-5.0399999999999991</v>
      </c>
      <c r="W24" s="132">
        <v>-5.0890000000000004</v>
      </c>
      <c r="X24" s="132">
        <v>-5.2519999999999989</v>
      </c>
      <c r="Y24" s="109">
        <v>-5.2949999999999999</v>
      </c>
      <c r="Z24" s="109">
        <v>-5.3630000000000004</v>
      </c>
      <c r="AA24" s="133">
        <v>-5.9779999999999998</v>
      </c>
      <c r="AB24" s="133">
        <v>-5.9740000000000002</v>
      </c>
      <c r="AC24" s="133">
        <v>-5.968</v>
      </c>
      <c r="AD24" s="133">
        <v>-7.1790000000000003</v>
      </c>
      <c r="AE24" s="133">
        <v>-8.2780000000000005</v>
      </c>
      <c r="AF24" s="133">
        <v>-8.89</v>
      </c>
      <c r="AG24" s="133">
        <v>-9.1519999999999992</v>
      </c>
      <c r="AH24" s="133">
        <v>-10.098000000000001</v>
      </c>
      <c r="AI24" s="133">
        <v>-9.5890000000000004</v>
      </c>
      <c r="AJ24" s="133">
        <v>-10.340999999999999</v>
      </c>
      <c r="AK24" s="133">
        <v>-12.425000000000001</v>
      </c>
      <c r="AL24" s="133">
        <v>-12.664</v>
      </c>
      <c r="AM24" s="133">
        <v>-13.243</v>
      </c>
      <c r="AN24" s="133">
        <v>-13.695</v>
      </c>
      <c r="AO24" s="133">
        <v>-15.157999999999999</v>
      </c>
      <c r="AP24" s="133">
        <f>-16.378+1.1</f>
        <v>-15.278</v>
      </c>
      <c r="AQ24" s="133">
        <v>-14.555999999999999</v>
      </c>
      <c r="AR24" s="133">
        <v>-15.209</v>
      </c>
      <c r="AS24" s="133">
        <v>-17.175000000000001</v>
      </c>
      <c r="AT24" s="133">
        <v>-21.193999999999999</v>
      </c>
      <c r="AU24" s="133">
        <v>-21.599</v>
      </c>
      <c r="AV24" s="133">
        <v>-23.626000000000001</v>
      </c>
      <c r="AW24" s="133">
        <v>-24.672999999999998</v>
      </c>
      <c r="AX24" s="133">
        <v>-27.335000000000001</v>
      </c>
      <c r="AY24" s="60">
        <f t="shared" ref="AY24:BJ24" si="29">-AY194/4*AX260</f>
        <v>-33.028628750000003</v>
      </c>
      <c r="AZ24" s="60">
        <f t="shared" si="29"/>
        <v>-31.890504745312498</v>
      </c>
      <c r="BA24" s="60">
        <f t="shared" si="29"/>
        <v>-41.366226829486322</v>
      </c>
      <c r="BB24" s="60">
        <f t="shared" si="29"/>
        <v>-41.215028942286025</v>
      </c>
      <c r="BC24" s="60">
        <f t="shared" si="29"/>
        <v>-41.067422004906732</v>
      </c>
      <c r="BD24" s="60">
        <f t="shared" si="29"/>
        <v>-40.733320732290196</v>
      </c>
      <c r="BE24" s="60">
        <f t="shared" si="29"/>
        <v>-40.407154364898304</v>
      </c>
      <c r="BF24" s="60">
        <f t="shared" si="29"/>
        <v>-40.088734448731969</v>
      </c>
      <c r="BG24" s="60">
        <f t="shared" si="29"/>
        <v>-39.777877005574581</v>
      </c>
      <c r="BH24" s="60">
        <f t="shared" si="29"/>
        <v>-39.474402426692187</v>
      </c>
      <c r="BI24" s="60">
        <f t="shared" si="29"/>
        <v>-38.881260369058246</v>
      </c>
      <c r="BJ24" s="60">
        <f t="shared" si="29"/>
        <v>-38.302205435293111</v>
      </c>
      <c r="BK24" s="1"/>
      <c r="BL24" s="91"/>
      <c r="BM24" s="23">
        <f t="shared" si="9"/>
        <v>18</v>
      </c>
    </row>
    <row r="25" spans="1:71" ht="12.75" customHeight="1" outlineLevel="1">
      <c r="A25" s="118"/>
      <c r="B25" s="6" t="s">
        <v>6</v>
      </c>
      <c r="C25" s="10">
        <v>34.344000000000001</v>
      </c>
      <c r="D25" s="10">
        <v>13.568</v>
      </c>
      <c r="E25" s="10">
        <f t="shared" ref="E25:Q25" si="30">+E23+E24</f>
        <v>26.573000000000008</v>
      </c>
      <c r="F25" s="10">
        <f t="shared" si="30"/>
        <v>25.61399999999999</v>
      </c>
      <c r="G25" s="10">
        <f t="shared" si="30"/>
        <v>45.991000000000007</v>
      </c>
      <c r="H25" s="10">
        <f t="shared" si="30"/>
        <v>70.053000000000011</v>
      </c>
      <c r="I25" s="10">
        <f t="shared" si="30"/>
        <v>118.96569999999998</v>
      </c>
      <c r="J25" s="10">
        <f t="shared" si="30"/>
        <v>114.40899999999999</v>
      </c>
      <c r="K25" s="10">
        <f t="shared" si="30"/>
        <v>177.46700000000001</v>
      </c>
      <c r="L25" s="10">
        <f t="shared" si="30"/>
        <v>31.64914000000001</v>
      </c>
      <c r="M25" s="10">
        <f t="shared" si="30"/>
        <v>-44.992999999999995</v>
      </c>
      <c r="N25" s="10">
        <f t="shared" si="30"/>
        <v>174.01100000000002</v>
      </c>
      <c r="O25" s="10">
        <f t="shared" si="30"/>
        <v>340.36775973291515</v>
      </c>
      <c r="P25" s="10">
        <f t="shared" si="30"/>
        <v>426.27014308322475</v>
      </c>
      <c r="Q25" s="10">
        <f t="shared" si="30"/>
        <v>409.19705482078245</v>
      </c>
      <c r="R25" s="51"/>
      <c r="S25" s="10">
        <f t="shared" ref="S25:BJ25" si="31">+S23+S24</f>
        <v>8.2070000000000007</v>
      </c>
      <c r="T25" s="10">
        <f t="shared" si="31"/>
        <v>13.564</v>
      </c>
      <c r="U25" s="10">
        <f t="shared" si="31"/>
        <v>16.123000000000005</v>
      </c>
      <c r="V25" s="10">
        <f t="shared" si="31"/>
        <v>8.0970000000000013</v>
      </c>
      <c r="W25" s="10">
        <f t="shared" si="31"/>
        <v>10.744000000000003</v>
      </c>
      <c r="X25" s="10">
        <f t="shared" si="31"/>
        <v>20.247000000000003</v>
      </c>
      <c r="Y25" s="10">
        <f t="shared" si="31"/>
        <v>17.701000000000001</v>
      </c>
      <c r="Z25" s="10">
        <f t="shared" si="31"/>
        <v>21.361000000000004</v>
      </c>
      <c r="AA25" s="10">
        <f t="shared" si="31"/>
        <v>29.78799999999999</v>
      </c>
      <c r="AB25" s="10">
        <f t="shared" si="31"/>
        <v>29.987999999999989</v>
      </c>
      <c r="AC25" s="10">
        <f t="shared" si="31"/>
        <v>30.075999999999997</v>
      </c>
      <c r="AD25" s="10">
        <f t="shared" si="31"/>
        <v>29.113700000000001</v>
      </c>
      <c r="AE25" s="10">
        <f t="shared" si="31"/>
        <v>27.217000000000006</v>
      </c>
      <c r="AF25" s="10">
        <f t="shared" si="31"/>
        <v>30.542000000000002</v>
      </c>
      <c r="AG25" s="10">
        <f t="shared" si="31"/>
        <v>32.536999999999992</v>
      </c>
      <c r="AH25" s="10">
        <f t="shared" si="31"/>
        <v>24.113</v>
      </c>
      <c r="AI25" s="10">
        <f t="shared" si="31"/>
        <v>28.290999999999997</v>
      </c>
      <c r="AJ25" s="10">
        <f t="shared" si="31"/>
        <v>43.776000000000003</v>
      </c>
      <c r="AK25" s="10">
        <f t="shared" si="31"/>
        <v>61.834000000000003</v>
      </c>
      <c r="AL25" s="10">
        <f t="shared" si="31"/>
        <v>43.566000000000003</v>
      </c>
      <c r="AM25" s="10">
        <f t="shared" si="31"/>
        <v>34.100999999999992</v>
      </c>
      <c r="AN25" s="10">
        <f t="shared" si="31"/>
        <v>2.3181399999999961</v>
      </c>
      <c r="AO25" s="10">
        <f t="shared" si="31"/>
        <v>4.5920000000000005</v>
      </c>
      <c r="AP25" s="10">
        <f t="shared" si="31"/>
        <v>-9.3620000000000001</v>
      </c>
      <c r="AQ25" s="10">
        <f t="shared" si="31"/>
        <v>-12.1</v>
      </c>
      <c r="AR25" s="10">
        <f t="shared" si="31"/>
        <v>-14.407000000000002</v>
      </c>
      <c r="AS25" s="10">
        <f t="shared" si="31"/>
        <v>-13.657999999999999</v>
      </c>
      <c r="AT25" s="10">
        <f t="shared" si="31"/>
        <v>-4.8279999999999959</v>
      </c>
      <c r="AU25" s="10">
        <f t="shared" si="31"/>
        <v>13.382000000000001</v>
      </c>
      <c r="AV25" s="10">
        <f t="shared" si="31"/>
        <v>43.415999999999983</v>
      </c>
      <c r="AW25" s="10">
        <f t="shared" si="31"/>
        <v>62.824999999999989</v>
      </c>
      <c r="AX25" s="10">
        <f t="shared" si="31"/>
        <v>54.387999999999998</v>
      </c>
      <c r="AY25" s="10">
        <f t="shared" si="31"/>
        <v>41.345645450000013</v>
      </c>
      <c r="AZ25" s="10">
        <f t="shared" si="31"/>
        <v>74.001130054687493</v>
      </c>
      <c r="BA25" s="10">
        <f t="shared" si="31"/>
        <v>108.42852177051367</v>
      </c>
      <c r="BB25" s="10">
        <f t="shared" si="31"/>
        <v>116.59246245771395</v>
      </c>
      <c r="BC25" s="10">
        <f t="shared" si="31"/>
        <v>111.29319506561326</v>
      </c>
      <c r="BD25" s="10">
        <f t="shared" si="31"/>
        <v>108.93487954608977</v>
      </c>
      <c r="BE25" s="10">
        <f t="shared" si="31"/>
        <v>106.16091597986167</v>
      </c>
      <c r="BF25" s="10">
        <f t="shared" si="31"/>
        <v>99.881152491660004</v>
      </c>
      <c r="BG25" s="10">
        <f t="shared" si="31"/>
        <v>99.844291079870445</v>
      </c>
      <c r="BH25" s="10">
        <f t="shared" si="31"/>
        <v>103.94069255397537</v>
      </c>
      <c r="BI25" s="10">
        <f t="shared" si="31"/>
        <v>104.35319529825134</v>
      </c>
      <c r="BJ25" s="10">
        <f t="shared" si="31"/>
        <v>101.05887588868518</v>
      </c>
      <c r="BK25" s="1"/>
      <c r="BL25" s="91"/>
      <c r="BM25" s="23">
        <f t="shared" si="9"/>
        <v>19</v>
      </c>
    </row>
    <row r="26" spans="1:71" ht="12.75" customHeight="1" outlineLevel="1">
      <c r="A26" s="118"/>
      <c r="B26" s="46" t="s">
        <v>7</v>
      </c>
      <c r="C26" s="9"/>
      <c r="D26" s="9"/>
      <c r="E26" s="9">
        <f>-0.64-3.343</f>
        <v>-3.9830000000000001</v>
      </c>
      <c r="F26" s="9">
        <v>-28.228000000000002</v>
      </c>
      <c r="G26" s="9">
        <f>SUM(S26:V26)</f>
        <v>-22.989000000000001</v>
      </c>
      <c r="H26" s="9">
        <f>SUM(INDEX($S26:$AH26,H$5):INDEX($S26:$AH26,H$6))</f>
        <v>-18.407</v>
      </c>
      <c r="I26" s="9">
        <f>SUM(INDEX($S26:$AH26,I$5):INDEX($S26:$AH26,I$6))</f>
        <v>-13.795</v>
      </c>
      <c r="J26" s="9">
        <f>SUM(INDEX($S26:$AH26,J$5):INDEX($S26:$AH26,J$6))</f>
        <v>-15.341000000000001</v>
      </c>
      <c r="K26" s="9">
        <f>SUM(INDEX($S26:$BK26,K$5):INDEX($S26:$BK26,K$6))</f>
        <v>-18.202000000000002</v>
      </c>
      <c r="L26" s="9">
        <f>SUM(INDEX($S26:$BK26,L$5):INDEX($S26:$BK26,L$6))</f>
        <v>-26.604000000000003</v>
      </c>
      <c r="M26" s="9">
        <f>SUM(INDEX($S26:$BK26,M$5):INDEX($S26:$BK26,M$6))</f>
        <v>-27.972000000000001</v>
      </c>
      <c r="N26" s="9">
        <f>SUM(INDEX($S26:$BK26,N$5):INDEX($S26:$BK26,N$6))</f>
        <v>-31.341999999999999</v>
      </c>
      <c r="O26" s="9">
        <f>SUM(INDEX($S26:$BK26,O$5):INDEX($S26:$BK26,O$6))</f>
        <v>-54.39246</v>
      </c>
      <c r="P26" s="9">
        <f>SUM(INDEX($S26:$BK26,P$5):INDEX($S26:$BK26,P$6))</f>
        <v>-78.059445000000011</v>
      </c>
      <c r="Q26" s="9">
        <f>SUM(INDEX($S26:$BK26,Q$5):INDEX($S26:$BK26,Q$6))</f>
        <v>-77.954445000000007</v>
      </c>
      <c r="R26" s="51"/>
      <c r="S26" s="132">
        <v>-6.77</v>
      </c>
      <c r="T26" s="132">
        <v>-5.84</v>
      </c>
      <c r="U26" s="132">
        <v>-5.0730000000000004</v>
      </c>
      <c r="V26" s="132">
        <v>-5.3060000000000009</v>
      </c>
      <c r="W26" s="132">
        <v>-5.4489999999999998</v>
      </c>
      <c r="X26" s="132">
        <v>-5.2240000000000002</v>
      </c>
      <c r="Y26" s="132">
        <v>-3.8319999999999999</v>
      </c>
      <c r="Z26" s="132">
        <v>-3.9020000000000001</v>
      </c>
      <c r="AA26" s="132">
        <v>-3.7970000000000002</v>
      </c>
      <c r="AB26" s="132">
        <v>-3.4279999999999999</v>
      </c>
      <c r="AC26" s="132">
        <v>-3.3260000000000001</v>
      </c>
      <c r="AD26" s="132">
        <v>-3.2440000000000002</v>
      </c>
      <c r="AE26" s="132">
        <v>-3.5760000000000001</v>
      </c>
      <c r="AF26" s="132">
        <v>-3.5350000000000001</v>
      </c>
      <c r="AG26" s="132">
        <v>-4.1440000000000001</v>
      </c>
      <c r="AH26" s="132">
        <v>-4.0860000000000003</v>
      </c>
      <c r="AI26" s="132">
        <v>-3.8079999999999998</v>
      </c>
      <c r="AJ26" s="132">
        <v>-4.0129999999999999</v>
      </c>
      <c r="AK26" s="132">
        <v>-4.95</v>
      </c>
      <c r="AL26" s="132">
        <v>-5.431</v>
      </c>
      <c r="AM26" s="132">
        <v>-6.8360000000000003</v>
      </c>
      <c r="AN26" s="132">
        <v>-6.2489999999999997</v>
      </c>
      <c r="AO26" s="132">
        <v>-6.6840000000000002</v>
      </c>
      <c r="AP26" s="132">
        <v>-6.835</v>
      </c>
      <c r="AQ26" s="132">
        <v>-6.6429999999999998</v>
      </c>
      <c r="AR26" s="132">
        <v>-6.6470000000000002</v>
      </c>
      <c r="AS26" s="132">
        <v>-6.6840000000000002</v>
      </c>
      <c r="AT26" s="132">
        <v>-7.9980000000000002</v>
      </c>
      <c r="AU26" s="132">
        <v>-7.6459999999999999</v>
      </c>
      <c r="AV26" s="132">
        <v>-8.1050000000000004</v>
      </c>
      <c r="AW26" s="132">
        <v>-8.3469999999999995</v>
      </c>
      <c r="AX26" s="132">
        <v>-7.2439999999999998</v>
      </c>
      <c r="AY26" s="9">
        <f t="shared" ref="AY26:BJ26" si="32">-AY196/4*AX291</f>
        <v>-7.6685400000000001</v>
      </c>
      <c r="AZ26" s="9">
        <f t="shared" si="32"/>
        <v>-7.6548224999999981</v>
      </c>
      <c r="BA26" s="9">
        <f t="shared" si="32"/>
        <v>-19.537830000000003</v>
      </c>
      <c r="BB26" s="9">
        <f t="shared" si="32"/>
        <v>-19.531267500000002</v>
      </c>
      <c r="BC26" s="9">
        <f t="shared" si="32"/>
        <v>-19.524705000000001</v>
      </c>
      <c r="BD26" s="9">
        <f t="shared" si="32"/>
        <v>-19.518142500000003</v>
      </c>
      <c r="BE26" s="9">
        <f t="shared" si="32"/>
        <v>-19.511580000000002</v>
      </c>
      <c r="BF26" s="9">
        <f t="shared" si="32"/>
        <v>-19.505017500000001</v>
      </c>
      <c r="BG26" s="9">
        <f t="shared" si="32"/>
        <v>-19.498455000000003</v>
      </c>
      <c r="BH26" s="9">
        <f t="shared" si="32"/>
        <v>-19.491892500000002</v>
      </c>
      <c r="BI26" s="9">
        <f t="shared" si="32"/>
        <v>-19.485330000000001</v>
      </c>
      <c r="BJ26" s="9">
        <f t="shared" si="32"/>
        <v>-19.4787675</v>
      </c>
      <c r="BK26" s="1"/>
      <c r="BL26" s="91"/>
      <c r="BM26" s="23">
        <f t="shared" si="9"/>
        <v>20</v>
      </c>
    </row>
    <row r="27" spans="1:71" ht="12.75" customHeight="1" outlineLevel="1">
      <c r="A27" s="118"/>
      <c r="B27" s="46" t="s">
        <v>126</v>
      </c>
      <c r="C27" s="9"/>
      <c r="D27" s="9"/>
      <c r="E27" s="9">
        <f>1.326+0.145</f>
        <v>1.4710000000000001</v>
      </c>
      <c r="F27" s="9">
        <f>4.894</f>
        <v>4.8940000000000001</v>
      </c>
      <c r="G27" s="9">
        <f>SUM(S27:V27)</f>
        <v>0.95899999999999996</v>
      </c>
      <c r="H27" s="9">
        <f>SUM(INDEX($S27:$AH27,H$5):INDEX($S27:$AH27,H$6))</f>
        <v>1.0620000000000001</v>
      </c>
      <c r="I27" s="9">
        <f>SUM(INDEX($S27:$AH27,I$5):INDEX($S27:$AH27,I$6))</f>
        <v>0.91199999999999981</v>
      </c>
      <c r="J27" s="9">
        <f>SUM(INDEX($S27:$AH27,J$5):INDEX($S27:$AH27,J$6))</f>
        <v>2.1836099999999998</v>
      </c>
      <c r="K27" s="9">
        <f>SUM(INDEX($S27:$BK27,K$5):INDEX($S27:$BK27,K$6))</f>
        <v>0.75800000000000001</v>
      </c>
      <c r="L27" s="9">
        <f>SUM(INDEX($S27:$BK27,L$5):INDEX($S27:$BK27,L$6))</f>
        <v>4.9000000000000016E-2</v>
      </c>
      <c r="M27" s="9">
        <f>SUM(INDEX($S27:$BK27,M$5):INDEX($S27:$BK27,M$6))</f>
        <v>2.258</v>
      </c>
      <c r="N27" s="9">
        <f>SUM(INDEX($S27:$BK27,N$5):INDEX($S27:$BK27,N$6))</f>
        <v>5.657</v>
      </c>
      <c r="O27" s="9">
        <f>SUM(INDEX($S27:$BK27,O$5):INDEX($S27:$BK27,O$6))</f>
        <v>3</v>
      </c>
      <c r="P27" s="9">
        <f>SUM(INDEX($S27:$BK27,P$5):INDEX($S27:$BK27,P$6))</f>
        <v>3</v>
      </c>
      <c r="Q27" s="9">
        <f>SUM(INDEX($S27:$BK27,Q$5):INDEX($S27:$BK27,Q$6))</f>
        <v>3</v>
      </c>
      <c r="R27" s="51"/>
      <c r="S27" s="132">
        <v>0.183</v>
      </c>
      <c r="T27" s="132">
        <v>0.312</v>
      </c>
      <c r="U27" s="132">
        <v>0.35899999999999999</v>
      </c>
      <c r="V27" s="132">
        <v>0.105</v>
      </c>
      <c r="W27" s="132">
        <v>0.17399999999999999</v>
      </c>
      <c r="X27" s="132">
        <v>0.16300000000000001</v>
      </c>
      <c r="Y27" s="132">
        <v>0.19700000000000001</v>
      </c>
      <c r="Z27" s="132">
        <v>0.52800000000000002</v>
      </c>
      <c r="AA27" s="132">
        <v>0.154</v>
      </c>
      <c r="AB27" s="132">
        <v>0.17899999999999999</v>
      </c>
      <c r="AC27" s="132">
        <v>0.34799999999999998</v>
      </c>
      <c r="AD27" s="132">
        <f>3.931-3.7</f>
        <v>0.23099999999999987</v>
      </c>
      <c r="AE27" s="132">
        <f>0.122+0.03*AE37</f>
        <v>1.7086099999999997</v>
      </c>
      <c r="AF27" s="132">
        <v>6.3E-2</v>
      </c>
      <c r="AG27" s="132">
        <f>0.26</f>
        <v>0.26</v>
      </c>
      <c r="AH27" s="132">
        <v>0.152</v>
      </c>
      <c r="AI27" s="132">
        <v>3.7999999999999999E-2</v>
      </c>
      <c r="AJ27" s="132">
        <v>0.221</v>
      </c>
      <c r="AK27" s="132">
        <v>0.12</v>
      </c>
      <c r="AL27" s="132">
        <v>0.379</v>
      </c>
      <c r="AM27" s="132">
        <v>1.0999999999999999E-2</v>
      </c>
      <c r="AN27" s="132">
        <v>-0.18099999999999999</v>
      </c>
      <c r="AO27" s="132">
        <v>0.309</v>
      </c>
      <c r="AP27" s="132">
        <v>-0.09</v>
      </c>
      <c r="AQ27" s="132">
        <f>1.79-1.5</f>
        <v>0.29000000000000004</v>
      </c>
      <c r="AR27" s="132">
        <v>0.60799999999999998</v>
      </c>
      <c r="AS27" s="132">
        <v>0.49299999999999999</v>
      </c>
      <c r="AT27" s="132">
        <v>0.86699999999999999</v>
      </c>
      <c r="AU27" s="132">
        <f>-4.928+6.3</f>
        <v>1.3719999999999999</v>
      </c>
      <c r="AV27" s="132">
        <v>1.258</v>
      </c>
      <c r="AW27" s="132">
        <v>1.502</v>
      </c>
      <c r="AX27" s="132">
        <v>1.5249999999999999</v>
      </c>
      <c r="AY27" s="132">
        <v>0.75</v>
      </c>
      <c r="AZ27" s="132">
        <v>0.75</v>
      </c>
      <c r="BA27" s="132">
        <v>0.75</v>
      </c>
      <c r="BB27" s="132">
        <v>0.75</v>
      </c>
      <c r="BC27" s="132">
        <v>0.75</v>
      </c>
      <c r="BD27" s="132">
        <v>0.75</v>
      </c>
      <c r="BE27" s="132">
        <v>0.75</v>
      </c>
      <c r="BF27" s="132">
        <v>0.75</v>
      </c>
      <c r="BG27" s="132">
        <v>0.75</v>
      </c>
      <c r="BH27" s="132">
        <v>0.75</v>
      </c>
      <c r="BI27" s="132">
        <v>0.75</v>
      </c>
      <c r="BJ27" s="132">
        <v>0.75</v>
      </c>
      <c r="BK27" s="1"/>
      <c r="BL27" s="91"/>
      <c r="BM27" s="23">
        <f t="shared" si="9"/>
        <v>21</v>
      </c>
    </row>
    <row r="28" spans="1:71" s="47" customFormat="1" ht="12.75" customHeight="1" outlineLevel="1">
      <c r="A28" s="118"/>
      <c r="B28" s="6" t="s">
        <v>5</v>
      </c>
      <c r="C28" s="10">
        <v>12.37</v>
      </c>
      <c r="D28" s="10">
        <v>-11.496</v>
      </c>
      <c r="E28" s="10">
        <f t="shared" ref="E28:Q28" si="33">E25+E26+E27</f>
        <v>24.061000000000007</v>
      </c>
      <c r="F28" s="10">
        <f t="shared" si="33"/>
        <v>2.2799999999999887</v>
      </c>
      <c r="G28" s="10">
        <f t="shared" si="33"/>
        <v>23.961000000000006</v>
      </c>
      <c r="H28" s="10">
        <f t="shared" si="33"/>
        <v>52.708000000000013</v>
      </c>
      <c r="I28" s="10">
        <f t="shared" si="33"/>
        <v>106.08269999999999</v>
      </c>
      <c r="J28" s="10">
        <f t="shared" si="33"/>
        <v>101.25160999999999</v>
      </c>
      <c r="K28" s="10">
        <f t="shared" si="33"/>
        <v>160.02300000000002</v>
      </c>
      <c r="L28" s="10">
        <f t="shared" si="33"/>
        <v>5.0941400000000074</v>
      </c>
      <c r="M28" s="10">
        <f t="shared" si="33"/>
        <v>-70.707000000000008</v>
      </c>
      <c r="N28" s="10">
        <f t="shared" si="33"/>
        <v>148.32600000000005</v>
      </c>
      <c r="O28" s="10">
        <f t="shared" si="33"/>
        <v>288.97529973291512</v>
      </c>
      <c r="P28" s="10">
        <f t="shared" si="33"/>
        <v>351.21069808322477</v>
      </c>
      <c r="Q28" s="10">
        <f t="shared" si="33"/>
        <v>334.24260982078243</v>
      </c>
      <c r="R28" s="254"/>
      <c r="S28" s="10">
        <f t="shared" ref="S28:BJ28" si="34">S25+S26+S27</f>
        <v>1.6200000000000012</v>
      </c>
      <c r="T28" s="10">
        <f t="shared" si="34"/>
        <v>8.0359999999999996</v>
      </c>
      <c r="U28" s="10">
        <f t="shared" si="34"/>
        <v>11.409000000000004</v>
      </c>
      <c r="V28" s="10">
        <f t="shared" si="34"/>
        <v>2.8960000000000004</v>
      </c>
      <c r="W28" s="10">
        <f t="shared" si="34"/>
        <v>5.4690000000000039</v>
      </c>
      <c r="X28" s="10">
        <f t="shared" si="34"/>
        <v>15.186000000000003</v>
      </c>
      <c r="Y28" s="10">
        <f t="shared" si="34"/>
        <v>14.065999999999999</v>
      </c>
      <c r="Z28" s="10">
        <f t="shared" si="34"/>
        <v>17.987000000000002</v>
      </c>
      <c r="AA28" s="10">
        <f t="shared" si="34"/>
        <v>26.144999999999989</v>
      </c>
      <c r="AB28" s="10">
        <f t="shared" si="34"/>
        <v>26.738999999999987</v>
      </c>
      <c r="AC28" s="10">
        <f t="shared" si="34"/>
        <v>27.097999999999995</v>
      </c>
      <c r="AD28" s="10">
        <f t="shared" si="34"/>
        <v>26.100700000000003</v>
      </c>
      <c r="AE28" s="10">
        <f t="shared" si="34"/>
        <v>25.349610000000006</v>
      </c>
      <c r="AF28" s="10">
        <f t="shared" si="34"/>
        <v>27.07</v>
      </c>
      <c r="AG28" s="10">
        <f t="shared" si="34"/>
        <v>28.652999999999995</v>
      </c>
      <c r="AH28" s="10">
        <f t="shared" si="34"/>
        <v>20.179000000000002</v>
      </c>
      <c r="AI28" s="10">
        <f t="shared" si="34"/>
        <v>24.520999999999997</v>
      </c>
      <c r="AJ28" s="10">
        <f t="shared" si="34"/>
        <v>39.984000000000002</v>
      </c>
      <c r="AK28" s="10">
        <f t="shared" si="34"/>
        <v>57.003999999999998</v>
      </c>
      <c r="AL28" s="10">
        <f t="shared" si="34"/>
        <v>38.514000000000003</v>
      </c>
      <c r="AM28" s="10">
        <f t="shared" si="34"/>
        <v>27.275999999999993</v>
      </c>
      <c r="AN28" s="10">
        <f t="shared" si="34"/>
        <v>-4.1118600000000036</v>
      </c>
      <c r="AO28" s="10">
        <f t="shared" si="34"/>
        <v>-1.7829999999999997</v>
      </c>
      <c r="AP28" s="10">
        <f t="shared" si="34"/>
        <v>-16.286999999999999</v>
      </c>
      <c r="AQ28" s="10">
        <f t="shared" si="34"/>
        <v>-18.452999999999999</v>
      </c>
      <c r="AR28" s="10">
        <f t="shared" si="34"/>
        <v>-20.446000000000002</v>
      </c>
      <c r="AS28" s="10">
        <f t="shared" si="34"/>
        <v>-19.849</v>
      </c>
      <c r="AT28" s="10">
        <f t="shared" si="34"/>
        <v>-11.958999999999996</v>
      </c>
      <c r="AU28" s="10">
        <f t="shared" si="34"/>
        <v>7.1080000000000014</v>
      </c>
      <c r="AV28" s="10">
        <f t="shared" si="34"/>
        <v>36.568999999999981</v>
      </c>
      <c r="AW28" s="10">
        <f t="shared" si="34"/>
        <v>55.97999999999999</v>
      </c>
      <c r="AX28" s="10">
        <f t="shared" si="34"/>
        <v>48.668999999999997</v>
      </c>
      <c r="AY28" s="10">
        <f t="shared" si="34"/>
        <v>34.427105450000013</v>
      </c>
      <c r="AZ28" s="10">
        <f t="shared" si="34"/>
        <v>67.096307554687499</v>
      </c>
      <c r="BA28" s="10">
        <f t="shared" si="34"/>
        <v>89.640691770513669</v>
      </c>
      <c r="BB28" s="10">
        <f t="shared" si="34"/>
        <v>97.811194957713951</v>
      </c>
      <c r="BC28" s="10">
        <f t="shared" si="34"/>
        <v>92.518490065613264</v>
      </c>
      <c r="BD28" s="10">
        <f t="shared" si="34"/>
        <v>90.166737046089764</v>
      </c>
      <c r="BE28" s="10">
        <f t="shared" si="34"/>
        <v>87.399335979861661</v>
      </c>
      <c r="BF28" s="10">
        <f t="shared" si="34"/>
        <v>81.126134991659995</v>
      </c>
      <c r="BG28" s="10">
        <f t="shared" si="34"/>
        <v>81.095836079870438</v>
      </c>
      <c r="BH28" s="10">
        <f t="shared" si="34"/>
        <v>85.198800053975361</v>
      </c>
      <c r="BI28" s="10">
        <f t="shared" si="34"/>
        <v>85.617865298251331</v>
      </c>
      <c r="BJ28" s="10">
        <f t="shared" si="34"/>
        <v>82.330108388685176</v>
      </c>
      <c r="BK28" s="28"/>
      <c r="BL28" s="203"/>
      <c r="BM28" s="23">
        <f t="shared" si="9"/>
        <v>22</v>
      </c>
      <c r="BN28"/>
      <c r="BO28"/>
      <c r="BP28"/>
      <c r="BQ28"/>
      <c r="BR28"/>
      <c r="BS28"/>
    </row>
    <row r="29" spans="1:71" ht="12.75" customHeight="1" outlineLevel="1">
      <c r="A29" s="118"/>
      <c r="B29" s="46" t="s">
        <v>8</v>
      </c>
      <c r="C29" s="9"/>
      <c r="D29" s="9"/>
      <c r="E29" s="9">
        <f>-8.457+1.673</f>
        <v>-6.7840000000000007</v>
      </c>
      <c r="F29" s="9">
        <v>3.2589999999999999</v>
      </c>
      <c r="G29" s="9">
        <f>SUM(S29:V29)</f>
        <v>-2.3289999999999997</v>
      </c>
      <c r="H29" s="9">
        <f>SUM(INDEX($S29:$AH29,H$5):INDEX($S29:$AH29,H$6))</f>
        <v>-11.749899999999998</v>
      </c>
      <c r="I29" s="9">
        <f>SUM(INDEX($S29:$AH29,I$5):INDEX($S29:$AH29,I$6))</f>
        <v>-29.540999999999997</v>
      </c>
      <c r="J29" s="9">
        <f>SUM(INDEX($S29:$AH29,J$5):INDEX($S29:$AH29,J$6))</f>
        <v>-22.28687</v>
      </c>
      <c r="K29" s="9">
        <f>SUM(INDEX($S29:$BK29,K$5):INDEX($S29:$BK29,K$6))</f>
        <v>-37.183</v>
      </c>
      <c r="L29" s="9">
        <f>SUM(INDEX($S29:$BK29,L$5):INDEX($S29:$BK29,L$6))</f>
        <v>-0.14764899999999948</v>
      </c>
      <c r="M29" s="9">
        <f>SUM(INDEX($S29:$BK29,M$5):INDEX($S29:$BK29,M$6))</f>
        <v>33.95176</v>
      </c>
      <c r="N29" s="9">
        <f>SUM(INDEX($S29:$BK29,N$5):INDEX($S29:$BK29,N$6))</f>
        <v>-31.249999999999996</v>
      </c>
      <c r="O29" s="9">
        <f>SUM(INDEX($S29:$BK29,O$5):INDEX($S29:$BK29,O$6))</f>
        <v>-54.905306949253877</v>
      </c>
      <c r="P29" s="9">
        <f>SUM(INDEX($S29:$BK29,P$5):INDEX($S29:$BK29,P$6))</f>
        <v>-66.730032635812691</v>
      </c>
      <c r="Q29" s="9">
        <f>SUM(INDEX($S29:$BK29,Q$5):INDEX($S29:$BK29,Q$6))</f>
        <v>-63.506095865948637</v>
      </c>
      <c r="R29" s="51"/>
      <c r="S29" s="132">
        <v>-1.2749999999999999</v>
      </c>
      <c r="T29" s="132">
        <v>0.107</v>
      </c>
      <c r="U29" s="132">
        <v>-1.01</v>
      </c>
      <c r="V29" s="132">
        <v>-0.151</v>
      </c>
      <c r="W29" s="132">
        <f>-1.647-0.312*0.3</f>
        <v>-1.7405999999999999</v>
      </c>
      <c r="X29" s="132">
        <f>-2.474+(-6.043-0.313)*0.3</f>
        <v>-4.3807999999999998</v>
      </c>
      <c r="Y29" s="132">
        <f>-3.412-(0.312*0.3)</f>
        <v>-3.5055999999999998</v>
      </c>
      <c r="Z29" s="132">
        <f>0.371-(8.313*0.3)</f>
        <v>-2.1229</v>
      </c>
      <c r="AA29" s="132">
        <v>-7.032</v>
      </c>
      <c r="AB29" s="132">
        <v>-7.2869999999999999</v>
      </c>
      <c r="AC29" s="132">
        <v>-8.3019999999999996</v>
      </c>
      <c r="AD29" s="132">
        <f>-8.03+(3.7*0.3)</f>
        <v>-6.919999999999999</v>
      </c>
      <c r="AE29" s="132">
        <f>-6.486-0.01*AE37</f>
        <v>-7.0148700000000002</v>
      </c>
      <c r="AF29" s="132">
        <v>-6.8780000000000001</v>
      </c>
      <c r="AG29" s="132">
        <f>-5.739-1.6*0.3</f>
        <v>-6.2189999999999994</v>
      </c>
      <c r="AH29" s="132">
        <f>-1.658-((2.051-0.5)/0.75)*0.25</f>
        <v>-2.1749999999999998</v>
      </c>
      <c r="AI29" s="132">
        <f>-6.15</f>
        <v>-6.15</v>
      </c>
      <c r="AJ29" s="132">
        <f>-11.33</f>
        <v>-11.33</v>
      </c>
      <c r="AK29" s="132">
        <f>-14.427</f>
        <v>-14.427</v>
      </c>
      <c r="AL29" s="132">
        <f>-5.276</f>
        <v>-5.2759999999999998</v>
      </c>
      <c r="AM29" s="132">
        <f>-3.453-(7.6+1.4+AM31)</f>
        <v>-5.9400300000000001</v>
      </c>
      <c r="AN29" s="132">
        <f>6.342-(0.12*AN37)-(0.02*AN37*0.35)+8.8*0.35</f>
        <v>2.5821609999999997</v>
      </c>
      <c r="AO29" s="132">
        <f>4.695-0.09*AO37-(0.5)*0.35</f>
        <v>-0.3167799999999989</v>
      </c>
      <c r="AP29" s="132">
        <f>4.167-(2.1+1.1)*0.2</f>
        <v>3.5269999999999997</v>
      </c>
      <c r="AQ29" s="132">
        <f>8.493-0.7*0.45</f>
        <v>8.1780000000000008</v>
      </c>
      <c r="AR29" s="132">
        <f>9.555-1.1*0.45</f>
        <v>9.06</v>
      </c>
      <c r="AS29" s="132">
        <f>12.177-1.8+1*0.44</f>
        <v>10.816999999999998</v>
      </c>
      <c r="AT29" s="132">
        <f>6.588-1.571*0.44</f>
        <v>5.8967600000000004</v>
      </c>
      <c r="AU29" s="132">
        <f>1.714-6.3*0.35</f>
        <v>-0.49099999999999966</v>
      </c>
      <c r="AV29" s="132">
        <v>-7.11</v>
      </c>
      <c r="AW29" s="132">
        <v>-14.707000000000001</v>
      </c>
      <c r="AX29" s="132">
        <f>28.783-35.8-5.5*0.35</f>
        <v>-8.9419999999999966</v>
      </c>
      <c r="AY29" s="9">
        <f t="shared" ref="AY29:BJ29" si="35">-AY28*AY197</f>
        <v>-6.541150035500003</v>
      </c>
      <c r="AZ29" s="9">
        <f t="shared" si="35"/>
        <v>-12.748298435390625</v>
      </c>
      <c r="BA29" s="9">
        <f t="shared" si="35"/>
        <v>-17.031731436397596</v>
      </c>
      <c r="BB29" s="9">
        <f t="shared" si="35"/>
        <v>-18.584127041965651</v>
      </c>
      <c r="BC29" s="9">
        <f t="shared" si="35"/>
        <v>-17.578513112466521</v>
      </c>
      <c r="BD29" s="9">
        <f t="shared" si="35"/>
        <v>-17.131680038757054</v>
      </c>
      <c r="BE29" s="9">
        <f t="shared" si="35"/>
        <v>-16.605873836173714</v>
      </c>
      <c r="BF29" s="9">
        <f t="shared" si="35"/>
        <v>-15.413965648415399</v>
      </c>
      <c r="BG29" s="9">
        <f t="shared" si="35"/>
        <v>-15.408208855175383</v>
      </c>
      <c r="BH29" s="9">
        <f t="shared" si="35"/>
        <v>-16.187772010255319</v>
      </c>
      <c r="BI29" s="9">
        <f t="shared" si="35"/>
        <v>-16.267394406667751</v>
      </c>
      <c r="BJ29" s="9">
        <f t="shared" si="35"/>
        <v>-15.642720593850184</v>
      </c>
      <c r="BK29" s="1"/>
      <c r="BL29" s="91"/>
      <c r="BM29" s="23">
        <f t="shared" si="9"/>
        <v>23</v>
      </c>
    </row>
    <row r="30" spans="1:71" ht="12.75" customHeight="1" outlineLevel="1">
      <c r="A30" s="118"/>
      <c r="B30" s="6" t="s">
        <v>9</v>
      </c>
      <c r="C30" s="10"/>
      <c r="D30" s="10"/>
      <c r="E30" s="10">
        <f t="shared" ref="E30:Q30" si="36">E28+E29</f>
        <v>17.277000000000008</v>
      </c>
      <c r="F30" s="10">
        <f t="shared" si="36"/>
        <v>5.538999999999989</v>
      </c>
      <c r="G30" s="10">
        <f t="shared" si="36"/>
        <v>21.632000000000005</v>
      </c>
      <c r="H30" s="10">
        <f t="shared" si="36"/>
        <v>40.958100000000016</v>
      </c>
      <c r="I30" s="10">
        <f t="shared" si="36"/>
        <v>76.541699999999992</v>
      </c>
      <c r="J30" s="10">
        <f t="shared" si="36"/>
        <v>78.964739999999978</v>
      </c>
      <c r="K30" s="10">
        <f t="shared" si="36"/>
        <v>122.84000000000003</v>
      </c>
      <c r="L30" s="10">
        <f t="shared" si="36"/>
        <v>4.946491000000008</v>
      </c>
      <c r="M30" s="10">
        <f t="shared" si="36"/>
        <v>-36.755240000000008</v>
      </c>
      <c r="N30" s="10">
        <f t="shared" si="36"/>
        <v>117.07600000000005</v>
      </c>
      <c r="O30" s="10">
        <f t="shared" si="36"/>
        <v>234.06999278366123</v>
      </c>
      <c r="P30" s="10">
        <f t="shared" si="36"/>
        <v>284.48066544741209</v>
      </c>
      <c r="Q30" s="10">
        <f t="shared" si="36"/>
        <v>270.73651395483381</v>
      </c>
      <c r="R30" s="51"/>
      <c r="S30" s="10">
        <f t="shared" ref="S30:BJ30" si="37">S28+S29</f>
        <v>0.34500000000000131</v>
      </c>
      <c r="T30" s="10">
        <f t="shared" si="37"/>
        <v>8.1429999999999989</v>
      </c>
      <c r="U30" s="10">
        <f t="shared" si="37"/>
        <v>10.399000000000004</v>
      </c>
      <c r="V30" s="10">
        <f t="shared" si="37"/>
        <v>2.7450000000000006</v>
      </c>
      <c r="W30" s="10">
        <f t="shared" si="37"/>
        <v>3.7284000000000042</v>
      </c>
      <c r="X30" s="10">
        <f t="shared" si="37"/>
        <v>10.805200000000003</v>
      </c>
      <c r="Y30" s="10">
        <f t="shared" si="37"/>
        <v>10.5604</v>
      </c>
      <c r="Z30" s="10">
        <f t="shared" si="37"/>
        <v>15.864100000000002</v>
      </c>
      <c r="AA30" s="10">
        <f t="shared" si="37"/>
        <v>19.112999999999989</v>
      </c>
      <c r="AB30" s="10">
        <f t="shared" si="37"/>
        <v>19.451999999999988</v>
      </c>
      <c r="AC30" s="10">
        <f t="shared" si="37"/>
        <v>18.795999999999996</v>
      </c>
      <c r="AD30" s="10">
        <f t="shared" si="37"/>
        <v>19.180700000000005</v>
      </c>
      <c r="AE30" s="10">
        <f t="shared" si="37"/>
        <v>18.334740000000004</v>
      </c>
      <c r="AF30" s="10">
        <f t="shared" si="37"/>
        <v>20.192</v>
      </c>
      <c r="AG30" s="10">
        <f t="shared" si="37"/>
        <v>22.433999999999997</v>
      </c>
      <c r="AH30" s="10">
        <f t="shared" si="37"/>
        <v>18.004000000000001</v>
      </c>
      <c r="AI30" s="10">
        <f t="shared" si="37"/>
        <v>18.370999999999995</v>
      </c>
      <c r="AJ30" s="10">
        <f t="shared" si="37"/>
        <v>28.654000000000003</v>
      </c>
      <c r="AK30" s="10">
        <f t="shared" si="37"/>
        <v>42.576999999999998</v>
      </c>
      <c r="AL30" s="10">
        <f t="shared" si="37"/>
        <v>33.238</v>
      </c>
      <c r="AM30" s="10">
        <f t="shared" si="37"/>
        <v>21.335969999999993</v>
      </c>
      <c r="AN30" s="10">
        <f t="shared" si="37"/>
        <v>-1.5296990000000039</v>
      </c>
      <c r="AO30" s="10">
        <f t="shared" si="37"/>
        <v>-2.0997799999999986</v>
      </c>
      <c r="AP30" s="10">
        <f t="shared" si="37"/>
        <v>-12.76</v>
      </c>
      <c r="AQ30" s="10">
        <f t="shared" si="37"/>
        <v>-10.274999999999999</v>
      </c>
      <c r="AR30" s="10">
        <f t="shared" si="37"/>
        <v>-11.386000000000001</v>
      </c>
      <c r="AS30" s="10">
        <f t="shared" si="37"/>
        <v>-9.0320000000000018</v>
      </c>
      <c r="AT30" s="10">
        <f t="shared" si="37"/>
        <v>-6.0622399999999956</v>
      </c>
      <c r="AU30" s="10">
        <f t="shared" si="37"/>
        <v>6.6170000000000018</v>
      </c>
      <c r="AV30" s="10">
        <f t="shared" si="37"/>
        <v>29.458999999999982</v>
      </c>
      <c r="AW30" s="10">
        <f t="shared" si="37"/>
        <v>41.272999999999989</v>
      </c>
      <c r="AX30" s="10">
        <f t="shared" si="37"/>
        <v>39.727000000000004</v>
      </c>
      <c r="AY30" s="10">
        <f t="shared" si="37"/>
        <v>27.88595541450001</v>
      </c>
      <c r="AZ30" s="10">
        <f t="shared" si="37"/>
        <v>54.348009119296876</v>
      </c>
      <c r="BA30" s="10">
        <f t="shared" si="37"/>
        <v>72.608960334116077</v>
      </c>
      <c r="BB30" s="10">
        <f t="shared" si="37"/>
        <v>79.227067915748307</v>
      </c>
      <c r="BC30" s="10">
        <f t="shared" si="37"/>
        <v>74.93997695314674</v>
      </c>
      <c r="BD30" s="10">
        <f t="shared" si="37"/>
        <v>73.035057007332711</v>
      </c>
      <c r="BE30" s="10">
        <f t="shared" si="37"/>
        <v>70.793462143687947</v>
      </c>
      <c r="BF30" s="10">
        <f t="shared" si="37"/>
        <v>65.712169343244597</v>
      </c>
      <c r="BG30" s="10">
        <f t="shared" si="37"/>
        <v>65.687627224695049</v>
      </c>
      <c r="BH30" s="10">
        <f t="shared" si="37"/>
        <v>69.011028043720046</v>
      </c>
      <c r="BI30" s="10">
        <f t="shared" si="37"/>
        <v>69.350470891583583</v>
      </c>
      <c r="BJ30" s="10">
        <f t="shared" si="37"/>
        <v>66.68738779483499</v>
      </c>
      <c r="BK30" s="1"/>
      <c r="BL30" s="91"/>
      <c r="BM30" s="23">
        <f t="shared" si="9"/>
        <v>24</v>
      </c>
    </row>
    <row r="31" spans="1:71" ht="12.75" customHeight="1" outlineLevel="1">
      <c r="A31" s="118"/>
      <c r="B31" s="181" t="s">
        <v>10</v>
      </c>
      <c r="C31" s="9"/>
      <c r="D31" s="9"/>
      <c r="E31" s="9">
        <v>0</v>
      </c>
      <c r="F31" s="9">
        <v>0</v>
      </c>
      <c r="G31" s="9">
        <f>SUM(S31:V31)</f>
        <v>-10.195</v>
      </c>
      <c r="H31" s="9">
        <f>SUM(INDEX($S31:$AH31,H$5):INDEX($S31:$AH31,H$6))</f>
        <v>-12.611899999999999</v>
      </c>
      <c r="I31" s="9">
        <f>SUM(INDEX($S31:$AH31,I$5):INDEX($S31:$AH31,I$6))</f>
        <v>2.59</v>
      </c>
      <c r="J31" s="9">
        <f>SUM(INDEX($S31:$AH31,J$5):INDEX($S31:$AH31,J$6))</f>
        <v>-3.7147399999999999</v>
      </c>
      <c r="K31" s="9">
        <f>SUM(INDEX($S31:$BK31,K$5):INDEX($S31:$BK31,K$6))</f>
        <v>0</v>
      </c>
      <c r="L31" s="9">
        <f>SUM(INDEX($S31:$BK31,L$5):INDEX($S31:$BK31,L$6))</f>
        <v>6.9215089999999986</v>
      </c>
      <c r="M31" s="9">
        <f>SUM(INDEX($S31:$BK31,M$5):INDEX($S31:$BK31,M$6))</f>
        <v>-4.1767599999999998</v>
      </c>
      <c r="N31" s="9">
        <f>SUM(INDEX($S31:$BK31,N$5):INDEX($S31:$BK31,N$6))</f>
        <v>28.129999999999995</v>
      </c>
      <c r="O31" s="9">
        <f>SUM(INDEX($S31:$BK31,O$5):INDEX($S31:$BK31,O$6))</f>
        <v>0</v>
      </c>
      <c r="P31" s="9">
        <f>SUM(INDEX($S31:$BK31,P$5):INDEX($S31:$BK31,P$6))</f>
        <v>0</v>
      </c>
      <c r="Q31" s="9">
        <f>SUM(INDEX($S31:$BK31,Q$5):INDEX($S31:$BK31,Q$6))</f>
        <v>0</v>
      </c>
      <c r="R31" s="51"/>
      <c r="S31" s="132">
        <v>0</v>
      </c>
      <c r="T31" s="132">
        <v>-10.195</v>
      </c>
      <c r="U31" s="132">
        <v>0</v>
      </c>
      <c r="V31" s="132">
        <v>0</v>
      </c>
      <c r="W31" s="132">
        <f>-0.312*0.7</f>
        <v>-0.21839999999999998</v>
      </c>
      <c r="X31" s="132">
        <f>-6.043-0.313</f>
        <v>-6.3559999999999999</v>
      </c>
      <c r="Y31" s="132">
        <f>-0.312*0.7</f>
        <v>-0.21839999999999998</v>
      </c>
      <c r="Z31" s="132">
        <f>-8.313*0.7</f>
        <v>-5.8190999999999997</v>
      </c>
      <c r="AA31" s="132">
        <v>0</v>
      </c>
      <c r="AB31" s="132">
        <v>0</v>
      </c>
      <c r="AC31" s="132">
        <v>0</v>
      </c>
      <c r="AD31" s="132">
        <f>3.7*0.7</f>
        <v>2.59</v>
      </c>
      <c r="AE31" s="132">
        <f>-0.02*AE37</f>
        <v>-1.0577400000000001</v>
      </c>
      <c r="AF31" s="132">
        <v>0</v>
      </c>
      <c r="AG31" s="132">
        <f>-1.58*0.7</f>
        <v>-1.1059999999999999</v>
      </c>
      <c r="AH31" s="132">
        <f>-((2.051-0.5))</f>
        <v>-1.5510000000000002</v>
      </c>
      <c r="AI31" s="132">
        <v>0</v>
      </c>
      <c r="AJ31" s="132">
        <v>0</v>
      </c>
      <c r="AK31" s="132">
        <v>0</v>
      </c>
      <c r="AL31" s="132">
        <v>0</v>
      </c>
      <c r="AM31" s="132">
        <f>-0.13*AM37+(8.3-7.6)*0.7</f>
        <v>-6.5129699999999993</v>
      </c>
      <c r="AN31" s="132">
        <f>+(0.12*AN37)-(0.02*AN37*(1-0.35))+8.8*(1-0.35)</f>
        <v>11.482699</v>
      </c>
      <c r="AO31" s="132">
        <f>0.09*AO37-(0.5)*0.65</f>
        <v>4.511779999999999</v>
      </c>
      <c r="AP31" s="132">
        <f>-(2.1+1.1)*0.8</f>
        <v>-2.5600000000000005</v>
      </c>
      <c r="AQ31" s="132">
        <f>-0.7*0.55</f>
        <v>-0.38500000000000001</v>
      </c>
      <c r="AR31" s="132">
        <f>-1.1*0.55</f>
        <v>-0.60500000000000009</v>
      </c>
      <c r="AS31" s="132">
        <f>-4.667+1.8+1*0.56</f>
        <v>-2.3069999999999999</v>
      </c>
      <c r="AT31" s="132">
        <f>-1.571*0.56</f>
        <v>-0.8797600000000001</v>
      </c>
      <c r="AU31" s="132">
        <f>-6.3*0.65</f>
        <v>-4.0949999999999998</v>
      </c>
      <c r="AV31" s="132">
        <v>0</v>
      </c>
      <c r="AW31" s="132">
        <v>0</v>
      </c>
      <c r="AX31" s="132">
        <f>35.8-5.5*0.65</f>
        <v>32.224999999999994</v>
      </c>
      <c r="AY31" s="9">
        <v>0</v>
      </c>
      <c r="AZ31" s="9">
        <v>0</v>
      </c>
      <c r="BA31" s="9">
        <v>0</v>
      </c>
      <c r="BB31" s="9">
        <v>0</v>
      </c>
      <c r="BC31" s="9">
        <v>0</v>
      </c>
      <c r="BD31" s="9">
        <v>0</v>
      </c>
      <c r="BE31" s="9">
        <v>0</v>
      </c>
      <c r="BF31" s="9">
        <v>0</v>
      </c>
      <c r="BG31" s="9">
        <v>0</v>
      </c>
      <c r="BH31" s="9">
        <v>0</v>
      </c>
      <c r="BI31" s="9">
        <v>0</v>
      </c>
      <c r="BJ31" s="9">
        <v>0</v>
      </c>
      <c r="BK31" s="1"/>
      <c r="BL31" s="91"/>
      <c r="BM31" s="23">
        <f t="shared" si="9"/>
        <v>25</v>
      </c>
    </row>
    <row r="32" spans="1:71" s="47" customFormat="1" ht="12.75" customHeight="1" outlineLevel="1">
      <c r="A32" s="118"/>
      <c r="B32" s="6" t="s">
        <v>11</v>
      </c>
      <c r="C32" s="10">
        <v>38.673999999999999</v>
      </c>
      <c r="D32" s="10">
        <v>-7.4690000000000003</v>
      </c>
      <c r="E32" s="10">
        <f t="shared" ref="E32:Q32" si="38">E30+E31</f>
        <v>17.277000000000008</v>
      </c>
      <c r="F32" s="10">
        <f t="shared" si="38"/>
        <v>5.538999999999989</v>
      </c>
      <c r="G32" s="10">
        <f t="shared" si="38"/>
        <v>11.437000000000005</v>
      </c>
      <c r="H32" s="10">
        <f t="shared" si="38"/>
        <v>28.346200000000017</v>
      </c>
      <c r="I32" s="10">
        <f t="shared" si="38"/>
        <v>79.131699999999995</v>
      </c>
      <c r="J32" s="10">
        <f t="shared" si="38"/>
        <v>75.249999999999972</v>
      </c>
      <c r="K32" s="10">
        <f t="shared" si="38"/>
        <v>122.84000000000003</v>
      </c>
      <c r="L32" s="10">
        <f t="shared" si="38"/>
        <v>11.868000000000006</v>
      </c>
      <c r="M32" s="10">
        <f t="shared" si="38"/>
        <v>-40.932000000000009</v>
      </c>
      <c r="N32" s="10">
        <f t="shared" si="38"/>
        <v>145.20600000000005</v>
      </c>
      <c r="O32" s="10">
        <f t="shared" si="38"/>
        <v>234.06999278366123</v>
      </c>
      <c r="P32" s="10">
        <f t="shared" si="38"/>
        <v>284.48066544741209</v>
      </c>
      <c r="Q32" s="10">
        <f t="shared" si="38"/>
        <v>270.73651395483381</v>
      </c>
      <c r="R32" s="254"/>
      <c r="S32" s="10">
        <f t="shared" ref="S32:BJ32" si="39">S30+S31</f>
        <v>0.34500000000000131</v>
      </c>
      <c r="T32" s="10">
        <f t="shared" si="39"/>
        <v>-2.0520000000000014</v>
      </c>
      <c r="U32" s="10">
        <f t="shared" si="39"/>
        <v>10.399000000000004</v>
      </c>
      <c r="V32" s="10">
        <f t="shared" si="39"/>
        <v>2.7450000000000006</v>
      </c>
      <c r="W32" s="10">
        <f t="shared" si="39"/>
        <v>3.5100000000000042</v>
      </c>
      <c r="X32" s="10">
        <f t="shared" si="39"/>
        <v>4.4492000000000029</v>
      </c>
      <c r="Y32" s="10">
        <f t="shared" si="39"/>
        <v>10.341999999999999</v>
      </c>
      <c r="Z32" s="10">
        <f t="shared" si="39"/>
        <v>10.045000000000002</v>
      </c>
      <c r="AA32" s="10">
        <f t="shared" si="39"/>
        <v>19.112999999999989</v>
      </c>
      <c r="AB32" s="10">
        <f t="shared" si="39"/>
        <v>19.451999999999988</v>
      </c>
      <c r="AC32" s="10">
        <f t="shared" si="39"/>
        <v>18.795999999999996</v>
      </c>
      <c r="AD32" s="10">
        <f t="shared" si="39"/>
        <v>21.770700000000005</v>
      </c>
      <c r="AE32" s="10">
        <f t="shared" si="39"/>
        <v>17.277000000000005</v>
      </c>
      <c r="AF32" s="10">
        <f t="shared" si="39"/>
        <v>20.192</v>
      </c>
      <c r="AG32" s="10">
        <f t="shared" si="39"/>
        <v>21.327999999999996</v>
      </c>
      <c r="AH32" s="10">
        <f t="shared" si="39"/>
        <v>16.453000000000003</v>
      </c>
      <c r="AI32" s="10">
        <f t="shared" si="39"/>
        <v>18.370999999999995</v>
      </c>
      <c r="AJ32" s="10">
        <f t="shared" si="39"/>
        <v>28.654000000000003</v>
      </c>
      <c r="AK32" s="10">
        <f t="shared" si="39"/>
        <v>42.576999999999998</v>
      </c>
      <c r="AL32" s="10">
        <f t="shared" si="39"/>
        <v>33.238</v>
      </c>
      <c r="AM32" s="10">
        <f t="shared" si="39"/>
        <v>14.822999999999993</v>
      </c>
      <c r="AN32" s="10">
        <f t="shared" si="39"/>
        <v>9.9529999999999959</v>
      </c>
      <c r="AO32" s="10">
        <f t="shared" si="39"/>
        <v>2.4120000000000004</v>
      </c>
      <c r="AP32" s="10">
        <f t="shared" si="39"/>
        <v>-15.32</v>
      </c>
      <c r="AQ32" s="10">
        <f t="shared" si="39"/>
        <v>-10.659999999999998</v>
      </c>
      <c r="AR32" s="10">
        <f t="shared" si="39"/>
        <v>-11.991000000000001</v>
      </c>
      <c r="AS32" s="10">
        <f t="shared" si="39"/>
        <v>-11.339000000000002</v>
      </c>
      <c r="AT32" s="10">
        <f t="shared" si="39"/>
        <v>-6.9419999999999957</v>
      </c>
      <c r="AU32" s="10">
        <f t="shared" si="39"/>
        <v>2.522000000000002</v>
      </c>
      <c r="AV32" s="10">
        <f t="shared" si="39"/>
        <v>29.458999999999982</v>
      </c>
      <c r="AW32" s="10">
        <f t="shared" si="39"/>
        <v>41.272999999999989</v>
      </c>
      <c r="AX32" s="10">
        <f t="shared" si="39"/>
        <v>71.951999999999998</v>
      </c>
      <c r="AY32" s="10">
        <f t="shared" si="39"/>
        <v>27.88595541450001</v>
      </c>
      <c r="AZ32" s="10">
        <f t="shared" si="39"/>
        <v>54.348009119296876</v>
      </c>
      <c r="BA32" s="10">
        <f t="shared" si="39"/>
        <v>72.608960334116077</v>
      </c>
      <c r="BB32" s="10">
        <f t="shared" si="39"/>
        <v>79.227067915748307</v>
      </c>
      <c r="BC32" s="10">
        <f t="shared" si="39"/>
        <v>74.93997695314674</v>
      </c>
      <c r="BD32" s="10">
        <f t="shared" si="39"/>
        <v>73.035057007332711</v>
      </c>
      <c r="BE32" s="10">
        <f t="shared" si="39"/>
        <v>70.793462143687947</v>
      </c>
      <c r="BF32" s="10">
        <f t="shared" si="39"/>
        <v>65.712169343244597</v>
      </c>
      <c r="BG32" s="10">
        <f t="shared" si="39"/>
        <v>65.687627224695049</v>
      </c>
      <c r="BH32" s="10">
        <f t="shared" si="39"/>
        <v>69.011028043720046</v>
      </c>
      <c r="BI32" s="10">
        <f t="shared" si="39"/>
        <v>69.350470891583583</v>
      </c>
      <c r="BJ32" s="10">
        <f t="shared" si="39"/>
        <v>66.68738779483499</v>
      </c>
      <c r="BK32" s="28"/>
      <c r="BL32" s="203"/>
      <c r="BM32" s="23">
        <f t="shared" si="9"/>
        <v>26</v>
      </c>
      <c r="BN32"/>
      <c r="BO32"/>
      <c r="BP32"/>
      <c r="BQ32"/>
      <c r="BR32"/>
      <c r="BS32"/>
    </row>
    <row r="33" spans="1:71" ht="12.75" customHeight="1" outlineLevel="1">
      <c r="A33" s="118"/>
      <c r="B33" s="5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51"/>
      <c r="S33" s="1"/>
      <c r="T33" s="1"/>
      <c r="U33" s="1"/>
      <c r="V33" s="1"/>
      <c r="W33" s="1"/>
      <c r="X33" s="17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00"/>
      <c r="AM33" s="1"/>
      <c r="AN33" s="1"/>
      <c r="AO33" s="1"/>
      <c r="AP33" s="1"/>
      <c r="AQ33" s="1"/>
      <c r="AR33" s="1"/>
      <c r="AS33" s="1"/>
      <c r="AT33" s="1"/>
      <c r="AU33" s="87"/>
      <c r="AV33" s="87"/>
      <c r="AW33" s="87"/>
      <c r="AX33" s="87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91"/>
      <c r="BM33" s="23">
        <f t="shared" si="9"/>
        <v>27</v>
      </c>
    </row>
    <row r="34" spans="1:71" ht="12.75" customHeight="1" outlineLevel="1">
      <c r="A34" s="118"/>
      <c r="B34" s="6" t="s">
        <v>12</v>
      </c>
      <c r="C34" s="48"/>
      <c r="D34" s="48"/>
      <c r="E34" s="48"/>
      <c r="F34" s="85"/>
      <c r="G34" s="85">
        <f t="shared" ref="G34:Q34" si="40">G30/G37</f>
        <v>0.43264000000000008</v>
      </c>
      <c r="H34" s="85">
        <f t="shared" si="40"/>
        <v>0.81916200000000028</v>
      </c>
      <c r="I34" s="84">
        <f t="shared" si="40"/>
        <v>1.4593965393965393</v>
      </c>
      <c r="J34" s="84">
        <f t="shared" si="40"/>
        <v>1.4846484606345471</v>
      </c>
      <c r="K34" s="84">
        <f t="shared" si="40"/>
        <v>2.2638206119355542</v>
      </c>
      <c r="L34" s="84">
        <f t="shared" si="40"/>
        <v>9.2032876253558493E-2</v>
      </c>
      <c r="M34" s="84">
        <f t="shared" si="40"/>
        <v>-0.5652434814034496</v>
      </c>
      <c r="N34" s="84">
        <f t="shared" si="40"/>
        <v>1.4282220114488575</v>
      </c>
      <c r="O34" s="84">
        <f t="shared" si="40"/>
        <v>2.8746425977577492</v>
      </c>
      <c r="P34" s="84">
        <f t="shared" si="40"/>
        <v>3.4937423178776865</v>
      </c>
      <c r="Q34" s="84">
        <f t="shared" si="40"/>
        <v>3.3249486896097609</v>
      </c>
      <c r="R34" s="254"/>
      <c r="S34" s="85">
        <f t="shared" ref="S34:BJ34" si="41">S30/S37</f>
        <v>6.5217391304348074E-3</v>
      </c>
      <c r="T34" s="85">
        <f t="shared" si="41"/>
        <v>0.15393194706994326</v>
      </c>
      <c r="U34" s="85">
        <f t="shared" si="41"/>
        <v>0.19657844990548212</v>
      </c>
      <c r="V34" s="85">
        <f t="shared" si="41"/>
        <v>5.189035916824198E-2</v>
      </c>
      <c r="W34" s="85">
        <f t="shared" si="41"/>
        <v>7.0480151228733537E-2</v>
      </c>
      <c r="X34" s="85">
        <f t="shared" si="41"/>
        <v>0.20425708884688096</v>
      </c>
      <c r="Y34" s="85">
        <f t="shared" si="41"/>
        <v>0.19962948960302457</v>
      </c>
      <c r="Z34" s="84">
        <f t="shared" si="41"/>
        <v>0.29988846880907377</v>
      </c>
      <c r="AA34" s="84">
        <f t="shared" si="41"/>
        <v>0.36733870192769674</v>
      </c>
      <c r="AB34" s="84">
        <f t="shared" si="41"/>
        <v>0.37418486101760101</v>
      </c>
      <c r="AC34" s="84">
        <f t="shared" si="41"/>
        <v>0.35539924745211482</v>
      </c>
      <c r="AD34" s="84">
        <f t="shared" si="41"/>
        <v>0.36267324673360191</v>
      </c>
      <c r="AE34" s="84">
        <f t="shared" si="41"/>
        <v>0.346677633444892</v>
      </c>
      <c r="AF34" s="84">
        <f t="shared" si="41"/>
        <v>0.37935634170627691</v>
      </c>
      <c r="AG34" s="84">
        <f t="shared" si="41"/>
        <v>0.42147782140642903</v>
      </c>
      <c r="AH34" s="84">
        <f t="shared" si="41"/>
        <v>0.33709674399445788</v>
      </c>
      <c r="AI34" s="84">
        <f t="shared" si="41"/>
        <v>0.33986383986383978</v>
      </c>
      <c r="AJ34" s="84">
        <f t="shared" si="41"/>
        <v>0.52806752423427084</v>
      </c>
      <c r="AK34" s="84">
        <f t="shared" si="41"/>
        <v>0.78276616476384819</v>
      </c>
      <c r="AL34" s="84">
        <f t="shared" si="41"/>
        <v>0.61166728008833271</v>
      </c>
      <c r="AM34" s="84">
        <f t="shared" si="41"/>
        <v>0.39607139542222786</v>
      </c>
      <c r="AN34" s="84">
        <f t="shared" si="41"/>
        <v>-2.8402974543699128E-2</v>
      </c>
      <c r="AO34" s="84">
        <f t="shared" si="41"/>
        <v>-3.9071489710096365E-2</v>
      </c>
      <c r="AP34" s="84">
        <f t="shared" si="41"/>
        <v>-0.23841554559043346</v>
      </c>
      <c r="AQ34" s="84">
        <f t="shared" si="41"/>
        <v>-0.18863594639250961</v>
      </c>
      <c r="AR34" s="84">
        <f t="shared" si="41"/>
        <v>-0.17954176324960186</v>
      </c>
      <c r="AS34" s="84">
        <f t="shared" si="41"/>
        <v>-0.13546103545503632</v>
      </c>
      <c r="AT34" s="84">
        <f t="shared" si="41"/>
        <v>-8.0253114285335991E-2</v>
      </c>
      <c r="AU34" s="84">
        <f t="shared" si="41"/>
        <v>8.0455717134380642E-2</v>
      </c>
      <c r="AV34" s="84">
        <f t="shared" si="41"/>
        <v>0.35949722374763543</v>
      </c>
      <c r="AW34" s="84">
        <f t="shared" si="41"/>
        <v>0.50466478363474054</v>
      </c>
      <c r="AX34" s="84">
        <f t="shared" si="41"/>
        <v>0.48494281075670465</v>
      </c>
      <c r="AY34" s="84">
        <f t="shared" si="41"/>
        <v>0.34247087531542247</v>
      </c>
      <c r="AZ34" s="84">
        <f t="shared" si="41"/>
        <v>0.66745463722064424</v>
      </c>
      <c r="BA34" s="84">
        <f t="shared" si="41"/>
        <v>0.89171964280046079</v>
      </c>
      <c r="BB34" s="84">
        <f t="shared" si="41"/>
        <v>0.97299744242122232</v>
      </c>
      <c r="BC34" s="84">
        <f t="shared" si="41"/>
        <v>0.92034714686220531</v>
      </c>
      <c r="BD34" s="84">
        <f t="shared" si="41"/>
        <v>0.89695258886511708</v>
      </c>
      <c r="BE34" s="84">
        <f t="shared" si="41"/>
        <v>0.8694232844663945</v>
      </c>
      <c r="BF34" s="84">
        <f t="shared" si="41"/>
        <v>0.80701929768396818</v>
      </c>
      <c r="BG34" s="84">
        <f t="shared" si="41"/>
        <v>0.80671789288370843</v>
      </c>
      <c r="BH34" s="84">
        <f t="shared" si="41"/>
        <v>0.84753299032604545</v>
      </c>
      <c r="BI34" s="84">
        <f t="shared" si="41"/>
        <v>0.85170173001953786</v>
      </c>
      <c r="BJ34" s="84">
        <f t="shared" si="41"/>
        <v>0.81899607638046745</v>
      </c>
      <c r="BK34" s="28"/>
      <c r="BL34" s="91"/>
      <c r="BM34" s="23">
        <f t="shared" si="9"/>
        <v>28</v>
      </c>
    </row>
    <row r="35" spans="1:71" ht="12.75" customHeight="1" outlineLevel="1">
      <c r="A35" s="118"/>
      <c r="B35" s="7" t="s">
        <v>13</v>
      </c>
      <c r="C35" s="9"/>
      <c r="D35" s="9"/>
      <c r="E35" s="9"/>
      <c r="F35" s="64"/>
      <c r="G35" s="64">
        <f t="shared" ref="G35:Q35" si="42">G32/G37</f>
        <v>0.22874000000000008</v>
      </c>
      <c r="H35" s="64">
        <f t="shared" si="42"/>
        <v>0.56692400000000032</v>
      </c>
      <c r="I35" s="21">
        <f t="shared" si="42"/>
        <v>1.5087792554459221</v>
      </c>
      <c r="J35" s="21">
        <f t="shared" si="42"/>
        <v>1.4148061104582839</v>
      </c>
      <c r="K35" s="21">
        <f t="shared" si="42"/>
        <v>2.2638206119355542</v>
      </c>
      <c r="L35" s="21">
        <f t="shared" si="42"/>
        <v>0.22081232440880433</v>
      </c>
      <c r="M35" s="21">
        <f t="shared" si="42"/>
        <v>-0.62947612859570501</v>
      </c>
      <c r="N35" s="21">
        <f t="shared" si="42"/>
        <v>1.771382737661372</v>
      </c>
      <c r="O35" s="21">
        <f t="shared" si="42"/>
        <v>2.8746425977577492</v>
      </c>
      <c r="P35" s="21">
        <f t="shared" si="42"/>
        <v>3.4937423178776865</v>
      </c>
      <c r="Q35" s="21">
        <f t="shared" si="42"/>
        <v>3.3249486896097609</v>
      </c>
      <c r="R35" s="51"/>
      <c r="S35" s="64">
        <f t="shared" ref="S35:BJ35" si="43">S32/S37</f>
        <v>6.5217391304348074E-3</v>
      </c>
      <c r="T35" s="64">
        <f t="shared" si="43"/>
        <v>-3.879017013232517E-2</v>
      </c>
      <c r="U35" s="64">
        <f t="shared" si="43"/>
        <v>0.19657844990548212</v>
      </c>
      <c r="V35" s="64">
        <f t="shared" si="43"/>
        <v>5.189035916824198E-2</v>
      </c>
      <c r="W35" s="64">
        <f t="shared" si="43"/>
        <v>6.635160680529309E-2</v>
      </c>
      <c r="X35" s="64">
        <f t="shared" si="43"/>
        <v>8.410586011342161E-2</v>
      </c>
      <c r="Y35" s="64">
        <f t="shared" si="43"/>
        <v>0.19550094517958411</v>
      </c>
      <c r="Z35" s="21">
        <f t="shared" si="43"/>
        <v>0.18988657844990553</v>
      </c>
      <c r="AA35" s="21">
        <f t="shared" si="43"/>
        <v>0.36733870192769674</v>
      </c>
      <c r="AB35" s="21">
        <f t="shared" si="43"/>
        <v>0.37418486101760101</v>
      </c>
      <c r="AC35" s="21">
        <f t="shared" si="43"/>
        <v>0.35539924745211482</v>
      </c>
      <c r="AD35" s="21">
        <f t="shared" si="43"/>
        <v>0.41164558398094059</v>
      </c>
      <c r="AE35" s="21">
        <f t="shared" si="43"/>
        <v>0.32667763344489203</v>
      </c>
      <c r="AF35" s="21">
        <f t="shared" si="43"/>
        <v>0.37935634170627691</v>
      </c>
      <c r="AG35" s="21">
        <f t="shared" si="43"/>
        <v>0.40069889341875359</v>
      </c>
      <c r="AH35" s="21">
        <f t="shared" si="43"/>
        <v>0.30805669456458656</v>
      </c>
      <c r="AI35" s="21">
        <f t="shared" si="43"/>
        <v>0.33986383986383978</v>
      </c>
      <c r="AJ35" s="21">
        <f t="shared" si="43"/>
        <v>0.52806752423427084</v>
      </c>
      <c r="AK35" s="21">
        <f t="shared" si="43"/>
        <v>0.78276616476384819</v>
      </c>
      <c r="AL35" s="21">
        <f t="shared" si="43"/>
        <v>0.61166728008833271</v>
      </c>
      <c r="AM35" s="21">
        <f t="shared" si="43"/>
        <v>0.27516753605970024</v>
      </c>
      <c r="AN35" s="21">
        <f t="shared" si="43"/>
        <v>0.18480420372467823</v>
      </c>
      <c r="AO35" s="21">
        <f t="shared" si="43"/>
        <v>4.4881098582114559E-2</v>
      </c>
      <c r="AP35" s="21">
        <f t="shared" si="43"/>
        <v>-0.28624813153961137</v>
      </c>
      <c r="AQ35" s="21">
        <f t="shared" si="43"/>
        <v>-0.19570405727923626</v>
      </c>
      <c r="AR35" s="21">
        <f t="shared" si="43"/>
        <v>-0.18908179194853117</v>
      </c>
      <c r="AS35" s="21">
        <f t="shared" si="43"/>
        <v>-0.17006119143319939</v>
      </c>
      <c r="AT35" s="21">
        <f t="shared" si="43"/>
        <v>-9.1899548577555903E-2</v>
      </c>
      <c r="AU35" s="21">
        <f t="shared" si="43"/>
        <v>3.0664850931374957E-2</v>
      </c>
      <c r="AV35" s="21">
        <f t="shared" si="43"/>
        <v>0.35949722374763543</v>
      </c>
      <c r="AW35" s="21">
        <f t="shared" si="43"/>
        <v>0.50466478363474054</v>
      </c>
      <c r="AX35" s="21">
        <f t="shared" si="43"/>
        <v>0.87830959094737604</v>
      </c>
      <c r="AY35" s="21">
        <f t="shared" si="43"/>
        <v>0.34247087531542247</v>
      </c>
      <c r="AZ35" s="21">
        <f t="shared" si="43"/>
        <v>0.66745463722064424</v>
      </c>
      <c r="BA35" s="21">
        <f t="shared" si="43"/>
        <v>0.89171964280046079</v>
      </c>
      <c r="BB35" s="21">
        <f t="shared" si="43"/>
        <v>0.97299744242122232</v>
      </c>
      <c r="BC35" s="21">
        <f t="shared" si="43"/>
        <v>0.92034714686220531</v>
      </c>
      <c r="BD35" s="21">
        <f t="shared" si="43"/>
        <v>0.89695258886511708</v>
      </c>
      <c r="BE35" s="21">
        <f t="shared" si="43"/>
        <v>0.8694232844663945</v>
      </c>
      <c r="BF35" s="21">
        <f t="shared" si="43"/>
        <v>0.80701929768396818</v>
      </c>
      <c r="BG35" s="21">
        <f t="shared" si="43"/>
        <v>0.80671789288370843</v>
      </c>
      <c r="BH35" s="21">
        <f t="shared" si="43"/>
        <v>0.84753299032604545</v>
      </c>
      <c r="BI35" s="21">
        <f t="shared" si="43"/>
        <v>0.85170173001953786</v>
      </c>
      <c r="BJ35" s="21">
        <f t="shared" si="43"/>
        <v>0.81899607638046745</v>
      </c>
      <c r="BK35" s="1"/>
      <c r="BL35" s="91"/>
      <c r="BM35" s="23">
        <f t="shared" si="9"/>
        <v>29</v>
      </c>
    </row>
    <row r="36" spans="1:71" ht="12.75" customHeight="1" outlineLevel="1">
      <c r="A36" s="118"/>
      <c r="B36" s="7" t="s">
        <v>14</v>
      </c>
      <c r="C36" s="9"/>
      <c r="D36" s="9"/>
      <c r="E36" s="9"/>
      <c r="F36" s="64"/>
      <c r="G36" s="64">
        <f t="shared" ref="G36:Q36" si="44">(G30-G24)/G37</f>
        <v>0.81874000000000013</v>
      </c>
      <c r="H36" s="64">
        <f t="shared" si="44"/>
        <v>1.2391420000000002</v>
      </c>
      <c r="I36" s="21">
        <f t="shared" si="44"/>
        <v>1.9379512846179512</v>
      </c>
      <c r="J36" s="21">
        <f t="shared" si="44"/>
        <v>2.1693582138660394</v>
      </c>
      <c r="K36" s="21">
        <f t="shared" si="44"/>
        <v>3.0934765882358368</v>
      </c>
      <c r="L36" s="21">
        <f t="shared" si="44"/>
        <v>1.1595157125048843</v>
      </c>
      <c r="M36" s="21">
        <f t="shared" si="44"/>
        <v>0.48256084151602058</v>
      </c>
      <c r="N36" s="21">
        <f t="shared" si="44"/>
        <v>2.6143772511154562</v>
      </c>
      <c r="O36" s="21">
        <f t="shared" si="44"/>
        <v>4.6861131631663762</v>
      </c>
      <c r="P36" s="21">
        <f t="shared" si="44"/>
        <v>5.4869273689824878</v>
      </c>
      <c r="Q36" s="21">
        <f t="shared" si="44"/>
        <v>5.2461554693476184</v>
      </c>
      <c r="R36" s="51"/>
      <c r="S36" s="64">
        <f t="shared" ref="S36:BJ36" si="45">(S30-S24)/S37</f>
        <v>9.5746691871455597E-2</v>
      </c>
      <c r="T36" s="64">
        <f t="shared" si="45"/>
        <v>0.24415879017013234</v>
      </c>
      <c r="U36" s="64">
        <f t="shared" si="45"/>
        <v>0.28678638941398876</v>
      </c>
      <c r="V36" s="64">
        <f t="shared" si="45"/>
        <v>0.14716446124763705</v>
      </c>
      <c r="W36" s="64">
        <f t="shared" si="45"/>
        <v>0.1666805293005672</v>
      </c>
      <c r="X36" s="64">
        <f t="shared" si="45"/>
        <v>0.30353875236294903</v>
      </c>
      <c r="Y36" s="64">
        <f t="shared" si="45"/>
        <v>0.29972400756143669</v>
      </c>
      <c r="Z36" s="21">
        <f t="shared" si="45"/>
        <v>0.40126843100189041</v>
      </c>
      <c r="AA36" s="21">
        <f t="shared" si="45"/>
        <v>0.48223174645884159</v>
      </c>
      <c r="AB36" s="21">
        <f t="shared" si="45"/>
        <v>0.4891026257574298</v>
      </c>
      <c r="AC36" s="21">
        <f t="shared" si="45"/>
        <v>0.4682436137425075</v>
      </c>
      <c r="AD36" s="21">
        <f t="shared" si="45"/>
        <v>0.49841548962883137</v>
      </c>
      <c r="AE36" s="21">
        <f t="shared" si="45"/>
        <v>0.50320003025318139</v>
      </c>
      <c r="AF36" s="21">
        <f t="shared" si="45"/>
        <v>0.54637683882240218</v>
      </c>
      <c r="AG36" s="21">
        <f t="shared" si="45"/>
        <v>0.59342063238581921</v>
      </c>
      <c r="AH36" s="21">
        <f t="shared" si="45"/>
        <v>0.52616600198468433</v>
      </c>
      <c r="AI36" s="21">
        <f t="shared" si="45"/>
        <v>0.51726051726051714</v>
      </c>
      <c r="AJ36" s="21">
        <f t="shared" si="45"/>
        <v>0.71864288083741856</v>
      </c>
      <c r="AK36" s="21">
        <f t="shared" si="45"/>
        <v>1.0111962936407257</v>
      </c>
      <c r="AL36" s="21">
        <f t="shared" si="45"/>
        <v>0.84471843945528158</v>
      </c>
      <c r="AM36" s="21">
        <f t="shared" si="45"/>
        <v>0.64190851881416011</v>
      </c>
      <c r="AN36" s="21">
        <f t="shared" si="45"/>
        <v>0.22588151957962746</v>
      </c>
      <c r="AO36" s="21">
        <f t="shared" si="45"/>
        <v>0.24297979234118569</v>
      </c>
      <c r="AP36" s="21">
        <f t="shared" si="45"/>
        <v>4.704783258594919E-2</v>
      </c>
      <c r="AQ36" s="21">
        <f t="shared" si="45"/>
        <v>7.8593721314485054E-2</v>
      </c>
      <c r="AR36" s="21">
        <f t="shared" si="45"/>
        <v>6.0283520191746667E-2</v>
      </c>
      <c r="AS36" s="21">
        <f t="shared" si="45"/>
        <v>0.12212790209370686</v>
      </c>
      <c r="AT36" s="21">
        <f t="shared" si="45"/>
        <v>0.2003171871483605</v>
      </c>
      <c r="AU36" s="21">
        <f t="shared" si="45"/>
        <v>0.34307669860415352</v>
      </c>
      <c r="AV36" s="21">
        <f t="shared" si="45"/>
        <v>0.64781255720300179</v>
      </c>
      <c r="AW36" s="21">
        <f t="shared" si="45"/>
        <v>0.80635339862807653</v>
      </c>
      <c r="AX36" s="21">
        <f t="shared" si="45"/>
        <v>0.81861793679276385</v>
      </c>
      <c r="AY36" s="21">
        <f t="shared" si="45"/>
        <v>0.74809955937331241</v>
      </c>
      <c r="AZ36" s="21">
        <f t="shared" si="45"/>
        <v>1.0591058792899355</v>
      </c>
      <c r="BA36" s="21">
        <f t="shared" si="45"/>
        <v>1.3997434024391262</v>
      </c>
      <c r="BB36" s="21">
        <f t="shared" si="45"/>
        <v>1.4791643220640027</v>
      </c>
      <c r="BC36" s="21">
        <f t="shared" si="45"/>
        <v>1.4247012474090028</v>
      </c>
      <c r="BD36" s="21">
        <f t="shared" si="45"/>
        <v>1.3972035502661966</v>
      </c>
      <c r="BE36" s="21">
        <f t="shared" si="45"/>
        <v>1.3656685562764668</v>
      </c>
      <c r="BF36" s="21">
        <f t="shared" si="45"/>
        <v>1.2993540150308198</v>
      </c>
      <c r="BG36" s="21">
        <f t="shared" si="45"/>
        <v>1.2952349314358407</v>
      </c>
      <c r="BH36" s="21">
        <f t="shared" si="45"/>
        <v>1.3323230199548333</v>
      </c>
      <c r="BI36" s="21">
        <f t="shared" si="45"/>
        <v>1.3292073085099341</v>
      </c>
      <c r="BJ36" s="21">
        <f t="shared" si="45"/>
        <v>1.2893902094470089</v>
      </c>
      <c r="BK36" s="1"/>
      <c r="BL36" s="91"/>
      <c r="BM36" s="23">
        <f t="shared" si="9"/>
        <v>30</v>
      </c>
    </row>
    <row r="37" spans="1:71" ht="12.75" customHeight="1" outlineLevel="1">
      <c r="A37" s="118"/>
      <c r="B37" s="5" t="s">
        <v>15</v>
      </c>
      <c r="C37" s="9"/>
      <c r="D37" s="9"/>
      <c r="E37" s="9"/>
      <c r="F37" s="9"/>
      <c r="G37" s="9">
        <v>50</v>
      </c>
      <c r="H37" s="9">
        <v>50</v>
      </c>
      <c r="I37" s="9">
        <f>AVERAGE(INDEX($S37:$AH37,I$5):INDEX($S37:$AH37,I$6))</f>
        <v>52.447499999999998</v>
      </c>
      <c r="J37" s="9">
        <f>AVERAGE(INDEX($S37:$AH37,J$5):INDEX($S37:$AH37,J$6))</f>
        <v>53.1875</v>
      </c>
      <c r="K37" s="9">
        <f>AVERAGE(INDEX($S37:$BK37,K$5):INDEX($S37:$BK37,K$6))</f>
        <v>54.262250000000002</v>
      </c>
      <c r="L37" s="9">
        <f>AVERAGE(INDEX($S37:$BK37,L$5):INDEX($S37:$BK37,L$6))</f>
        <v>53.747</v>
      </c>
      <c r="M37" s="9">
        <f>AVERAGE(INDEX($S37:$BK37,M$5):INDEX($S37:$BK37,M$6))</f>
        <v>65.025499999999994</v>
      </c>
      <c r="N37" s="9">
        <f>AVERAGE(INDEX($S37:$BK37,N$5):INDEX($S37:$BK37,N$6))</f>
        <v>81.973249999999993</v>
      </c>
      <c r="O37" s="9">
        <f>AVERAGE(INDEX($S37:$BK37,O$5):INDEX($S37:$BK37,O$6))</f>
        <v>81.425772012923701</v>
      </c>
      <c r="P37" s="9">
        <f>AVERAGE(INDEX($S37:$BK37,P$5):INDEX($S37:$BK37,P$6))</f>
        <v>81.425772012923701</v>
      </c>
      <c r="Q37" s="9">
        <f>AVERAGE(INDEX($S37:$BK37,Q$5):INDEX($S37:$BK37,Q$6))</f>
        <v>81.425772012923701</v>
      </c>
      <c r="R37" s="51"/>
      <c r="S37" s="63">
        <f t="shared" ref="S37:Y37" si="46">T37</f>
        <v>52.9</v>
      </c>
      <c r="T37" s="63">
        <f t="shared" si="46"/>
        <v>52.9</v>
      </c>
      <c r="U37" s="63">
        <f t="shared" si="46"/>
        <v>52.9</v>
      </c>
      <c r="V37" s="63">
        <f t="shared" si="46"/>
        <v>52.9</v>
      </c>
      <c r="W37" s="63">
        <f t="shared" si="46"/>
        <v>52.9</v>
      </c>
      <c r="X37" s="63">
        <f t="shared" si="46"/>
        <v>52.9</v>
      </c>
      <c r="Y37" s="63">
        <f t="shared" si="46"/>
        <v>52.9</v>
      </c>
      <c r="Z37" s="70">
        <v>52.9</v>
      </c>
      <c r="AA37" s="70">
        <v>52.030999999999999</v>
      </c>
      <c r="AB37" s="70">
        <v>51.984999999999999</v>
      </c>
      <c r="AC37" s="70">
        <v>52.887</v>
      </c>
      <c r="AD37" s="70">
        <v>52.887</v>
      </c>
      <c r="AE37" s="70">
        <v>52.887</v>
      </c>
      <c r="AF37" s="70">
        <v>53.226999999999997</v>
      </c>
      <c r="AG37" s="70">
        <v>53.226999999999997</v>
      </c>
      <c r="AH37" s="70">
        <v>53.408999999999999</v>
      </c>
      <c r="AI37" s="109">
        <v>54.054000000000002</v>
      </c>
      <c r="AJ37" s="109">
        <v>54.262</v>
      </c>
      <c r="AK37" s="133">
        <v>54.393000000000001</v>
      </c>
      <c r="AL37" s="133">
        <v>54.34</v>
      </c>
      <c r="AM37" s="133">
        <v>53.869</v>
      </c>
      <c r="AN37" s="133">
        <v>53.856999999999999</v>
      </c>
      <c r="AO37" s="133">
        <v>53.741999999999997</v>
      </c>
      <c r="AP37" s="133">
        <v>53.52</v>
      </c>
      <c r="AQ37" s="133">
        <v>54.47</v>
      </c>
      <c r="AR37" s="133">
        <v>63.417000000000002</v>
      </c>
      <c r="AS37" s="133">
        <v>66.676000000000002</v>
      </c>
      <c r="AT37" s="133">
        <v>75.539000000000001</v>
      </c>
      <c r="AU37" s="133">
        <v>82.244</v>
      </c>
      <c r="AV37" s="133">
        <v>81.944999999999993</v>
      </c>
      <c r="AW37" s="133">
        <v>81.783000000000001</v>
      </c>
      <c r="AX37" s="133">
        <v>81.921000000000006</v>
      </c>
      <c r="AY37" s="12">
        <f>AY383</f>
        <v>81.425772012923701</v>
      </c>
      <c r="AZ37" s="12">
        <f>AZ383</f>
        <v>81.425772012923701</v>
      </c>
      <c r="BA37" s="12">
        <f>BA383</f>
        <v>81.425772012923701</v>
      </c>
      <c r="BB37" s="12">
        <f>BB383</f>
        <v>81.425772012923701</v>
      </c>
      <c r="BC37" s="12">
        <f t="shared" ref="BC37:BJ37" si="47">BC383</f>
        <v>81.425772012923701</v>
      </c>
      <c r="BD37" s="12">
        <f t="shared" si="47"/>
        <v>81.425772012923701</v>
      </c>
      <c r="BE37" s="12">
        <f t="shared" si="47"/>
        <v>81.425772012923701</v>
      </c>
      <c r="BF37" s="12">
        <f t="shared" si="47"/>
        <v>81.425772012923701</v>
      </c>
      <c r="BG37" s="12">
        <f t="shared" si="47"/>
        <v>81.425772012923701</v>
      </c>
      <c r="BH37" s="12">
        <f t="shared" si="47"/>
        <v>81.425772012923701</v>
      </c>
      <c r="BI37" s="12">
        <f t="shared" si="47"/>
        <v>81.425772012923701</v>
      </c>
      <c r="BJ37" s="12">
        <f t="shared" si="47"/>
        <v>81.425772012923701</v>
      </c>
      <c r="BK37" s="1"/>
      <c r="BL37" s="91"/>
      <c r="BM37" s="23">
        <f t="shared" si="9"/>
        <v>31</v>
      </c>
    </row>
    <row r="38" spans="1:71" ht="12.75" customHeight="1" outlineLevel="1">
      <c r="A38" s="118"/>
      <c r="B38" s="8" t="s">
        <v>16</v>
      </c>
      <c r="C38" s="9"/>
      <c r="D38" s="9"/>
      <c r="E38" s="9"/>
      <c r="F38" s="9"/>
      <c r="G38" s="251">
        <v>0</v>
      </c>
      <c r="H38" s="251">
        <v>0</v>
      </c>
      <c r="I38" s="251">
        <v>0</v>
      </c>
      <c r="J38" s="251">
        <f>SUM(INDEX($S38:$AH38,J$5):INDEX($S38:$AH38,J$6))</f>
        <v>0.375</v>
      </c>
      <c r="K38" s="251">
        <f>SUM(INDEX($S38:$BK38,K$5):INDEX($S38:$BK38,K$6))</f>
        <v>0.5</v>
      </c>
      <c r="L38" s="251">
        <f>SUM(INDEX($S38:$BK38,L$5):INDEX($S38:$BK38,L$6))</f>
        <v>0.4375</v>
      </c>
      <c r="M38" s="251">
        <f>SUM(INDEX($S38:$BK38,M$5):INDEX($S38:$BK38,M$6))</f>
        <v>0.25</v>
      </c>
      <c r="N38" s="251">
        <f>SUM(INDEX($S38:$BK38,N$5):INDEX($S38:$BK38,N$6))</f>
        <v>0.25</v>
      </c>
      <c r="O38" s="251">
        <f>SUM(INDEX($S38:$BK38,O$5):INDEX($S38:$BK38,O$6))</f>
        <v>0.25</v>
      </c>
      <c r="P38" s="251">
        <f>SUM(INDEX($S38:$BK38,P$5):INDEX($S38:$BK38,P$6))</f>
        <v>0.25</v>
      </c>
      <c r="Q38" s="251">
        <f>SUM(INDEX($S38:$BK38,Q$5):INDEX($S38:$BK38,Q$6))</f>
        <v>0.25</v>
      </c>
      <c r="R38" s="51"/>
      <c r="S38" s="250">
        <v>0</v>
      </c>
      <c r="T38" s="250">
        <v>0</v>
      </c>
      <c r="U38" s="250">
        <v>0</v>
      </c>
      <c r="V38" s="250">
        <v>0</v>
      </c>
      <c r="W38" s="250">
        <v>0</v>
      </c>
      <c r="X38" s="250">
        <v>0</v>
      </c>
      <c r="Y38" s="250">
        <v>0</v>
      </c>
      <c r="Z38" s="250">
        <v>0</v>
      </c>
      <c r="AA38" s="250">
        <v>0</v>
      </c>
      <c r="AB38" s="250">
        <v>0</v>
      </c>
      <c r="AC38" s="250">
        <v>0</v>
      </c>
      <c r="AD38" s="250">
        <v>0</v>
      </c>
      <c r="AE38" s="250">
        <v>0</v>
      </c>
      <c r="AF38" s="251">
        <v>0.125</v>
      </c>
      <c r="AG38" s="251">
        <v>0.125</v>
      </c>
      <c r="AH38" s="251">
        <v>0.125</v>
      </c>
      <c r="AI38" s="252">
        <v>0.125</v>
      </c>
      <c r="AJ38" s="252">
        <v>0.125</v>
      </c>
      <c r="AK38" s="252">
        <v>0.125</v>
      </c>
      <c r="AL38" s="252">
        <v>0.125</v>
      </c>
      <c r="AM38" s="252">
        <v>0.125</v>
      </c>
      <c r="AN38" s="252">
        <v>0.125</v>
      </c>
      <c r="AO38" s="252">
        <v>0.125</v>
      </c>
      <c r="AP38" s="252">
        <f t="shared" ref="AP38:AX38" si="48">0.0625</f>
        <v>6.25E-2</v>
      </c>
      <c r="AQ38" s="252">
        <f t="shared" si="48"/>
        <v>6.25E-2</v>
      </c>
      <c r="AR38" s="252">
        <f t="shared" si="48"/>
        <v>6.25E-2</v>
      </c>
      <c r="AS38" s="252">
        <f t="shared" si="48"/>
        <v>6.25E-2</v>
      </c>
      <c r="AT38" s="252">
        <f t="shared" si="48"/>
        <v>6.25E-2</v>
      </c>
      <c r="AU38" s="252">
        <f t="shared" si="48"/>
        <v>6.25E-2</v>
      </c>
      <c r="AV38" s="252">
        <f t="shared" si="48"/>
        <v>6.25E-2</v>
      </c>
      <c r="AW38" s="252">
        <f t="shared" si="48"/>
        <v>6.25E-2</v>
      </c>
      <c r="AX38" s="252">
        <f t="shared" si="48"/>
        <v>6.25E-2</v>
      </c>
      <c r="AY38" s="252">
        <f t="shared" ref="AY38:BJ38" si="49">AX38</f>
        <v>6.25E-2</v>
      </c>
      <c r="AZ38" s="252">
        <f t="shared" si="49"/>
        <v>6.25E-2</v>
      </c>
      <c r="BA38" s="252">
        <f t="shared" si="49"/>
        <v>6.25E-2</v>
      </c>
      <c r="BB38" s="252">
        <f t="shared" si="49"/>
        <v>6.25E-2</v>
      </c>
      <c r="BC38" s="252">
        <f t="shared" si="49"/>
        <v>6.25E-2</v>
      </c>
      <c r="BD38" s="252">
        <f t="shared" si="49"/>
        <v>6.25E-2</v>
      </c>
      <c r="BE38" s="252">
        <f t="shared" si="49"/>
        <v>6.25E-2</v>
      </c>
      <c r="BF38" s="252">
        <f t="shared" si="49"/>
        <v>6.25E-2</v>
      </c>
      <c r="BG38" s="252">
        <f t="shared" si="49"/>
        <v>6.25E-2</v>
      </c>
      <c r="BH38" s="252">
        <f t="shared" si="49"/>
        <v>6.25E-2</v>
      </c>
      <c r="BI38" s="252">
        <f t="shared" si="49"/>
        <v>6.25E-2</v>
      </c>
      <c r="BJ38" s="252">
        <f t="shared" si="49"/>
        <v>6.25E-2</v>
      </c>
      <c r="BK38" s="1"/>
      <c r="BL38" s="91"/>
      <c r="BM38" s="23">
        <f t="shared" si="9"/>
        <v>32</v>
      </c>
    </row>
    <row r="39" spans="1:71" ht="12.75" customHeight="1" outlineLevel="1">
      <c r="A39" s="118"/>
      <c r="B39" s="8" t="s">
        <v>276</v>
      </c>
      <c r="C39" s="9"/>
      <c r="D39" s="9"/>
      <c r="E39" s="9"/>
      <c r="F39" s="9"/>
      <c r="G39" s="11">
        <f>G38/G34</f>
        <v>0</v>
      </c>
      <c r="H39" s="141">
        <f t="shared" ref="H39:Q39" si="50">IF(OR(H38/H34&lt;0,ABS(H38/H34)&gt;5),"NM",H38/H34)</f>
        <v>0</v>
      </c>
      <c r="I39" s="141">
        <f t="shared" si="50"/>
        <v>0</v>
      </c>
      <c r="J39" s="141">
        <f t="shared" si="50"/>
        <v>0.25258504618643723</v>
      </c>
      <c r="K39" s="141">
        <f t="shared" si="50"/>
        <v>0.22086555682188208</v>
      </c>
      <c r="L39" s="141">
        <f t="shared" si="50"/>
        <v>4.7537360322701403</v>
      </c>
      <c r="M39" s="141" t="str">
        <f t="shared" si="50"/>
        <v>NM</v>
      </c>
      <c r="N39" s="141">
        <f t="shared" si="50"/>
        <v>0.17504281406949324</v>
      </c>
      <c r="O39" s="141">
        <f t="shared" si="50"/>
        <v>8.6967332980803447E-2</v>
      </c>
      <c r="P39" s="141">
        <f t="shared" si="50"/>
        <v>7.1556507965895244E-2</v>
      </c>
      <c r="Q39" s="141">
        <f t="shared" si="50"/>
        <v>7.51891302206356E-2</v>
      </c>
      <c r="R39" s="51"/>
      <c r="S39" s="11">
        <f t="shared" ref="S39:AM39" si="51">S38/S34</f>
        <v>0</v>
      </c>
      <c r="T39" s="11">
        <f t="shared" si="51"/>
        <v>0</v>
      </c>
      <c r="U39" s="11">
        <f t="shared" si="51"/>
        <v>0</v>
      </c>
      <c r="V39" s="11">
        <f t="shared" si="51"/>
        <v>0</v>
      </c>
      <c r="W39" s="11">
        <f t="shared" si="51"/>
        <v>0</v>
      </c>
      <c r="X39" s="11">
        <f t="shared" si="51"/>
        <v>0</v>
      </c>
      <c r="Y39" s="11">
        <f t="shared" si="51"/>
        <v>0</v>
      </c>
      <c r="Z39" s="11">
        <f t="shared" si="51"/>
        <v>0</v>
      </c>
      <c r="AA39" s="11">
        <f t="shared" si="51"/>
        <v>0</v>
      </c>
      <c r="AB39" s="11">
        <f t="shared" si="51"/>
        <v>0</v>
      </c>
      <c r="AC39" s="11">
        <f t="shared" si="51"/>
        <v>0</v>
      </c>
      <c r="AD39" s="11">
        <f t="shared" si="51"/>
        <v>0</v>
      </c>
      <c r="AE39" s="11">
        <f t="shared" si="51"/>
        <v>0</v>
      </c>
      <c r="AF39" s="11">
        <f t="shared" si="51"/>
        <v>0.32950549722662437</v>
      </c>
      <c r="AG39" s="11">
        <f t="shared" si="51"/>
        <v>0.29657551038602126</v>
      </c>
      <c r="AH39" s="11">
        <f t="shared" si="51"/>
        <v>0.37081343034881137</v>
      </c>
      <c r="AI39" s="11">
        <f t="shared" si="51"/>
        <v>0.36779434979043069</v>
      </c>
      <c r="AJ39" s="11">
        <f t="shared" si="51"/>
        <v>0.2367121518810637</v>
      </c>
      <c r="AK39" s="11">
        <f t="shared" si="51"/>
        <v>0.15969009089414474</v>
      </c>
      <c r="AL39" s="11">
        <f t="shared" si="51"/>
        <v>0.20435946807870509</v>
      </c>
      <c r="AM39" s="11">
        <f t="shared" si="51"/>
        <v>0.31559966572881393</v>
      </c>
      <c r="AN39" s="141" t="str">
        <f t="shared" ref="AN39:BJ39" si="52">IF(OR(AN38/AN34&lt;0,ABS(AN38/AN34)&gt;5),"NM",AN38/AN34)</f>
        <v>NM</v>
      </c>
      <c r="AO39" s="141" t="str">
        <f t="shared" si="52"/>
        <v>NM</v>
      </c>
      <c r="AP39" s="141" t="str">
        <f t="shared" si="52"/>
        <v>NM</v>
      </c>
      <c r="AQ39" s="141" t="str">
        <f t="shared" si="52"/>
        <v>NM</v>
      </c>
      <c r="AR39" s="141" t="str">
        <f t="shared" si="52"/>
        <v>NM</v>
      </c>
      <c r="AS39" s="141" t="str">
        <f t="shared" si="52"/>
        <v>NM</v>
      </c>
      <c r="AT39" s="141" t="str">
        <f t="shared" si="52"/>
        <v>NM</v>
      </c>
      <c r="AU39" s="141">
        <f t="shared" si="52"/>
        <v>0.77682484509596472</v>
      </c>
      <c r="AV39" s="141">
        <f t="shared" si="52"/>
        <v>0.17385391561152796</v>
      </c>
      <c r="AW39" s="141">
        <f t="shared" si="52"/>
        <v>0.12384458362609943</v>
      </c>
      <c r="AX39" s="141">
        <f t="shared" si="52"/>
        <v>0.12888117652981598</v>
      </c>
      <c r="AY39" s="141">
        <f t="shared" si="52"/>
        <v>0.18249727058523227</v>
      </c>
      <c r="AZ39" s="141">
        <f t="shared" si="52"/>
        <v>9.3639322456814431E-2</v>
      </c>
      <c r="BA39" s="141">
        <f t="shared" si="52"/>
        <v>7.0089293764705782E-2</v>
      </c>
      <c r="BB39" s="141">
        <f t="shared" si="52"/>
        <v>6.423449566781389E-2</v>
      </c>
      <c r="BC39" s="141">
        <f t="shared" si="52"/>
        <v>6.7909158205232661E-2</v>
      </c>
      <c r="BD39" s="141">
        <f t="shared" si="52"/>
        <v>6.9680383083657829E-2</v>
      </c>
      <c r="BE39" s="141">
        <f t="shared" si="52"/>
        <v>7.1886733558509594E-2</v>
      </c>
      <c r="BF39" s="141">
        <f t="shared" si="52"/>
        <v>7.744548386806388E-2</v>
      </c>
      <c r="BG39" s="141">
        <f t="shared" si="52"/>
        <v>7.7474418940413445E-2</v>
      </c>
      <c r="BH39" s="141">
        <f t="shared" si="52"/>
        <v>7.374344210006066E-2</v>
      </c>
      <c r="BI39" s="141">
        <f t="shared" si="52"/>
        <v>7.338249741322736E-2</v>
      </c>
      <c r="BJ39" s="141">
        <f t="shared" si="52"/>
        <v>7.6312941908363199E-2</v>
      </c>
      <c r="BK39" s="1"/>
      <c r="BL39" s="91"/>
      <c r="BM39" s="23">
        <f t="shared" si="9"/>
        <v>33</v>
      </c>
    </row>
    <row r="40" spans="1:71" ht="12.75" customHeight="1" outlineLevel="1">
      <c r="A40" s="118"/>
      <c r="B40" s="8"/>
      <c r="C40" s="9"/>
      <c r="D40" s="9"/>
      <c r="E40" s="9"/>
      <c r="F40" s="9"/>
      <c r="G40" s="9"/>
      <c r="H40" s="9"/>
      <c r="J40" s="9"/>
      <c r="K40" s="9"/>
      <c r="L40" s="9"/>
      <c r="M40" s="9"/>
      <c r="N40" s="9"/>
      <c r="O40" s="9"/>
      <c r="P40" s="9"/>
      <c r="Q40" s="9"/>
      <c r="R40" s="5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87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91"/>
      <c r="BM40" s="23">
        <f t="shared" si="9"/>
        <v>34</v>
      </c>
    </row>
    <row r="41" spans="1:71" ht="12.75" customHeight="1">
      <c r="A41" s="118" t="s">
        <v>29</v>
      </c>
      <c r="B41" s="18" t="s">
        <v>341</v>
      </c>
      <c r="C41" s="4">
        <f t="shared" ref="C41:Q41" si="53">C$7</f>
        <v>2006</v>
      </c>
      <c r="D41" s="4">
        <f t="shared" si="53"/>
        <v>2007</v>
      </c>
      <c r="E41" s="4">
        <f t="shared" si="53"/>
        <v>2008</v>
      </c>
      <c r="F41" s="4">
        <f t="shared" si="53"/>
        <v>2009</v>
      </c>
      <c r="G41" s="4">
        <f t="shared" si="53"/>
        <v>2010</v>
      </c>
      <c r="H41" s="4">
        <f t="shared" si="53"/>
        <v>2011</v>
      </c>
      <c r="I41" s="4">
        <f t="shared" si="53"/>
        <v>2012</v>
      </c>
      <c r="J41" s="4">
        <f t="shared" si="53"/>
        <v>2013</v>
      </c>
      <c r="K41" s="4">
        <f t="shared" si="53"/>
        <v>2014</v>
      </c>
      <c r="L41" s="4">
        <f t="shared" si="53"/>
        <v>2015</v>
      </c>
      <c r="M41" s="4">
        <f t="shared" si="53"/>
        <v>2016</v>
      </c>
      <c r="N41" s="4">
        <f t="shared" si="53"/>
        <v>2017</v>
      </c>
      <c r="O41" s="4" t="str">
        <f t="shared" si="53"/>
        <v>2018E</v>
      </c>
      <c r="P41" s="4" t="str">
        <f t="shared" si="53"/>
        <v>2019E</v>
      </c>
      <c r="Q41" s="4" t="str">
        <f t="shared" si="53"/>
        <v>2020E</v>
      </c>
      <c r="R41" s="51"/>
      <c r="S41" s="4" t="str">
        <f t="shared" ref="S41:BJ41" si="54">S$7</f>
        <v>1Q10</v>
      </c>
      <c r="T41" s="4" t="str">
        <f t="shared" si="54"/>
        <v>2Q10</v>
      </c>
      <c r="U41" s="4" t="str">
        <f t="shared" si="54"/>
        <v>3Q10</v>
      </c>
      <c r="V41" s="4" t="str">
        <f t="shared" si="54"/>
        <v>4Q10</v>
      </c>
      <c r="W41" s="4" t="str">
        <f t="shared" si="54"/>
        <v>1Q11</v>
      </c>
      <c r="X41" s="4" t="str">
        <f t="shared" si="54"/>
        <v>2Q11</v>
      </c>
      <c r="Y41" s="4" t="str">
        <f t="shared" si="54"/>
        <v>3Q11</v>
      </c>
      <c r="Z41" s="4" t="str">
        <f t="shared" si="54"/>
        <v>4Q11</v>
      </c>
      <c r="AA41" s="4" t="str">
        <f t="shared" si="54"/>
        <v>1Q12</v>
      </c>
      <c r="AB41" s="4" t="str">
        <f t="shared" si="54"/>
        <v>2Q12</v>
      </c>
      <c r="AC41" s="4" t="str">
        <f t="shared" si="54"/>
        <v>3Q12</v>
      </c>
      <c r="AD41" s="4" t="str">
        <f t="shared" si="54"/>
        <v>4Q12</v>
      </c>
      <c r="AE41" s="4" t="str">
        <f t="shared" si="54"/>
        <v>1Q13</v>
      </c>
      <c r="AF41" s="4" t="str">
        <f t="shared" si="54"/>
        <v>2Q13</v>
      </c>
      <c r="AG41" s="4" t="str">
        <f t="shared" si="54"/>
        <v>3Q13</v>
      </c>
      <c r="AH41" s="4" t="str">
        <f t="shared" si="54"/>
        <v>4Q13</v>
      </c>
      <c r="AI41" s="4" t="str">
        <f t="shared" si="54"/>
        <v>1Q14</v>
      </c>
      <c r="AJ41" s="4" t="str">
        <f t="shared" si="54"/>
        <v>2Q14</v>
      </c>
      <c r="AK41" s="4" t="str">
        <f t="shared" si="54"/>
        <v>3Q14</v>
      </c>
      <c r="AL41" s="4" t="str">
        <f t="shared" si="54"/>
        <v>4Q14</v>
      </c>
      <c r="AM41" s="4" t="str">
        <f t="shared" si="54"/>
        <v>1Q15</v>
      </c>
      <c r="AN41" s="4" t="str">
        <f t="shared" si="54"/>
        <v>2Q15</v>
      </c>
      <c r="AO41" s="4" t="str">
        <f t="shared" si="54"/>
        <v>3Q15</v>
      </c>
      <c r="AP41" s="4" t="str">
        <f t="shared" si="54"/>
        <v>4Q15</v>
      </c>
      <c r="AQ41" s="4" t="str">
        <f t="shared" si="54"/>
        <v>1Q16</v>
      </c>
      <c r="AR41" s="4" t="str">
        <f t="shared" si="54"/>
        <v>2Q16</v>
      </c>
      <c r="AS41" s="4" t="str">
        <f t="shared" si="54"/>
        <v>3Q16</v>
      </c>
      <c r="AT41" s="4" t="str">
        <f t="shared" si="54"/>
        <v>4Q16</v>
      </c>
      <c r="AU41" s="4" t="str">
        <f t="shared" si="54"/>
        <v>1Q17</v>
      </c>
      <c r="AV41" s="4" t="str">
        <f t="shared" si="54"/>
        <v>2Q17</v>
      </c>
      <c r="AW41" s="4" t="str">
        <f t="shared" si="54"/>
        <v>3Q17</v>
      </c>
      <c r="AX41" s="4" t="str">
        <f t="shared" si="54"/>
        <v>4Q17</v>
      </c>
      <c r="AY41" s="4" t="str">
        <f t="shared" si="54"/>
        <v>1Q18E</v>
      </c>
      <c r="AZ41" s="4" t="str">
        <f t="shared" si="54"/>
        <v>2Q18E</v>
      </c>
      <c r="BA41" s="4" t="str">
        <f t="shared" si="54"/>
        <v>3Q18E</v>
      </c>
      <c r="BB41" s="4" t="str">
        <f t="shared" si="54"/>
        <v>4Q18E</v>
      </c>
      <c r="BC41" s="4" t="str">
        <f t="shared" si="54"/>
        <v>1Q19E</v>
      </c>
      <c r="BD41" s="4" t="str">
        <f t="shared" si="54"/>
        <v>2Q19E</v>
      </c>
      <c r="BE41" s="4" t="str">
        <f t="shared" si="54"/>
        <v>3Q19E</v>
      </c>
      <c r="BF41" s="4" t="str">
        <f t="shared" si="54"/>
        <v>4Q19E</v>
      </c>
      <c r="BG41" s="4" t="str">
        <f t="shared" si="54"/>
        <v>1Q20E</v>
      </c>
      <c r="BH41" s="4" t="str">
        <f t="shared" si="54"/>
        <v>2Q20E</v>
      </c>
      <c r="BI41" s="4" t="str">
        <f t="shared" si="54"/>
        <v>3Q20E</v>
      </c>
      <c r="BJ41" s="4" t="str">
        <f t="shared" si="54"/>
        <v>4Q20E</v>
      </c>
      <c r="BK41" s="1"/>
      <c r="BL41" s="91"/>
      <c r="BM41" s="23">
        <f t="shared" si="9"/>
        <v>35</v>
      </c>
    </row>
    <row r="42" spans="1:71" s="88" customFormat="1" ht="12.75" customHeight="1" outlineLevel="1">
      <c r="A42" s="119"/>
      <c r="B42" s="163" t="s">
        <v>122</v>
      </c>
      <c r="C42" s="164"/>
      <c r="D42" s="164"/>
      <c r="E42" s="164"/>
      <c r="F42" s="164"/>
      <c r="G42" s="164"/>
      <c r="H42" s="164"/>
      <c r="I42" s="164"/>
      <c r="J42" s="164"/>
      <c r="K42" s="164"/>
      <c r="L42" s="164"/>
      <c r="M42" s="164"/>
      <c r="N42" s="164"/>
      <c r="O42" s="164"/>
      <c r="P42" s="164"/>
      <c r="Q42" s="164"/>
      <c r="R42" s="93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165"/>
      <c r="AF42" s="29"/>
      <c r="AG42" s="29"/>
      <c r="AH42" s="29"/>
      <c r="AI42" s="29"/>
      <c r="AJ42" s="29"/>
      <c r="AK42" s="29"/>
      <c r="AL42" s="166"/>
      <c r="AM42" s="29"/>
      <c r="AN42" s="166"/>
      <c r="AO42" s="166"/>
      <c r="AP42" s="166"/>
      <c r="AQ42" s="166"/>
      <c r="AR42" s="151"/>
      <c r="AS42" s="151"/>
      <c r="AT42" s="151"/>
      <c r="AU42" s="151"/>
      <c r="AV42" s="151"/>
      <c r="AW42" s="151"/>
      <c r="AX42" s="151"/>
      <c r="AY42" s="151"/>
      <c r="AZ42" s="151"/>
      <c r="BA42" s="151"/>
      <c r="BB42" s="151"/>
      <c r="BC42" s="167"/>
      <c r="BD42" s="167"/>
      <c r="BE42" s="167"/>
      <c r="BF42" s="167"/>
      <c r="BG42" s="167"/>
      <c r="BH42" s="167"/>
      <c r="BI42" s="167"/>
      <c r="BK42" s="29"/>
      <c r="BL42" s="96"/>
      <c r="BM42" s="23">
        <f t="shared" si="9"/>
        <v>36</v>
      </c>
      <c r="BN42"/>
      <c r="BO42"/>
      <c r="BP42"/>
      <c r="BQ42"/>
      <c r="BR42"/>
      <c r="BS42"/>
    </row>
    <row r="43" spans="1:71" ht="12.75" customHeight="1" outlineLevel="1">
      <c r="A43" s="118"/>
      <c r="B43" s="121" t="s">
        <v>287</v>
      </c>
      <c r="C43" s="1"/>
      <c r="D43" s="1"/>
      <c r="E43" s="20">
        <f>75+879</f>
        <v>954</v>
      </c>
      <c r="F43" s="20">
        <v>787</v>
      </c>
      <c r="G43" s="20">
        <v>1522</v>
      </c>
      <c r="H43" s="20">
        <f>SUM(INDEX($S43:$AH43,H$5):INDEX($S43:$AH43,H$6))</f>
        <v>2018.4</v>
      </c>
      <c r="I43" s="20">
        <f>SUM(INDEX($S43:$AH43,I$5):INDEX($S43:$AH43,I$6))</f>
        <v>2918.8</v>
      </c>
      <c r="J43" s="20">
        <f>SUM(INDEX($S43:$BK43,J$5):INDEX($S43:$BK43,J$6))</f>
        <v>4077.6889999999999</v>
      </c>
      <c r="K43" s="20">
        <f>SUM(INDEX($S43:$BK43,K$5):INDEX($S43:$BK43,K$6))</f>
        <v>6736</v>
      </c>
      <c r="L43" s="20">
        <f>SUM(INDEX($S43:$BK43,L$5):INDEX($S43:$BK43,L$6))</f>
        <v>6081</v>
      </c>
      <c r="M43" s="20">
        <f>SUM(INDEX($S43:$BK43,M$5):INDEX($S43:$BK43,M$6))</f>
        <v>6442</v>
      </c>
      <c r="N43" s="20">
        <f>SUM(INDEX($S43:$BK43,N$5):INDEX($S43:$BK43,N$6))</f>
        <v>11595</v>
      </c>
      <c r="O43" s="20">
        <f>SUM(INDEX($S43:$BK43,O$5):INDEX($S43:$BK43,O$6))</f>
        <v>17150</v>
      </c>
      <c r="P43" s="20">
        <f>SUM(INDEX($S43:$BK43,P$5):INDEX($S43:$BK43,P$6))</f>
        <v>20800</v>
      </c>
      <c r="Q43" s="20">
        <f>SUM(INDEX($S43:$BK43,Q$5):INDEX($S43:$BK43,Q$6))</f>
        <v>20800</v>
      </c>
      <c r="R43" s="307"/>
      <c r="S43" s="134">
        <v>312</v>
      </c>
      <c r="T43" s="134">
        <v>367</v>
      </c>
      <c r="U43" s="134">
        <v>405</v>
      </c>
      <c r="V43" s="134">
        <v>438</v>
      </c>
      <c r="W43" s="134">
        <v>434</v>
      </c>
      <c r="X43" s="134">
        <v>535</v>
      </c>
      <c r="Y43" s="134">
        <v>459</v>
      </c>
      <c r="Z43" s="134">
        <v>590.4</v>
      </c>
      <c r="AA43" s="134">
        <v>679</v>
      </c>
      <c r="AB43" s="134">
        <v>685</v>
      </c>
      <c r="AC43" s="134">
        <v>769</v>
      </c>
      <c r="AD43" s="134">
        <v>785.8</v>
      </c>
      <c r="AE43" s="134">
        <v>920.56899999999996</v>
      </c>
      <c r="AF43" s="134">
        <v>988.12</v>
      </c>
      <c r="AG43" s="134">
        <v>1052</v>
      </c>
      <c r="AH43" s="134">
        <v>1117</v>
      </c>
      <c r="AI43" s="134">
        <v>1335</v>
      </c>
      <c r="AJ43" s="134">
        <v>1508</v>
      </c>
      <c r="AK43" s="134">
        <v>1895</v>
      </c>
      <c r="AL43" s="134">
        <f>6736-AK43-AJ43-AI43</f>
        <v>1998</v>
      </c>
      <c r="AM43" s="134">
        <v>1688</v>
      </c>
      <c r="AN43" s="134">
        <v>1224</v>
      </c>
      <c r="AO43" s="134">
        <v>1616</v>
      </c>
      <c r="AP43" s="134">
        <v>1553</v>
      </c>
      <c r="AQ43" s="134">
        <v>1411</v>
      </c>
      <c r="AR43" s="134">
        <v>1333</v>
      </c>
      <c r="AS43" s="134">
        <v>1617</v>
      </c>
      <c r="AT43" s="134">
        <v>2081</v>
      </c>
      <c r="AU43" s="134">
        <v>2532</v>
      </c>
      <c r="AV43" s="134">
        <v>2745</v>
      </c>
      <c r="AW43" s="134">
        <v>3147</v>
      </c>
      <c r="AX43" s="134">
        <v>3171</v>
      </c>
      <c r="AY43" s="99">
        <f t="shared" ref="AY43:BJ43" si="55">AY60</f>
        <v>3150</v>
      </c>
      <c r="AZ43" s="99">
        <v>3900</v>
      </c>
      <c r="BA43" s="99">
        <f t="shared" si="55"/>
        <v>4900</v>
      </c>
      <c r="BB43" s="99">
        <f t="shared" si="55"/>
        <v>5200</v>
      </c>
      <c r="BC43" s="99">
        <f t="shared" si="55"/>
        <v>5200</v>
      </c>
      <c r="BD43" s="99">
        <f t="shared" si="55"/>
        <v>5200</v>
      </c>
      <c r="BE43" s="99">
        <f t="shared" si="55"/>
        <v>5200</v>
      </c>
      <c r="BF43" s="99">
        <f t="shared" si="55"/>
        <v>5200</v>
      </c>
      <c r="BG43" s="99">
        <f t="shared" si="55"/>
        <v>5200</v>
      </c>
      <c r="BH43" s="99">
        <f t="shared" si="55"/>
        <v>5200</v>
      </c>
      <c r="BI43" s="99">
        <f t="shared" si="55"/>
        <v>5200</v>
      </c>
      <c r="BJ43" s="99">
        <f t="shared" si="55"/>
        <v>5200</v>
      </c>
      <c r="BK43" s="1"/>
      <c r="BL43" s="91"/>
      <c r="BM43" s="23">
        <f t="shared" si="9"/>
        <v>37</v>
      </c>
    </row>
    <row r="44" spans="1:71" ht="12.75" customHeight="1" outlineLevel="1">
      <c r="A44" s="118"/>
      <c r="B44" s="121" t="s">
        <v>31</v>
      </c>
      <c r="C44" s="1"/>
      <c r="D44" s="1"/>
      <c r="E44" s="21">
        <f>E11/E43*1000</f>
        <v>39.70125786163522</v>
      </c>
      <c r="F44" s="21">
        <f>F11/F43*1000</f>
        <v>45.53494282083863</v>
      </c>
      <c r="G44" s="21">
        <f>G11/G43*1000</f>
        <v>45.700394218134029</v>
      </c>
      <c r="H44" s="186">
        <f t="shared" ref="H44:Q44" si="56">H11*1000/H43</f>
        <v>53.04804597701149</v>
      </c>
      <c r="I44" s="186">
        <f t="shared" si="56"/>
        <v>83.509661504727973</v>
      </c>
      <c r="J44" s="186">
        <f t="shared" si="56"/>
        <v>85.222536588739345</v>
      </c>
      <c r="K44" s="186">
        <f t="shared" si="56"/>
        <v>98.39222090261282</v>
      </c>
      <c r="L44" s="186">
        <f t="shared" si="56"/>
        <v>70.783917118894919</v>
      </c>
      <c r="M44" s="186">
        <f t="shared" si="56"/>
        <v>56.279105867742928</v>
      </c>
      <c r="N44" s="186">
        <f t="shared" si="56"/>
        <v>88.00051746442432</v>
      </c>
      <c r="O44" s="186">
        <f t="shared" si="56"/>
        <v>90.387484693877539</v>
      </c>
      <c r="P44" s="186">
        <f t="shared" si="56"/>
        <v>87.989038461538456</v>
      </c>
      <c r="Q44" s="186">
        <f t="shared" si="56"/>
        <v>90.102980769230768</v>
      </c>
      <c r="R44" s="104"/>
      <c r="S44" s="186">
        <v>46.958333333333329</v>
      </c>
      <c r="T44" s="186">
        <v>46.640326975476839</v>
      </c>
      <c r="U44" s="186">
        <v>47.943209876543214</v>
      </c>
      <c r="V44" s="186">
        <v>41.942922374429209</v>
      </c>
      <c r="W44" s="186">
        <v>44.327188940092171</v>
      </c>
      <c r="X44" s="186">
        <v>48.295327102803739</v>
      </c>
      <c r="Y44" s="186">
        <v>52.82352941176471</v>
      </c>
      <c r="Z44" s="186">
        <v>63.94</v>
      </c>
      <c r="AA44" s="186">
        <f t="shared" ref="AA44:AX44" si="57">AA11*1000/AA43</f>
        <v>79.24889543446244</v>
      </c>
      <c r="AB44" s="186">
        <f t="shared" si="57"/>
        <v>79.56204379562044</v>
      </c>
      <c r="AC44" s="186">
        <f t="shared" si="57"/>
        <v>83.92457737321196</v>
      </c>
      <c r="AD44" s="186">
        <f t="shared" si="57"/>
        <v>90.226520743191656</v>
      </c>
      <c r="AE44" s="186">
        <f t="shared" si="57"/>
        <v>79.950552321444675</v>
      </c>
      <c r="AF44" s="186">
        <f t="shared" si="57"/>
        <v>78.634173986965152</v>
      </c>
      <c r="AG44" s="186">
        <f t="shared" si="57"/>
        <v>89.543726235741445</v>
      </c>
      <c r="AH44" s="186">
        <f t="shared" si="57"/>
        <v>91.325872873769029</v>
      </c>
      <c r="AI44" s="186">
        <f t="shared" si="57"/>
        <v>97.815730337078648</v>
      </c>
      <c r="AJ44" s="186">
        <f t="shared" si="57"/>
        <v>99.025862068965523</v>
      </c>
      <c r="AK44" s="186">
        <f t="shared" si="57"/>
        <v>98.581530343007913</v>
      </c>
      <c r="AL44" s="186">
        <f t="shared" si="57"/>
        <v>98.119619619619613</v>
      </c>
      <c r="AM44" s="186">
        <f t="shared" si="57"/>
        <v>88.123815165876778</v>
      </c>
      <c r="AN44" s="186">
        <f t="shared" si="57"/>
        <v>74.227941176470594</v>
      </c>
      <c r="AO44" s="186">
        <f t="shared" si="57"/>
        <v>63.11076732673267</v>
      </c>
      <c r="AP44" s="186">
        <f t="shared" si="57"/>
        <v>57.206696716033484</v>
      </c>
      <c r="AQ44" s="186">
        <f t="shared" si="57"/>
        <v>52.349397590361448</v>
      </c>
      <c r="AR44" s="186">
        <f t="shared" si="57"/>
        <v>48.706676669167294</v>
      </c>
      <c r="AS44" s="186">
        <f t="shared" si="57"/>
        <v>53.66852195423624</v>
      </c>
      <c r="AT44" s="186">
        <f t="shared" si="57"/>
        <v>65.822681403171558</v>
      </c>
      <c r="AU44" s="186">
        <f t="shared" si="57"/>
        <v>76.208135860979468</v>
      </c>
      <c r="AV44" s="186">
        <f t="shared" si="57"/>
        <v>85.616757741347911</v>
      </c>
      <c r="AW44" s="186">
        <f t="shared" si="57"/>
        <v>90.997457896409273</v>
      </c>
      <c r="AX44" s="186">
        <f t="shared" si="57"/>
        <v>96.505834121728157</v>
      </c>
      <c r="AY44" s="287">
        <f t="shared" ref="AY44:BJ44" si="58">AY61</f>
        <v>100.16603174603175</v>
      </c>
      <c r="AZ44" s="287">
        <f t="shared" si="58"/>
        <v>91.891375000000011</v>
      </c>
      <c r="BA44" s="287">
        <f t="shared" si="58"/>
        <v>86.433265306122451</v>
      </c>
      <c r="BB44" s="287">
        <f t="shared" si="58"/>
        <v>87.062115384615382</v>
      </c>
      <c r="BC44" s="287">
        <f t="shared" si="58"/>
        <v>87.694807692307705</v>
      </c>
      <c r="BD44" s="287">
        <f t="shared" si="58"/>
        <v>87.640961538461539</v>
      </c>
      <c r="BE44" s="287">
        <f t="shared" si="58"/>
        <v>88.087115384615387</v>
      </c>
      <c r="BF44" s="287">
        <f t="shared" si="58"/>
        <v>88.533269230769235</v>
      </c>
      <c r="BG44" s="287">
        <f t="shared" si="58"/>
        <v>89.598173076923075</v>
      </c>
      <c r="BH44" s="287">
        <f t="shared" si="58"/>
        <v>90.271249999999995</v>
      </c>
      <c r="BI44" s="287">
        <f t="shared" si="58"/>
        <v>90.271249999999995</v>
      </c>
      <c r="BJ44" s="287">
        <f t="shared" si="58"/>
        <v>90.271249999999995</v>
      </c>
      <c r="BK44" s="158"/>
      <c r="BL44" s="91"/>
      <c r="BM44" s="23">
        <f t="shared" si="9"/>
        <v>38</v>
      </c>
    </row>
    <row r="45" spans="1:71" ht="12.75" customHeight="1" outlineLevel="1">
      <c r="A45" s="118"/>
      <c r="B45" s="121" t="s">
        <v>32</v>
      </c>
      <c r="C45" s="1"/>
      <c r="D45" s="1"/>
      <c r="E45" s="21">
        <f>(E11-E17)/E43*1000</f>
        <v>15.008385744234797</v>
      </c>
      <c r="F45" s="21">
        <f>(F11-F17)/F43*1000</f>
        <v>15.655654383735701</v>
      </c>
      <c r="G45" s="21">
        <f>(G11-G17)/G43*1000</f>
        <v>17.370565045992112</v>
      </c>
      <c r="H45" s="186">
        <f t="shared" ref="H45:Q45" si="59">H44-H46</f>
        <v>19.561125644074515</v>
      </c>
      <c r="I45" s="186">
        <f t="shared" si="59"/>
        <v>35.510141153898864</v>
      </c>
      <c r="J45" s="186">
        <f t="shared" si="59"/>
        <v>49.430204216162615</v>
      </c>
      <c r="K45" s="186">
        <f t="shared" si="59"/>
        <v>60.367131828978614</v>
      </c>
      <c r="L45" s="186">
        <f t="shared" si="59"/>
        <v>56.159842131228416</v>
      </c>
      <c r="M45" s="186">
        <f t="shared" si="59"/>
        <v>54.502483700714052</v>
      </c>
      <c r="N45" s="186">
        <f t="shared" si="59"/>
        <v>61.957136696852096</v>
      </c>
      <c r="O45" s="186">
        <f t="shared" si="59"/>
        <v>61.067466472303195</v>
      </c>
      <c r="P45" s="186">
        <f t="shared" si="59"/>
        <v>60.619807692307688</v>
      </c>
      <c r="Q45" s="186">
        <f t="shared" si="59"/>
        <v>63.522451923076922</v>
      </c>
      <c r="R45" s="104"/>
      <c r="S45" s="186">
        <v>17.727564102564095</v>
      </c>
      <c r="T45" s="186">
        <v>18.798365122615806</v>
      </c>
      <c r="U45" s="186">
        <v>16.935802469135815</v>
      </c>
      <c r="V45" s="186">
        <v>16.321917808219158</v>
      </c>
      <c r="W45" s="186">
        <v>17.852534562211986</v>
      </c>
      <c r="X45" s="186">
        <v>17.071028037383183</v>
      </c>
      <c r="Y45" s="186">
        <v>18.764705882352946</v>
      </c>
      <c r="Z45" s="186">
        <v>23.692710027100251</v>
      </c>
      <c r="AA45" s="186">
        <v>27.606774668630347</v>
      </c>
      <c r="AB45" s="186">
        <f t="shared" ref="AB45:AX45" si="60">AB44-AB46</f>
        <v>30.948905109489054</v>
      </c>
      <c r="AC45" s="186">
        <f t="shared" si="60"/>
        <v>39.404421326397916</v>
      </c>
      <c r="AD45" s="186">
        <f t="shared" si="60"/>
        <v>42.504454059557141</v>
      </c>
      <c r="AE45" s="186">
        <f t="shared" si="60"/>
        <v>40.627046967690639</v>
      </c>
      <c r="AF45" s="186">
        <f t="shared" si="60"/>
        <v>42.707363478120072</v>
      </c>
      <c r="AG45" s="186">
        <f t="shared" si="60"/>
        <v>51.425855513307987</v>
      </c>
      <c r="AH45" s="186">
        <f t="shared" si="60"/>
        <v>60.752909579230085</v>
      </c>
      <c r="AI45" s="186">
        <f t="shared" si="60"/>
        <v>66.633707865168532</v>
      </c>
      <c r="AJ45" s="186">
        <f t="shared" si="60"/>
        <v>61.187665782493376</v>
      </c>
      <c r="AK45" s="186">
        <f t="shared" si="60"/>
        <v>57.932453825857515</v>
      </c>
      <c r="AL45" s="186">
        <f t="shared" si="60"/>
        <v>57.869869869869866</v>
      </c>
      <c r="AM45" s="186">
        <f t="shared" si="60"/>
        <v>57.202606635071092</v>
      </c>
      <c r="AN45" s="186">
        <f t="shared" si="60"/>
        <v>63.39705882352942</v>
      </c>
      <c r="AO45" s="186">
        <f t="shared" si="60"/>
        <v>52.887376237623755</v>
      </c>
      <c r="AP45" s="186">
        <f t="shared" si="60"/>
        <v>52.727623953638123</v>
      </c>
      <c r="AQ45" s="186">
        <f t="shared" si="60"/>
        <v>51.746279234585401</v>
      </c>
      <c r="AR45" s="186">
        <f t="shared" si="60"/>
        <v>53.20405101275319</v>
      </c>
      <c r="AS45" s="186">
        <f t="shared" si="60"/>
        <v>54.84168212739641</v>
      </c>
      <c r="AT45" s="186">
        <f t="shared" si="60"/>
        <v>56.939452186448833</v>
      </c>
      <c r="AU45" s="186">
        <f t="shared" si="60"/>
        <v>60.868088467614541</v>
      </c>
      <c r="AV45" s="186">
        <f t="shared" si="60"/>
        <v>59.670673952641167</v>
      </c>
      <c r="AW45" s="186">
        <f t="shared" si="60"/>
        <v>60.46456943120431</v>
      </c>
      <c r="AX45" s="186">
        <f t="shared" si="60"/>
        <v>66.287291075370547</v>
      </c>
      <c r="AY45" s="186">
        <f>+AY44-AY46</f>
        <v>71.927936507936508</v>
      </c>
      <c r="AZ45" s="186">
        <f t="shared" ref="AZ45:BJ45" si="61">+AZ44-AZ46</f>
        <v>62.349500000000006</v>
      </c>
      <c r="BA45" s="186">
        <f t="shared" si="61"/>
        <v>57.060816326530613</v>
      </c>
      <c r="BB45" s="186">
        <f t="shared" si="61"/>
        <v>57.302499999999995</v>
      </c>
      <c r="BC45" s="186">
        <f t="shared" si="61"/>
        <v>59.105384615384622</v>
      </c>
      <c r="BD45" s="186">
        <f t="shared" si="61"/>
        <v>60.115000000000002</v>
      </c>
      <c r="BE45" s="186">
        <f t="shared" si="61"/>
        <v>61.124615384615396</v>
      </c>
      <c r="BF45" s="186">
        <f t="shared" si="61"/>
        <v>62.134230769230783</v>
      </c>
      <c r="BG45" s="186">
        <f t="shared" si="61"/>
        <v>63.143846153846155</v>
      </c>
      <c r="BH45" s="186">
        <f t="shared" si="61"/>
        <v>63.648653846153842</v>
      </c>
      <c r="BI45" s="186">
        <f t="shared" si="61"/>
        <v>63.648653846153842</v>
      </c>
      <c r="BJ45" s="186">
        <f t="shared" si="61"/>
        <v>63.648653846153842</v>
      </c>
      <c r="BK45" s="24"/>
      <c r="BL45" s="91"/>
      <c r="BM45" s="23">
        <f t="shared" si="9"/>
        <v>39</v>
      </c>
    </row>
    <row r="46" spans="1:71" ht="12.75" customHeight="1" outlineLevel="1">
      <c r="A46" s="118"/>
      <c r="B46" s="122" t="s">
        <v>265</v>
      </c>
      <c r="C46" s="72"/>
      <c r="D46" s="72"/>
      <c r="E46" s="76">
        <f t="shared" ref="E46:Q46" si="62">E17*1000/E43</f>
        <v>24.692872117400423</v>
      </c>
      <c r="F46" s="76">
        <f t="shared" si="62"/>
        <v>29.879288437102922</v>
      </c>
      <c r="G46" s="76">
        <f t="shared" si="62"/>
        <v>28.329829172141917</v>
      </c>
      <c r="H46" s="187">
        <f t="shared" si="62"/>
        <v>33.486920332936975</v>
      </c>
      <c r="I46" s="187">
        <f t="shared" si="62"/>
        <v>47.999520350829108</v>
      </c>
      <c r="J46" s="187">
        <f t="shared" si="62"/>
        <v>35.79233237257673</v>
      </c>
      <c r="K46" s="187">
        <f t="shared" si="62"/>
        <v>38.025089073634206</v>
      </c>
      <c r="L46" s="187">
        <f t="shared" si="62"/>
        <v>14.624074987666502</v>
      </c>
      <c r="M46" s="187">
        <f t="shared" si="62"/>
        <v>1.7766221670288731</v>
      </c>
      <c r="N46" s="187">
        <f t="shared" si="62"/>
        <v>26.043380767572224</v>
      </c>
      <c r="O46" s="187">
        <f t="shared" si="62"/>
        <v>29.320018221574344</v>
      </c>
      <c r="P46" s="187">
        <f t="shared" si="62"/>
        <v>27.369230769230768</v>
      </c>
      <c r="Q46" s="187">
        <f t="shared" si="62"/>
        <v>26.580528846153847</v>
      </c>
      <c r="R46" s="104"/>
      <c r="S46" s="187">
        <f t="shared" ref="S46:AA46" si="63">S44-S45</f>
        <v>29.230769230769234</v>
      </c>
      <c r="T46" s="187">
        <f t="shared" si="63"/>
        <v>27.841961852861033</v>
      </c>
      <c r="U46" s="187">
        <f t="shared" si="63"/>
        <v>31.007407407407399</v>
      </c>
      <c r="V46" s="187">
        <f t="shared" si="63"/>
        <v>25.621004566210051</v>
      </c>
      <c r="W46" s="187">
        <f t="shared" si="63"/>
        <v>26.474654377880185</v>
      </c>
      <c r="X46" s="187">
        <f t="shared" si="63"/>
        <v>31.224299065420556</v>
      </c>
      <c r="Y46" s="187">
        <f t="shared" si="63"/>
        <v>34.058823529411768</v>
      </c>
      <c r="Z46" s="187">
        <f t="shared" si="63"/>
        <v>40.24728997289975</v>
      </c>
      <c r="AA46" s="187">
        <f t="shared" si="63"/>
        <v>51.64212076583209</v>
      </c>
      <c r="AB46" s="187">
        <f t="shared" ref="AB46:AX46" si="64">AB17*1000/AB43</f>
        <v>48.613138686131386</v>
      </c>
      <c r="AC46" s="187">
        <f t="shared" si="64"/>
        <v>44.520156046814044</v>
      </c>
      <c r="AD46" s="187">
        <f t="shared" si="64"/>
        <v>47.722066683634516</v>
      </c>
      <c r="AE46" s="187">
        <f t="shared" si="64"/>
        <v>39.323505353754037</v>
      </c>
      <c r="AF46" s="187">
        <f t="shared" si="64"/>
        <v>35.92681050884508</v>
      </c>
      <c r="AG46" s="187">
        <f t="shared" si="64"/>
        <v>38.117870722433459</v>
      </c>
      <c r="AH46" s="187">
        <f t="shared" si="64"/>
        <v>30.572963294538944</v>
      </c>
      <c r="AI46" s="187">
        <f t="shared" si="64"/>
        <v>31.182022471910113</v>
      </c>
      <c r="AJ46" s="187">
        <f t="shared" si="64"/>
        <v>37.838196286472147</v>
      </c>
      <c r="AK46" s="187">
        <f t="shared" si="64"/>
        <v>40.649076517150398</v>
      </c>
      <c r="AL46" s="187">
        <f t="shared" si="64"/>
        <v>40.249749749749746</v>
      </c>
      <c r="AM46" s="187">
        <f t="shared" si="64"/>
        <v>30.921208530805686</v>
      </c>
      <c r="AN46" s="187">
        <f t="shared" si="64"/>
        <v>10.830882352941176</v>
      </c>
      <c r="AO46" s="187">
        <f t="shared" si="64"/>
        <v>10.223391089108912</v>
      </c>
      <c r="AP46" s="187">
        <f t="shared" si="64"/>
        <v>4.4790727623953641</v>
      </c>
      <c r="AQ46" s="187">
        <f t="shared" si="64"/>
        <v>0.60311835577604533</v>
      </c>
      <c r="AR46" s="187">
        <f t="shared" si="64"/>
        <v>-4.4973743435858964</v>
      </c>
      <c r="AS46" s="187">
        <f t="shared" si="64"/>
        <v>-1.1731601731601731</v>
      </c>
      <c r="AT46" s="187">
        <f t="shared" si="64"/>
        <v>8.8832292167227287</v>
      </c>
      <c r="AU46" s="187">
        <f t="shared" si="64"/>
        <v>15.340047393364928</v>
      </c>
      <c r="AV46" s="187">
        <f t="shared" si="64"/>
        <v>25.946083788706741</v>
      </c>
      <c r="AW46" s="187">
        <f t="shared" si="64"/>
        <v>30.532888465204959</v>
      </c>
      <c r="AX46" s="187">
        <f t="shared" si="64"/>
        <v>30.218543046357617</v>
      </c>
      <c r="AY46" s="286">
        <f t="shared" ref="AY46:BJ46" si="65">AY63</f>
        <v>28.238095238095244</v>
      </c>
      <c r="AZ46" s="286">
        <f t="shared" si="65"/>
        <v>29.541875000000005</v>
      </c>
      <c r="BA46" s="286">
        <f t="shared" si="65"/>
        <v>29.372448979591837</v>
      </c>
      <c r="BB46" s="286">
        <f t="shared" si="65"/>
        <v>29.759615384615383</v>
      </c>
      <c r="BC46" s="286">
        <f t="shared" si="65"/>
        <v>28.589423076923083</v>
      </c>
      <c r="BD46" s="286">
        <f t="shared" si="65"/>
        <v>27.525961538461537</v>
      </c>
      <c r="BE46" s="286">
        <f t="shared" si="65"/>
        <v>26.962499999999995</v>
      </c>
      <c r="BF46" s="286">
        <f t="shared" si="65"/>
        <v>26.399038461538456</v>
      </c>
      <c r="BG46" s="286">
        <f t="shared" si="65"/>
        <v>26.454326923076923</v>
      </c>
      <c r="BH46" s="286">
        <f t="shared" si="65"/>
        <v>26.622596153846153</v>
      </c>
      <c r="BI46" s="286">
        <f t="shared" si="65"/>
        <v>26.622596153846153</v>
      </c>
      <c r="BJ46" s="286">
        <f t="shared" si="65"/>
        <v>26.622596153846153</v>
      </c>
      <c r="BK46" s="21"/>
      <c r="BL46" s="91"/>
      <c r="BM46" s="23">
        <f t="shared" si="9"/>
        <v>40</v>
      </c>
    </row>
    <row r="47" spans="1:71" s="88" customFormat="1" ht="12.75" customHeight="1" outlineLevel="1">
      <c r="A47" s="119"/>
      <c r="B47" s="123"/>
      <c r="C47" s="93"/>
      <c r="D47" s="93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93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102"/>
      <c r="AM47" s="102"/>
      <c r="AN47" s="102"/>
      <c r="AO47" s="102"/>
      <c r="AP47" s="102"/>
      <c r="AQ47" s="102"/>
      <c r="AR47" s="102"/>
      <c r="AS47" s="102"/>
      <c r="AT47" s="102"/>
      <c r="AU47" s="191"/>
      <c r="AV47" s="191"/>
      <c r="AW47" s="191"/>
      <c r="AX47" s="191"/>
      <c r="AY47" s="191"/>
      <c r="AZ47" s="136"/>
      <c r="BA47" s="136"/>
      <c r="BB47" s="136"/>
      <c r="BC47" s="136"/>
      <c r="BD47" s="136"/>
      <c r="BE47" s="136"/>
      <c r="BF47" s="136"/>
      <c r="BG47" s="136"/>
      <c r="BH47" s="136"/>
      <c r="BI47" s="136"/>
      <c r="BJ47" s="136"/>
      <c r="BK47" s="21"/>
      <c r="BL47" s="96"/>
      <c r="BM47" s="23">
        <f t="shared" si="9"/>
        <v>41</v>
      </c>
      <c r="BN47"/>
      <c r="BO47"/>
      <c r="BP47"/>
      <c r="BQ47"/>
      <c r="BR47"/>
      <c r="BS47"/>
    </row>
    <row r="48" spans="1:71" ht="12.75" customHeight="1" outlineLevel="1">
      <c r="A48" s="119"/>
      <c r="B48" s="123" t="s">
        <v>419</v>
      </c>
      <c r="C48" s="93"/>
      <c r="D48" s="93"/>
      <c r="E48" s="21"/>
      <c r="F48" s="97"/>
      <c r="G48" s="97"/>
      <c r="H48" s="97"/>
      <c r="I48" s="240">
        <f t="shared" ref="I48:Q48" si="66">I145</f>
        <v>0</v>
      </c>
      <c r="J48" s="240">
        <f t="shared" si="66"/>
        <v>0</v>
      </c>
      <c r="K48" s="240">
        <f t="shared" ca="1" si="66"/>
        <v>0.94209790209790212</v>
      </c>
      <c r="L48" s="240">
        <f t="shared" ca="1" si="66"/>
        <v>0.71964497041420117</v>
      </c>
      <c r="M48" s="240">
        <f t="shared" ca="1" si="66"/>
        <v>0.57517857142857143</v>
      </c>
      <c r="N48" s="240">
        <f t="shared" ca="1" si="66"/>
        <v>0.87592067988668554</v>
      </c>
      <c r="O48" s="240">
        <f t="shared" ca="1" si="66"/>
        <v>0.81959378733572286</v>
      </c>
      <c r="P48" s="240">
        <f t="shared" ca="1" si="66"/>
        <v>0.88888888888888884</v>
      </c>
      <c r="Q48" s="240">
        <f t="shared" ca="1" si="66"/>
        <v>0.88888888888888884</v>
      </c>
      <c r="R48" s="241"/>
      <c r="S48" s="242"/>
      <c r="T48" s="240">
        <f t="shared" ref="T48:AP48" si="67">T145</f>
        <v>0</v>
      </c>
      <c r="U48" s="240">
        <f t="shared" si="67"/>
        <v>0</v>
      </c>
      <c r="V48" s="240">
        <f t="shared" si="67"/>
        <v>0</v>
      </c>
      <c r="W48" s="240">
        <f t="shared" si="67"/>
        <v>0</v>
      </c>
      <c r="X48" s="240">
        <f t="shared" si="67"/>
        <v>0</v>
      </c>
      <c r="Y48" s="240">
        <f t="shared" si="67"/>
        <v>0</v>
      </c>
      <c r="Z48" s="240">
        <f t="shared" si="67"/>
        <v>0</v>
      </c>
      <c r="AA48" s="240">
        <f t="shared" si="67"/>
        <v>0</v>
      </c>
      <c r="AB48" s="240">
        <f t="shared" si="67"/>
        <v>0</v>
      </c>
      <c r="AC48" s="240">
        <f t="shared" si="67"/>
        <v>0</v>
      </c>
      <c r="AD48" s="240">
        <f t="shared" si="67"/>
        <v>0</v>
      </c>
      <c r="AE48" s="240">
        <f t="shared" si="67"/>
        <v>0</v>
      </c>
      <c r="AF48" s="240">
        <f t="shared" si="67"/>
        <v>0</v>
      </c>
      <c r="AG48" s="240">
        <f t="shared" si="67"/>
        <v>0</v>
      </c>
      <c r="AH48" s="240">
        <f t="shared" si="67"/>
        <v>0</v>
      </c>
      <c r="AI48" s="240">
        <f t="shared" si="67"/>
        <v>0.89</v>
      </c>
      <c r="AJ48" s="240">
        <f t="shared" si="67"/>
        <v>1.0053333333333334</v>
      </c>
      <c r="AK48" s="240">
        <f t="shared" si="67"/>
        <v>0.91325301204819276</v>
      </c>
      <c r="AL48" s="240">
        <f t="shared" si="67"/>
        <v>0.96289156626506023</v>
      </c>
      <c r="AM48" s="240">
        <f t="shared" si="67"/>
        <v>0.8134939759036145</v>
      </c>
      <c r="AN48" s="240">
        <f t="shared" si="67"/>
        <v>0.57599999999999996</v>
      </c>
      <c r="AO48" s="240">
        <f t="shared" si="67"/>
        <v>0.76047058823529412</v>
      </c>
      <c r="AP48" s="240">
        <f t="shared" si="67"/>
        <v>0.73082352941176476</v>
      </c>
      <c r="AQ48" s="240">
        <f t="shared" ref="AQ48:BJ48" si="68">AQ145</f>
        <v>0.59410526315789469</v>
      </c>
      <c r="AR48" s="240">
        <f t="shared" si="68"/>
        <v>0.51766990291262138</v>
      </c>
      <c r="AS48" s="240">
        <f t="shared" si="68"/>
        <v>0.51744000000000001</v>
      </c>
      <c r="AT48" s="240">
        <f t="shared" si="68"/>
        <v>0.66591999999999996</v>
      </c>
      <c r="AU48" s="240">
        <f t="shared" si="68"/>
        <v>0.81023999999999996</v>
      </c>
      <c r="AV48" s="240">
        <f t="shared" si="68"/>
        <v>0.87839999999999996</v>
      </c>
      <c r="AW48" s="240">
        <f>AW145</f>
        <v>0.96091603053435115</v>
      </c>
      <c r="AX48" s="240">
        <f>AX145</f>
        <v>0.85414141414141409</v>
      </c>
      <c r="AY48" s="240">
        <f t="shared" si="68"/>
        <v>0.73255813953488369</v>
      </c>
      <c r="AZ48" s="240">
        <f t="shared" si="68"/>
        <v>0.79187817258883253</v>
      </c>
      <c r="BA48" s="240">
        <f t="shared" si="68"/>
        <v>0.83760683760683763</v>
      </c>
      <c r="BB48" s="240">
        <f t="shared" si="68"/>
        <v>0.88888888888888884</v>
      </c>
      <c r="BC48" s="240">
        <f t="shared" si="68"/>
        <v>0.88888888888888884</v>
      </c>
      <c r="BD48" s="240">
        <f t="shared" si="68"/>
        <v>0.88888888888888884</v>
      </c>
      <c r="BE48" s="240">
        <f t="shared" si="68"/>
        <v>0.88888888888888884</v>
      </c>
      <c r="BF48" s="240">
        <f t="shared" si="68"/>
        <v>0.88888888888888884</v>
      </c>
      <c r="BG48" s="240">
        <f t="shared" si="68"/>
        <v>0.88888888888888884</v>
      </c>
      <c r="BH48" s="240">
        <f t="shared" si="68"/>
        <v>0.88888888888888884</v>
      </c>
      <c r="BI48" s="240">
        <f t="shared" si="68"/>
        <v>0.88888888888888884</v>
      </c>
      <c r="BJ48" s="240">
        <f t="shared" si="68"/>
        <v>0.88888888888888884</v>
      </c>
      <c r="BK48" s="21"/>
      <c r="BL48" s="89"/>
      <c r="BM48" s="23">
        <f t="shared" si="9"/>
        <v>42</v>
      </c>
    </row>
    <row r="49" spans="1:71" ht="12.75" customHeight="1" outlineLevel="1">
      <c r="A49" s="119"/>
      <c r="B49" s="123" t="s">
        <v>306</v>
      </c>
      <c r="C49" s="93"/>
      <c r="D49" s="93"/>
      <c r="E49" s="21"/>
      <c r="F49" s="97">
        <f t="shared" ref="F49:Q49" si="69">F43/E43-1</f>
        <v>-0.1750524109014675</v>
      </c>
      <c r="G49" s="97">
        <f t="shared" si="69"/>
        <v>0.93392630241423125</v>
      </c>
      <c r="H49" s="97">
        <f t="shared" si="69"/>
        <v>0.32614980289093309</v>
      </c>
      <c r="I49" s="97">
        <f t="shared" si="69"/>
        <v>0.44609591755846223</v>
      </c>
      <c r="J49" s="97">
        <f t="shared" si="69"/>
        <v>0.3970429628614498</v>
      </c>
      <c r="K49" s="97">
        <f t="shared" si="69"/>
        <v>0.65191607305020072</v>
      </c>
      <c r="L49" s="97">
        <f t="shared" si="69"/>
        <v>-9.7238717339667491E-2</v>
      </c>
      <c r="M49" s="97">
        <f t="shared" si="69"/>
        <v>5.9365235980924247E-2</v>
      </c>
      <c r="N49" s="97">
        <f t="shared" si="69"/>
        <v>0.79990686122322252</v>
      </c>
      <c r="O49" s="97">
        <f t="shared" si="69"/>
        <v>0.47908581285036655</v>
      </c>
      <c r="P49" s="97">
        <f t="shared" si="69"/>
        <v>0.2128279883381925</v>
      </c>
      <c r="Q49" s="97">
        <f t="shared" si="69"/>
        <v>0</v>
      </c>
      <c r="R49" s="93"/>
      <c r="S49" s="21"/>
      <c r="T49" s="97">
        <f t="shared" ref="T49:BJ49" si="70">T43/S43-1</f>
        <v>0.17628205128205132</v>
      </c>
      <c r="U49" s="97">
        <f t="shared" si="70"/>
        <v>0.10354223433242504</v>
      </c>
      <c r="V49" s="97">
        <f t="shared" si="70"/>
        <v>8.1481481481481488E-2</v>
      </c>
      <c r="W49" s="97">
        <f t="shared" si="70"/>
        <v>-9.1324200913242004E-3</v>
      </c>
      <c r="X49" s="97">
        <f t="shared" si="70"/>
        <v>0.23271889400921664</v>
      </c>
      <c r="Y49" s="97">
        <f t="shared" si="70"/>
        <v>-0.14205607476635518</v>
      </c>
      <c r="Z49" s="97">
        <f t="shared" si="70"/>
        <v>0.28627450980392144</v>
      </c>
      <c r="AA49" s="97">
        <f t="shared" si="70"/>
        <v>0.15006775067750677</v>
      </c>
      <c r="AB49" s="97">
        <f t="shared" si="70"/>
        <v>8.8365243004417948E-3</v>
      </c>
      <c r="AC49" s="97">
        <f t="shared" si="70"/>
        <v>0.1226277372262774</v>
      </c>
      <c r="AD49" s="97">
        <f t="shared" si="70"/>
        <v>2.1846553966189841E-2</v>
      </c>
      <c r="AE49" s="97">
        <f t="shared" si="70"/>
        <v>0.17150547213031309</v>
      </c>
      <c r="AF49" s="97">
        <f t="shared" si="70"/>
        <v>7.3379616302525985E-2</v>
      </c>
      <c r="AG49" s="97">
        <f t="shared" si="70"/>
        <v>6.4648018459296352E-2</v>
      </c>
      <c r="AH49" s="97">
        <f t="shared" si="70"/>
        <v>6.1787072243346008E-2</v>
      </c>
      <c r="AI49" s="97">
        <f t="shared" si="70"/>
        <v>0.19516562220232769</v>
      </c>
      <c r="AJ49" s="97">
        <f t="shared" si="70"/>
        <v>0.12958801498127337</v>
      </c>
      <c r="AK49" s="97">
        <f t="shared" si="70"/>
        <v>0.25663129973474796</v>
      </c>
      <c r="AL49" s="97">
        <f t="shared" si="70"/>
        <v>5.4353562005277078E-2</v>
      </c>
      <c r="AM49" s="97">
        <f t="shared" si="70"/>
        <v>-0.1551551551551551</v>
      </c>
      <c r="AN49" s="97">
        <f t="shared" si="70"/>
        <v>-0.27488151658767768</v>
      </c>
      <c r="AO49" s="97">
        <f t="shared" si="70"/>
        <v>0.3202614379084967</v>
      </c>
      <c r="AP49" s="97">
        <f t="shared" si="70"/>
        <v>-3.8985148514851464E-2</v>
      </c>
      <c r="AQ49" s="97">
        <f t="shared" si="70"/>
        <v>-9.1435930457179682E-2</v>
      </c>
      <c r="AR49" s="97">
        <f t="shared" si="70"/>
        <v>-5.5279943302622203E-2</v>
      </c>
      <c r="AS49" s="97">
        <f t="shared" si="70"/>
        <v>0.21305326331582886</v>
      </c>
      <c r="AT49" s="97">
        <f t="shared" si="70"/>
        <v>0.28695114409400113</v>
      </c>
      <c r="AU49" s="97">
        <f t="shared" si="70"/>
        <v>0.21672272945699178</v>
      </c>
      <c r="AV49" s="97">
        <f t="shared" si="70"/>
        <v>8.4123222748815119E-2</v>
      </c>
      <c r="AW49" s="97">
        <f t="shared" si="70"/>
        <v>0.14644808743169402</v>
      </c>
      <c r="AX49" s="97">
        <f t="shared" si="70"/>
        <v>7.6263107721639134E-3</v>
      </c>
      <c r="AY49" s="97">
        <f t="shared" si="70"/>
        <v>-6.6225165562914245E-3</v>
      </c>
      <c r="AZ49" s="97">
        <f t="shared" si="70"/>
        <v>0.23809523809523814</v>
      </c>
      <c r="BA49" s="97">
        <f t="shared" si="70"/>
        <v>0.25641025641025639</v>
      </c>
      <c r="BB49" s="97">
        <f t="shared" si="70"/>
        <v>6.1224489795918435E-2</v>
      </c>
      <c r="BC49" s="97">
        <f t="shared" si="70"/>
        <v>0</v>
      </c>
      <c r="BD49" s="97">
        <f t="shared" si="70"/>
        <v>0</v>
      </c>
      <c r="BE49" s="97">
        <f t="shared" si="70"/>
        <v>0</v>
      </c>
      <c r="BF49" s="97">
        <f t="shared" si="70"/>
        <v>0</v>
      </c>
      <c r="BG49" s="97">
        <f t="shared" si="70"/>
        <v>0</v>
      </c>
      <c r="BH49" s="97">
        <f t="shared" si="70"/>
        <v>0</v>
      </c>
      <c r="BI49" s="97">
        <f t="shared" si="70"/>
        <v>0</v>
      </c>
      <c r="BJ49" s="97">
        <f t="shared" si="70"/>
        <v>0</v>
      </c>
      <c r="BK49" s="21"/>
      <c r="BL49" s="89"/>
      <c r="BM49" s="23">
        <f t="shared" si="9"/>
        <v>43</v>
      </c>
    </row>
    <row r="50" spans="1:71" ht="12.75" customHeight="1" outlineLevel="1">
      <c r="A50" s="118"/>
      <c r="B50" s="124" t="s">
        <v>305</v>
      </c>
      <c r="C50" s="1"/>
      <c r="D50" s="1"/>
      <c r="E50" s="1"/>
      <c r="F50" s="11">
        <f t="shared" ref="F50:Q50" si="71">F44/E44-1</f>
        <v>0.14693954986349977</v>
      </c>
      <c r="G50" s="11">
        <f t="shared" si="71"/>
        <v>3.6335040091381998E-3</v>
      </c>
      <c r="H50" s="11">
        <f t="shared" si="71"/>
        <v>0.16077873910247131</v>
      </c>
      <c r="I50" s="11">
        <f t="shared" si="71"/>
        <v>0.57422691009046978</v>
      </c>
      <c r="J50" s="11">
        <f t="shared" si="71"/>
        <v>2.0511100789390557E-2</v>
      </c>
      <c r="K50" s="11">
        <f t="shared" si="71"/>
        <v>0.15453288344873806</v>
      </c>
      <c r="L50" s="11">
        <f t="shared" si="71"/>
        <v>-0.28059437555580935</v>
      </c>
      <c r="M50" s="11">
        <f t="shared" si="71"/>
        <v>-0.20491676416817151</v>
      </c>
      <c r="N50" s="11">
        <f t="shared" si="71"/>
        <v>0.56364455524981816</v>
      </c>
      <c r="O50" s="11">
        <f t="shared" si="71"/>
        <v>2.7124468108022048E-2</v>
      </c>
      <c r="P50" s="11">
        <f t="shared" si="71"/>
        <v>-2.6535158495250677E-2</v>
      </c>
      <c r="Q50" s="11">
        <f t="shared" si="71"/>
        <v>2.4025064310895461E-2</v>
      </c>
      <c r="R50" s="51"/>
      <c r="S50" s="1"/>
      <c r="T50" s="11">
        <f t="shared" ref="T50:BJ50" si="72">T44/S44-1</f>
        <v>-6.772096351868484E-3</v>
      </c>
      <c r="U50" s="11">
        <f t="shared" si="72"/>
        <v>2.7934686258769714E-2</v>
      </c>
      <c r="V50" s="11">
        <f t="shared" si="72"/>
        <v>-0.12515406284988273</v>
      </c>
      <c r="W50" s="11">
        <f t="shared" si="72"/>
        <v>5.6845504096694643E-2</v>
      </c>
      <c r="X50" s="11">
        <f t="shared" si="72"/>
        <v>8.9519282805739619E-2</v>
      </c>
      <c r="Y50" s="11">
        <f t="shared" si="72"/>
        <v>9.3760671696498266E-2</v>
      </c>
      <c r="Z50" s="11">
        <f t="shared" si="72"/>
        <v>0.21044543429844076</v>
      </c>
      <c r="AA50" s="11">
        <f t="shared" si="72"/>
        <v>0.23942595299440783</v>
      </c>
      <c r="AB50" s="11">
        <f t="shared" si="72"/>
        <v>3.9514539532852222E-3</v>
      </c>
      <c r="AC50" s="11">
        <f t="shared" si="72"/>
        <v>5.4831844048627287E-2</v>
      </c>
      <c r="AD50" s="11">
        <f t="shared" si="72"/>
        <v>7.5090558299209631E-2</v>
      </c>
      <c r="AE50" s="11">
        <f t="shared" si="72"/>
        <v>-0.11389077554032123</v>
      </c>
      <c r="AF50" s="11">
        <f t="shared" si="72"/>
        <v>-1.6464906073280994E-2</v>
      </c>
      <c r="AG50" s="11">
        <f t="shared" si="72"/>
        <v>0.13873805364299652</v>
      </c>
      <c r="AH50" s="11">
        <f t="shared" si="72"/>
        <v>1.9902529333386543E-2</v>
      </c>
      <c r="AI50" s="11">
        <f t="shared" si="72"/>
        <v>7.1062638210750206E-2</v>
      </c>
      <c r="AJ50" s="11">
        <f t="shared" si="72"/>
        <v>1.2371545228121228E-2</v>
      </c>
      <c r="AK50" s="11">
        <f t="shared" si="72"/>
        <v>-4.4870270924595168E-3</v>
      </c>
      <c r="AL50" s="11">
        <f t="shared" si="72"/>
        <v>-4.6855706315483969E-3</v>
      </c>
      <c r="AM50" s="11">
        <f t="shared" si="72"/>
        <v>-0.10187365679253113</v>
      </c>
      <c r="AN50" s="11">
        <f t="shared" si="72"/>
        <v>-0.15768579654943182</v>
      </c>
      <c r="AO50" s="11">
        <f t="shared" si="72"/>
        <v>-0.14977074230454257</v>
      </c>
      <c r="AP50" s="11">
        <f t="shared" si="72"/>
        <v>-9.3550924204946595E-2</v>
      </c>
      <c r="AQ50" s="11">
        <f t="shared" si="72"/>
        <v>-8.490787625412155E-2</v>
      </c>
      <c r="AR50" s="11">
        <f t="shared" si="72"/>
        <v>-6.9584772487713442E-2</v>
      </c>
      <c r="AS50" s="11">
        <f t="shared" si="72"/>
        <v>0.10187197370848211</v>
      </c>
      <c r="AT50" s="11">
        <f t="shared" si="72"/>
        <v>0.22646719168639118</v>
      </c>
      <c r="AU50" s="11">
        <f t="shared" si="72"/>
        <v>0.15777926751716165</v>
      </c>
      <c r="AV50" s="11">
        <f t="shared" si="72"/>
        <v>0.12345954633415857</v>
      </c>
      <c r="AW50" s="11">
        <f t="shared" si="72"/>
        <v>6.2846343367926938E-2</v>
      </c>
      <c r="AX50" s="11">
        <f t="shared" si="72"/>
        <v>6.0533297881679049E-2</v>
      </c>
      <c r="AY50" s="11">
        <f t="shared" si="72"/>
        <v>3.7927216086094617E-2</v>
      </c>
      <c r="AZ50" s="11">
        <f t="shared" si="72"/>
        <v>-8.2609409615146845E-2</v>
      </c>
      <c r="BA50" s="11">
        <f t="shared" si="72"/>
        <v>-5.9397410190864641E-2</v>
      </c>
      <c r="BB50" s="11">
        <f t="shared" si="72"/>
        <v>7.2755561908453004E-3</v>
      </c>
      <c r="BC50" s="11">
        <f t="shared" si="72"/>
        <v>7.2671368585206508E-3</v>
      </c>
      <c r="BD50" s="11">
        <f t="shared" si="72"/>
        <v>-6.1401758283219365E-4</v>
      </c>
      <c r="BE50" s="11">
        <f t="shared" si="72"/>
        <v>5.0907000370832289E-3</v>
      </c>
      <c r="BF50" s="11">
        <f t="shared" si="72"/>
        <v>5.0649160686646599E-3</v>
      </c>
      <c r="BG50" s="11">
        <f t="shared" si="72"/>
        <v>1.2028290103893946E-2</v>
      </c>
      <c r="BH50" s="11">
        <f t="shared" si="72"/>
        <v>7.5121724022102487E-3</v>
      </c>
      <c r="BI50" s="11">
        <f t="shared" si="72"/>
        <v>0</v>
      </c>
      <c r="BJ50" s="11">
        <f t="shared" si="72"/>
        <v>0</v>
      </c>
      <c r="BK50" s="1"/>
      <c r="BL50" s="91"/>
      <c r="BM50" s="23">
        <f t="shared" si="9"/>
        <v>44</v>
      </c>
    </row>
    <row r="51" spans="1:71" ht="12.75" customHeight="1" outlineLevel="1">
      <c r="A51" s="118"/>
      <c r="B51" s="124" t="s">
        <v>285</v>
      </c>
      <c r="C51" s="1"/>
      <c r="D51" s="1"/>
      <c r="E51" s="1"/>
      <c r="F51" s="11">
        <f t="shared" ref="F51:Q51" si="73">F45/E45-1</f>
        <v>4.3127132426586279E-2</v>
      </c>
      <c r="G51" s="11">
        <f t="shared" si="73"/>
        <v>0.10953937920589207</v>
      </c>
      <c r="H51" s="11">
        <f t="shared" si="73"/>
        <v>0.12610761896820555</v>
      </c>
      <c r="I51" s="11">
        <f t="shared" si="73"/>
        <v>0.81534241945098129</v>
      </c>
      <c r="J51" s="11">
        <f t="shared" si="73"/>
        <v>0.39200247056003001</v>
      </c>
      <c r="K51" s="11">
        <f t="shared" si="73"/>
        <v>0.22126001270372786</v>
      </c>
      <c r="L51" s="11">
        <f t="shared" si="73"/>
        <v>-6.969504050100539E-2</v>
      </c>
      <c r="M51" s="11">
        <f t="shared" si="73"/>
        <v>-2.9511451022985802E-2</v>
      </c>
      <c r="N51" s="11">
        <f t="shared" si="73"/>
        <v>0.13677639054163659</v>
      </c>
      <c r="O51" s="11">
        <f t="shared" si="73"/>
        <v>-1.4359447062602948E-2</v>
      </c>
      <c r="P51" s="11">
        <f t="shared" si="73"/>
        <v>-7.3305608674389955E-3</v>
      </c>
      <c r="Q51" s="11">
        <f t="shared" si="73"/>
        <v>4.7882768706598133E-2</v>
      </c>
      <c r="R51" s="51"/>
      <c r="S51" s="1"/>
      <c r="T51" s="11">
        <f t="shared" ref="T51:BJ51" si="74">T45/S45-1</f>
        <v>6.0403167285506099E-2</v>
      </c>
      <c r="U51" s="11">
        <f t="shared" si="74"/>
        <v>-9.9081097815213237E-2</v>
      </c>
      <c r="V51" s="11">
        <f t="shared" si="74"/>
        <v>-3.6247745687599586E-2</v>
      </c>
      <c r="W51" s="11">
        <f t="shared" si="74"/>
        <v>9.3776771331495201E-2</v>
      </c>
      <c r="X51" s="11">
        <f t="shared" si="74"/>
        <v>-4.3775662335531762E-2</v>
      </c>
      <c r="Y51" s="11">
        <f t="shared" si="74"/>
        <v>9.9213582290465618E-2</v>
      </c>
      <c r="Z51" s="11">
        <f t="shared" si="74"/>
        <v>0.26262091053512271</v>
      </c>
      <c r="AA51" s="11">
        <f t="shared" si="74"/>
        <v>0.1652012216860419</v>
      </c>
      <c r="AB51" s="11">
        <f t="shared" si="74"/>
        <v>0.12106196688946702</v>
      </c>
      <c r="AC51" s="11">
        <f t="shared" si="74"/>
        <v>0.27320889663125336</v>
      </c>
      <c r="AD51" s="11">
        <f t="shared" si="74"/>
        <v>7.8672205524369376E-2</v>
      </c>
      <c r="AE51" s="11">
        <f t="shared" si="74"/>
        <v>-4.4169655472715452E-2</v>
      </c>
      <c r="AF51" s="11">
        <f t="shared" si="74"/>
        <v>5.1205210954265112E-2</v>
      </c>
      <c r="AG51" s="11">
        <f t="shared" si="74"/>
        <v>0.20414493719928628</v>
      </c>
      <c r="AH51" s="11">
        <f t="shared" si="74"/>
        <v>0.18136896261275504</v>
      </c>
      <c r="AI51" s="11">
        <f t="shared" si="74"/>
        <v>9.6798627862737741E-2</v>
      </c>
      <c r="AJ51" s="11">
        <f t="shared" si="74"/>
        <v>-8.1731037595792699E-2</v>
      </c>
      <c r="AK51" s="11">
        <f t="shared" si="74"/>
        <v>-5.3200459847697279E-2</v>
      </c>
      <c r="AL51" s="11">
        <f t="shared" si="74"/>
        <v>-1.0802918201215927E-3</v>
      </c>
      <c r="AM51" s="11">
        <f t="shared" si="74"/>
        <v>-1.1530408419774041E-2</v>
      </c>
      <c r="AN51" s="11">
        <f t="shared" si="74"/>
        <v>0.10828968385962479</v>
      </c>
      <c r="AO51" s="11">
        <f t="shared" si="74"/>
        <v>-0.16577555459094995</v>
      </c>
      <c r="AP51" s="11">
        <f t="shared" si="74"/>
        <v>-3.0206127690635132E-3</v>
      </c>
      <c r="AQ51" s="11">
        <f t="shared" si="74"/>
        <v>-1.8611586213624798E-2</v>
      </c>
      <c r="AR51" s="11">
        <f t="shared" si="74"/>
        <v>2.8171528460223305E-2</v>
      </c>
      <c r="AS51" s="11">
        <f t="shared" si="74"/>
        <v>3.0780195933777232E-2</v>
      </c>
      <c r="AT51" s="11">
        <f t="shared" si="74"/>
        <v>3.8251380659319212E-2</v>
      </c>
      <c r="AU51" s="11">
        <f t="shared" si="74"/>
        <v>6.8996734782437841E-2</v>
      </c>
      <c r="AV51" s="11">
        <f t="shared" si="74"/>
        <v>-1.9672287156027091E-2</v>
      </c>
      <c r="AW51" s="11">
        <f t="shared" si="74"/>
        <v>1.3304617259614515E-2</v>
      </c>
      <c r="AX51" s="11">
        <f t="shared" si="74"/>
        <v>9.6299728898115111E-2</v>
      </c>
      <c r="AY51" s="11">
        <f t="shared" si="74"/>
        <v>8.5093919830761866E-2</v>
      </c>
      <c r="AZ51" s="11">
        <f t="shared" si="74"/>
        <v>-0.1331671249442784</v>
      </c>
      <c r="BA51" s="11">
        <f t="shared" si="74"/>
        <v>-8.4823193024312848E-2</v>
      </c>
      <c r="BB51" s="11">
        <f t="shared" si="74"/>
        <v>4.2355453186360137E-3</v>
      </c>
      <c r="BC51" s="11">
        <f t="shared" si="74"/>
        <v>3.1462582180264764E-2</v>
      </c>
      <c r="BD51" s="11">
        <f t="shared" si="74"/>
        <v>1.7081614326431183E-2</v>
      </c>
      <c r="BE51" s="11">
        <f t="shared" si="74"/>
        <v>1.6794733171677567E-2</v>
      </c>
      <c r="BF51" s="11">
        <f t="shared" si="74"/>
        <v>1.6517329037779138E-2</v>
      </c>
      <c r="BG51" s="11">
        <f t="shared" si="74"/>
        <v>1.6248939950107788E-2</v>
      </c>
      <c r="BH51" s="11">
        <f t="shared" si="74"/>
        <v>7.9945667401657428E-3</v>
      </c>
      <c r="BI51" s="11">
        <f t="shared" si="74"/>
        <v>0</v>
      </c>
      <c r="BJ51" s="11">
        <f t="shared" si="74"/>
        <v>0</v>
      </c>
      <c r="BK51" s="1"/>
      <c r="BL51" s="91"/>
      <c r="BM51" s="23">
        <f t="shared" si="9"/>
        <v>45</v>
      </c>
    </row>
    <row r="52" spans="1:71" ht="12.75" customHeight="1" outlineLevel="1">
      <c r="A52" s="118"/>
      <c r="B52" s="124" t="s">
        <v>286</v>
      </c>
      <c r="C52" s="1"/>
      <c r="D52" s="1"/>
      <c r="E52" s="1"/>
      <c r="F52" s="11">
        <f t="shared" ref="F52:M52" si="75">F46/E46-1</f>
        <v>0.21003698132173798</v>
      </c>
      <c r="G52" s="11">
        <f t="shared" si="75"/>
        <v>-5.1857301361867392E-2</v>
      </c>
      <c r="H52" s="11">
        <f t="shared" si="75"/>
        <v>0.18203749586553375</v>
      </c>
      <c r="I52" s="11">
        <f t="shared" si="75"/>
        <v>0.43338114922493687</v>
      </c>
      <c r="J52" s="11">
        <f t="shared" si="75"/>
        <v>-0.25431895754436473</v>
      </c>
      <c r="K52" s="11">
        <f t="shared" si="75"/>
        <v>6.2380866321194661E-2</v>
      </c>
      <c r="L52" s="11">
        <f t="shared" si="75"/>
        <v>-0.61540984271338561</v>
      </c>
      <c r="M52" s="11">
        <f t="shared" si="75"/>
        <v>-0.87851387738867437</v>
      </c>
      <c r="N52" s="157">
        <f>IFERROR(N46/M46-1,"NA")</f>
        <v>13.658930441651398</v>
      </c>
      <c r="O52" s="11">
        <f>O46/N46-1</f>
        <v>0.12581459693136332</v>
      </c>
      <c r="P52" s="11">
        <f>P46/O46-1</f>
        <v>-6.653431923545472E-2</v>
      </c>
      <c r="Q52" s="11">
        <f>Q46/P46-1</f>
        <v>-2.8817102304665498E-2</v>
      </c>
      <c r="R52" s="51"/>
      <c r="S52" s="1"/>
      <c r="T52" s="11">
        <f t="shared" ref="T52:AQ52" si="76">T46/S46-1</f>
        <v>-4.7511831349491107E-2</v>
      </c>
      <c r="U52" s="11">
        <f t="shared" si="76"/>
        <v>0.11369333710300622</v>
      </c>
      <c r="V52" s="11">
        <f t="shared" si="76"/>
        <v>-0.1737134217777454</v>
      </c>
      <c r="W52" s="11">
        <f t="shared" si="76"/>
        <v>3.3318358359607725E-2</v>
      </c>
      <c r="X52" s="11">
        <f t="shared" si="76"/>
        <v>0.17940346339360502</v>
      </c>
      <c r="Y52" s="11">
        <f t="shared" si="76"/>
        <v>9.0779442576192748E-2</v>
      </c>
      <c r="Z52" s="11">
        <f t="shared" si="76"/>
        <v>0.18169936017149513</v>
      </c>
      <c r="AA52" s="11">
        <f t="shared" si="76"/>
        <v>0.28312044862163321</v>
      </c>
      <c r="AB52" s="11">
        <f t="shared" si="76"/>
        <v>-5.8653324743099367E-2</v>
      </c>
      <c r="AC52" s="11">
        <f t="shared" si="76"/>
        <v>-8.4194988226197531E-2</v>
      </c>
      <c r="AD52" s="11">
        <f t="shared" si="76"/>
        <v>7.1920472009432856E-2</v>
      </c>
      <c r="AE52" s="11">
        <f t="shared" si="76"/>
        <v>-0.17598905314720215</v>
      </c>
      <c r="AF52" s="11">
        <f t="shared" si="76"/>
        <v>-8.6378231400082717E-2</v>
      </c>
      <c r="AG52" s="11">
        <f t="shared" si="76"/>
        <v>6.0986772345097195E-2</v>
      </c>
      <c r="AH52" s="11">
        <f t="shared" si="76"/>
        <v>-0.19793622479164663</v>
      </c>
      <c r="AI52" s="11">
        <f t="shared" si="76"/>
        <v>1.9921496372579561E-2</v>
      </c>
      <c r="AJ52" s="11">
        <f t="shared" si="76"/>
        <v>0.21346190166331125</v>
      </c>
      <c r="AK52" s="11">
        <f t="shared" si="76"/>
        <v>7.4286845213158204E-2</v>
      </c>
      <c r="AL52" s="11">
        <f t="shared" si="76"/>
        <v>-9.8237598886697919E-3</v>
      </c>
      <c r="AM52" s="11">
        <f t="shared" si="76"/>
        <v>-0.23176644021251491</v>
      </c>
      <c r="AN52" s="11">
        <f t="shared" si="76"/>
        <v>-0.64972642184568052</v>
      </c>
      <c r="AO52" s="11">
        <f t="shared" si="76"/>
        <v>-5.6088806436651706E-2</v>
      </c>
      <c r="AP52" s="11">
        <f t="shared" si="76"/>
        <v>-0.56187993559524796</v>
      </c>
      <c r="AQ52" s="11">
        <f t="shared" si="76"/>
        <v>-0.86534749762504337</v>
      </c>
      <c r="AR52" s="141" t="s">
        <v>371</v>
      </c>
      <c r="AS52" s="141" t="s">
        <v>371</v>
      </c>
      <c r="AT52" s="141" t="s">
        <v>371</v>
      </c>
      <c r="AU52" s="141">
        <f t="shared" ref="AU52:BJ52" si="77">IFERROR(AU46/AT46-1,"NA")</f>
        <v>0.72685484288609858</v>
      </c>
      <c r="AV52" s="141">
        <f t="shared" si="77"/>
        <v>0.69139528212469981</v>
      </c>
      <c r="AW52" s="141">
        <f t="shared" si="77"/>
        <v>0.17678215771794692</v>
      </c>
      <c r="AX52" s="141">
        <f t="shared" si="77"/>
        <v>-1.0295305640852459E-2</v>
      </c>
      <c r="AY52" s="141">
        <f t="shared" si="77"/>
        <v>-6.5537501434937195E-2</v>
      </c>
      <c r="AZ52" s="141">
        <f t="shared" si="77"/>
        <v>4.6170952782462082E-2</v>
      </c>
      <c r="BA52" s="141">
        <f t="shared" si="77"/>
        <v>-5.7351139833936582E-3</v>
      </c>
      <c r="BB52" s="141">
        <f t="shared" si="77"/>
        <v>1.3181277641934219E-2</v>
      </c>
      <c r="BC52" s="141">
        <f t="shared" si="77"/>
        <v>-3.9321486268174222E-2</v>
      </c>
      <c r="BD52" s="141">
        <f t="shared" si="77"/>
        <v>-3.7197726431910882E-2</v>
      </c>
      <c r="BE52" s="141">
        <f t="shared" si="77"/>
        <v>-2.0470185489223636E-2</v>
      </c>
      <c r="BF52" s="141">
        <f t="shared" si="77"/>
        <v>-2.0897970828429813E-2</v>
      </c>
      <c r="BG52" s="141">
        <f t="shared" si="77"/>
        <v>2.0943361864871335E-3</v>
      </c>
      <c r="BH52" s="141">
        <f t="shared" si="77"/>
        <v>6.360745115856492E-3</v>
      </c>
      <c r="BI52" s="141">
        <f t="shared" si="77"/>
        <v>0</v>
      </c>
      <c r="BJ52" s="141">
        <f t="shared" si="77"/>
        <v>0</v>
      </c>
      <c r="BK52" s="1"/>
      <c r="BL52" s="91"/>
      <c r="BM52" s="23">
        <f t="shared" si="9"/>
        <v>46</v>
      </c>
    </row>
    <row r="53" spans="1:71" ht="12.75" customHeight="1" outlineLevel="1">
      <c r="A53" s="118"/>
      <c r="B53" s="124"/>
      <c r="C53" s="1"/>
      <c r="D53" s="1"/>
      <c r="E53" s="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51"/>
      <c r="S53" s="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74"/>
      <c r="AT53" s="190"/>
      <c r="AU53" s="190"/>
      <c r="AV53" s="190"/>
      <c r="AW53" s="190"/>
      <c r="AX53" s="190"/>
      <c r="BC53" s="11"/>
      <c r="BD53" s="11"/>
      <c r="BE53" s="11"/>
      <c r="BF53" s="11"/>
      <c r="BG53" s="11"/>
      <c r="BH53" s="11"/>
      <c r="BI53" s="11"/>
      <c r="BJ53" s="11"/>
      <c r="BK53" s="1"/>
      <c r="BL53" s="91"/>
      <c r="BM53" s="23">
        <f t="shared" si="9"/>
        <v>47</v>
      </c>
    </row>
    <row r="54" spans="1:71" s="47" customFormat="1" ht="12.75" customHeight="1" outlineLevel="1">
      <c r="A54" s="118" t="s">
        <v>29</v>
      </c>
      <c r="B54" s="275" t="s">
        <v>445</v>
      </c>
      <c r="C54" s="28"/>
      <c r="D54" s="28"/>
      <c r="E54" s="198"/>
      <c r="F54" s="198"/>
      <c r="G54" s="198"/>
      <c r="H54" s="198"/>
      <c r="I54" s="198"/>
      <c r="J54" s="198"/>
      <c r="K54" s="198"/>
      <c r="L54" s="198"/>
      <c r="M54" s="198"/>
      <c r="N54" s="198"/>
      <c r="O54" s="276"/>
      <c r="P54" s="198"/>
      <c r="Q54" s="198"/>
      <c r="R54" s="254"/>
      <c r="S54" s="199"/>
      <c r="T54" s="199"/>
      <c r="U54" s="199"/>
      <c r="V54" s="199"/>
      <c r="W54" s="199"/>
      <c r="X54" s="199"/>
      <c r="Y54" s="199"/>
      <c r="Z54" s="199"/>
      <c r="AA54" s="199"/>
      <c r="AB54" s="199"/>
      <c r="AC54" s="199"/>
      <c r="AD54" s="199"/>
      <c r="AE54" s="199"/>
      <c r="AF54" s="199"/>
      <c r="AG54" s="199"/>
      <c r="AH54" s="199"/>
      <c r="AI54" s="199"/>
      <c r="AJ54" s="199"/>
      <c r="AK54" s="199"/>
      <c r="AL54" s="199"/>
      <c r="AM54" s="199"/>
      <c r="AN54" s="199"/>
      <c r="AO54" s="199"/>
      <c r="AP54" s="199"/>
      <c r="AQ54" s="199"/>
      <c r="AR54" s="199"/>
      <c r="AS54" s="199"/>
      <c r="AT54" s="199"/>
      <c r="AU54" s="199"/>
      <c r="AV54" s="199"/>
      <c r="AW54" s="199"/>
      <c r="AX54" s="199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8"/>
      <c r="BL54" s="203"/>
      <c r="BM54" s="23">
        <f t="shared" si="9"/>
        <v>48</v>
      </c>
      <c r="BN54"/>
      <c r="BO54"/>
      <c r="BP54"/>
      <c r="BQ54"/>
      <c r="BR54"/>
      <c r="BS54"/>
    </row>
    <row r="55" spans="1:71" s="47" customFormat="1" ht="12.75" customHeight="1" outlineLevel="1">
      <c r="A55" s="118"/>
      <c r="B55" s="297" t="s">
        <v>471</v>
      </c>
      <c r="C55" s="28"/>
      <c r="D55" s="28"/>
      <c r="E55" s="198"/>
      <c r="F55" s="198"/>
      <c r="G55" s="198"/>
      <c r="H55" s="198"/>
      <c r="I55" s="198"/>
      <c r="J55" s="198"/>
      <c r="K55" s="198"/>
      <c r="L55" s="198"/>
      <c r="M55" s="198"/>
      <c r="N55" s="198"/>
      <c r="O55" s="276"/>
      <c r="P55" s="198"/>
      <c r="Q55" s="198"/>
      <c r="R55" s="254"/>
      <c r="S55" s="199"/>
      <c r="T55" s="199"/>
      <c r="U55" s="199"/>
      <c r="V55" s="199"/>
      <c r="W55" s="199"/>
      <c r="X55" s="199"/>
      <c r="Y55" s="199"/>
      <c r="Z55" s="199"/>
      <c r="AA55" s="199"/>
      <c r="AB55" s="199"/>
      <c r="AC55" s="199"/>
      <c r="AD55" s="199"/>
      <c r="AE55" s="199"/>
      <c r="AF55" s="199"/>
      <c r="AG55" s="199"/>
      <c r="AH55" s="199"/>
      <c r="AI55" s="199"/>
      <c r="AJ55" s="199"/>
      <c r="AK55" s="199"/>
      <c r="AL55" s="199"/>
      <c r="AM55" s="199"/>
      <c r="AN55" s="199"/>
      <c r="AO55" s="199"/>
      <c r="AP55" s="199"/>
      <c r="AQ55" s="199"/>
      <c r="AR55" s="199"/>
      <c r="AS55" s="199"/>
      <c r="AT55" s="199"/>
      <c r="AU55" s="199"/>
      <c r="AV55" s="199"/>
      <c r="AW55" s="199"/>
      <c r="AX55" s="199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8"/>
      <c r="BL55" s="203"/>
      <c r="BM55" s="23">
        <f t="shared" si="9"/>
        <v>49</v>
      </c>
      <c r="BN55"/>
      <c r="BO55"/>
      <c r="BP55"/>
      <c r="BQ55"/>
      <c r="BR55"/>
      <c r="BS55"/>
    </row>
    <row r="56" spans="1:71" s="88" customFormat="1" ht="12.75" hidden="1" customHeight="1" outlineLevel="2">
      <c r="A56" s="119"/>
      <c r="B56" s="125" t="s">
        <v>472</v>
      </c>
      <c r="C56" s="60">
        <f>C11</f>
        <v>10.69</v>
      </c>
      <c r="D56" s="60">
        <f t="shared" ref="D56:Q56" si="78">D11</f>
        <v>18.018999999999998</v>
      </c>
      <c r="E56" s="60">
        <f t="shared" si="78"/>
        <v>37.875</v>
      </c>
      <c r="F56" s="60">
        <f t="shared" si="78"/>
        <v>35.835999999999999</v>
      </c>
      <c r="G56" s="60">
        <f t="shared" si="78"/>
        <v>69.555999999999997</v>
      </c>
      <c r="H56" s="60">
        <f t="shared" si="78"/>
        <v>107.072176</v>
      </c>
      <c r="I56" s="60">
        <f t="shared" si="78"/>
        <v>243.74800000000002</v>
      </c>
      <c r="J56" s="60">
        <f t="shared" si="78"/>
        <v>347.51099999999997</v>
      </c>
      <c r="K56" s="60">
        <f t="shared" si="78"/>
        <v>662.77</v>
      </c>
      <c r="L56" s="60">
        <f t="shared" si="78"/>
        <v>430.43700000000001</v>
      </c>
      <c r="M56" s="60">
        <f t="shared" si="78"/>
        <v>362.54999999999995</v>
      </c>
      <c r="N56" s="60">
        <f t="shared" si="78"/>
        <v>1020.366</v>
      </c>
      <c r="O56" s="60">
        <f t="shared" si="78"/>
        <v>1550.1453624999999</v>
      </c>
      <c r="P56" s="60">
        <f t="shared" si="78"/>
        <v>1830.172</v>
      </c>
      <c r="Q56" s="60">
        <f t="shared" si="78"/>
        <v>1874.1420000000001</v>
      </c>
      <c r="R56" s="93"/>
      <c r="S56" s="60">
        <f t="shared" ref="S56:AX56" si="79">S11</f>
        <v>14.650999999999998</v>
      </c>
      <c r="T56" s="60">
        <f t="shared" si="79"/>
        <v>17.117000000000001</v>
      </c>
      <c r="U56" s="60">
        <f t="shared" si="79"/>
        <v>19.417000000000005</v>
      </c>
      <c r="V56" s="60">
        <f t="shared" si="79"/>
        <v>18.370999999999992</v>
      </c>
      <c r="W56" s="60">
        <f t="shared" si="79"/>
        <v>19.238000000000003</v>
      </c>
      <c r="X56" s="60">
        <f t="shared" si="79"/>
        <v>25.838000000000001</v>
      </c>
      <c r="Y56" s="60">
        <f t="shared" si="79"/>
        <v>24.246000000000002</v>
      </c>
      <c r="Z56" s="60">
        <f t="shared" si="79"/>
        <v>37.750175999999996</v>
      </c>
      <c r="AA56" s="60">
        <f t="shared" si="79"/>
        <v>53.81</v>
      </c>
      <c r="AB56" s="60">
        <f t="shared" si="79"/>
        <v>54.5</v>
      </c>
      <c r="AC56" s="60">
        <f t="shared" si="79"/>
        <v>64.537999999999997</v>
      </c>
      <c r="AD56" s="60">
        <f t="shared" si="79"/>
        <v>70.900000000000006</v>
      </c>
      <c r="AE56" s="60">
        <f t="shared" si="79"/>
        <v>73.599999999999994</v>
      </c>
      <c r="AF56" s="60">
        <f t="shared" si="79"/>
        <v>77.7</v>
      </c>
      <c r="AG56" s="60">
        <f t="shared" si="79"/>
        <v>94.2</v>
      </c>
      <c r="AH56" s="60">
        <f t="shared" si="79"/>
        <v>102.011</v>
      </c>
      <c r="AI56" s="60">
        <f t="shared" si="79"/>
        <v>130.584</v>
      </c>
      <c r="AJ56" s="60">
        <f t="shared" si="79"/>
        <v>149.33099999999999</v>
      </c>
      <c r="AK56" s="60">
        <f t="shared" si="79"/>
        <v>186.81200000000001</v>
      </c>
      <c r="AL56" s="60">
        <f t="shared" si="79"/>
        <v>196.04300000000001</v>
      </c>
      <c r="AM56" s="60">
        <f t="shared" si="79"/>
        <v>148.75299999999999</v>
      </c>
      <c r="AN56" s="60">
        <f t="shared" si="79"/>
        <v>90.855000000000004</v>
      </c>
      <c r="AO56" s="60">
        <f t="shared" si="79"/>
        <v>101.98699999999999</v>
      </c>
      <c r="AP56" s="60">
        <f t="shared" si="79"/>
        <v>88.841999999999999</v>
      </c>
      <c r="AQ56" s="60">
        <f t="shared" si="79"/>
        <v>73.864999999999995</v>
      </c>
      <c r="AR56" s="60">
        <f t="shared" si="79"/>
        <v>64.926000000000002</v>
      </c>
      <c r="AS56" s="60">
        <f t="shared" si="79"/>
        <v>86.781999999999996</v>
      </c>
      <c r="AT56" s="60">
        <f t="shared" si="79"/>
        <v>136.977</v>
      </c>
      <c r="AU56" s="60">
        <f t="shared" si="79"/>
        <v>192.959</v>
      </c>
      <c r="AV56" s="60">
        <f t="shared" si="79"/>
        <v>235.018</v>
      </c>
      <c r="AW56" s="60">
        <f t="shared" si="79"/>
        <v>286.36900000000003</v>
      </c>
      <c r="AX56" s="60">
        <f t="shared" si="79"/>
        <v>306.02</v>
      </c>
      <c r="AY56" s="291">
        <f>+AY65+AY73</f>
        <v>315.52300000000002</v>
      </c>
      <c r="AZ56" s="60">
        <f t="shared" ref="AZ56:BJ56" si="80">+AZ65+AZ73</f>
        <v>367.56550000000004</v>
      </c>
      <c r="BA56" s="60">
        <f t="shared" si="80"/>
        <v>423.52300000000002</v>
      </c>
      <c r="BB56" s="60">
        <f t="shared" si="80"/>
        <v>452.72300000000001</v>
      </c>
      <c r="BC56" s="60">
        <f t="shared" si="80"/>
        <v>456.01300000000003</v>
      </c>
      <c r="BD56" s="60">
        <f t="shared" si="80"/>
        <v>455.733</v>
      </c>
      <c r="BE56" s="60">
        <f t="shared" si="80"/>
        <v>458.053</v>
      </c>
      <c r="BF56" s="60">
        <f t="shared" si="80"/>
        <v>460.37299999999999</v>
      </c>
      <c r="BG56" s="60">
        <f t="shared" si="80"/>
        <v>465.91050000000001</v>
      </c>
      <c r="BH56" s="60">
        <f t="shared" si="80"/>
        <v>469.41050000000001</v>
      </c>
      <c r="BI56" s="60">
        <f t="shared" si="80"/>
        <v>469.41050000000001</v>
      </c>
      <c r="BJ56" s="60">
        <f t="shared" si="80"/>
        <v>469.41050000000001</v>
      </c>
      <c r="BK56" s="29"/>
      <c r="BL56" s="96"/>
      <c r="BM56" s="23">
        <f t="shared" si="9"/>
        <v>50</v>
      </c>
      <c r="BN56"/>
      <c r="BO56"/>
      <c r="BP56"/>
      <c r="BQ56"/>
      <c r="BR56"/>
      <c r="BS56"/>
    </row>
    <row r="57" spans="1:71" s="88" customFormat="1" ht="12.75" hidden="1" customHeight="1" outlineLevel="2">
      <c r="A57" s="119"/>
      <c r="B57" s="125" t="s">
        <v>473</v>
      </c>
      <c r="C57" s="195">
        <f>+C56-C58</f>
        <v>10.69</v>
      </c>
      <c r="D57" s="195">
        <f t="shared" ref="D57:S57" si="81">+D56-D58</f>
        <v>18.018999999999998</v>
      </c>
      <c r="E57" s="195">
        <f t="shared" si="81"/>
        <v>14.317999999999998</v>
      </c>
      <c r="F57" s="195">
        <f t="shared" si="81"/>
        <v>12.320999999999998</v>
      </c>
      <c r="G57" s="195">
        <f t="shared" si="81"/>
        <v>26.437999999999995</v>
      </c>
      <c r="H57" s="195">
        <f t="shared" si="81"/>
        <v>39.482175999999995</v>
      </c>
      <c r="I57" s="195">
        <f t="shared" si="81"/>
        <v>103.64700000000002</v>
      </c>
      <c r="J57" s="195">
        <f t="shared" si="81"/>
        <v>201.56099999999995</v>
      </c>
      <c r="K57" s="195">
        <f t="shared" si="81"/>
        <v>406.63299999999998</v>
      </c>
      <c r="L57" s="195">
        <f t="shared" si="81"/>
        <v>341.50800000000004</v>
      </c>
      <c r="M57" s="195">
        <f t="shared" si="81"/>
        <v>351.10499999999996</v>
      </c>
      <c r="N57" s="195">
        <f t="shared" si="81"/>
        <v>718.39300000000003</v>
      </c>
      <c r="O57" s="195">
        <f t="shared" si="81"/>
        <v>1047.3070499999999</v>
      </c>
      <c r="P57" s="195">
        <f t="shared" si="81"/>
        <v>1260.8920000000001</v>
      </c>
      <c r="Q57" s="195">
        <f t="shared" si="81"/>
        <v>1321.2670000000001</v>
      </c>
      <c r="R57" s="93"/>
      <c r="S57" s="195">
        <f t="shared" si="81"/>
        <v>5.530999999999997</v>
      </c>
      <c r="T57" s="195">
        <f t="shared" ref="T57:AX57" si="82">+T56-T58</f>
        <v>6.8990000000000009</v>
      </c>
      <c r="U57" s="195">
        <f t="shared" si="82"/>
        <v>6.8590000000000053</v>
      </c>
      <c r="V57" s="195">
        <f t="shared" si="82"/>
        <v>7.1489999999999903</v>
      </c>
      <c r="W57" s="195">
        <f t="shared" si="82"/>
        <v>7.7480000000000011</v>
      </c>
      <c r="X57" s="195">
        <f t="shared" si="82"/>
        <v>9.1330000000000027</v>
      </c>
      <c r="Y57" s="195">
        <f t="shared" si="82"/>
        <v>8.6130000000000031</v>
      </c>
      <c r="Z57" s="195">
        <f t="shared" si="82"/>
        <v>13.988175999999989</v>
      </c>
      <c r="AA57" s="195">
        <f t="shared" si="82"/>
        <v>18.745000000000005</v>
      </c>
      <c r="AB57" s="195">
        <f t="shared" si="82"/>
        <v>21.200000000000003</v>
      </c>
      <c r="AC57" s="195">
        <f t="shared" si="82"/>
        <v>30.302</v>
      </c>
      <c r="AD57" s="195">
        <f t="shared" si="82"/>
        <v>33.400000000000006</v>
      </c>
      <c r="AE57" s="195">
        <f t="shared" si="82"/>
        <v>37.399999999999991</v>
      </c>
      <c r="AF57" s="195">
        <f t="shared" si="82"/>
        <v>42.2</v>
      </c>
      <c r="AG57" s="195">
        <f t="shared" si="82"/>
        <v>54.1</v>
      </c>
      <c r="AH57" s="195">
        <f t="shared" si="82"/>
        <v>67.86099999999999</v>
      </c>
      <c r="AI57" s="195">
        <f t="shared" si="82"/>
        <v>88.956000000000003</v>
      </c>
      <c r="AJ57" s="195">
        <f t="shared" si="82"/>
        <v>92.270999999999987</v>
      </c>
      <c r="AK57" s="195">
        <f t="shared" si="82"/>
        <v>109.78200000000001</v>
      </c>
      <c r="AL57" s="195">
        <f t="shared" si="82"/>
        <v>115.62400000000001</v>
      </c>
      <c r="AM57" s="195">
        <f t="shared" si="82"/>
        <v>96.557999999999993</v>
      </c>
      <c r="AN57" s="195">
        <f t="shared" si="82"/>
        <v>77.597999999999999</v>
      </c>
      <c r="AO57" s="195">
        <f t="shared" si="82"/>
        <v>85.465999999999994</v>
      </c>
      <c r="AP57" s="195">
        <f t="shared" si="82"/>
        <v>81.885999999999996</v>
      </c>
      <c r="AQ57" s="195">
        <f t="shared" si="82"/>
        <v>73.013999999999996</v>
      </c>
      <c r="AR57" s="195">
        <f t="shared" si="82"/>
        <v>70.921000000000006</v>
      </c>
      <c r="AS57" s="195">
        <f t="shared" si="82"/>
        <v>88.679000000000002</v>
      </c>
      <c r="AT57" s="195">
        <f t="shared" si="82"/>
        <v>118.491</v>
      </c>
      <c r="AU57" s="195">
        <f t="shared" si="82"/>
        <v>154.11799999999999</v>
      </c>
      <c r="AV57" s="195">
        <f t="shared" si="82"/>
        <v>163.79599999999999</v>
      </c>
      <c r="AW57" s="195">
        <f t="shared" si="82"/>
        <v>190.28200000000004</v>
      </c>
      <c r="AX57" s="195">
        <f t="shared" si="82"/>
        <v>210.197</v>
      </c>
      <c r="AY57" s="292">
        <f>-AY66+AY74</f>
        <v>226.57300000000001</v>
      </c>
      <c r="AZ57" s="195">
        <f t="shared" ref="AZ57:BJ57" si="83">-AZ66+AZ74</f>
        <v>249.39800000000002</v>
      </c>
      <c r="BA57" s="195">
        <f t="shared" si="83"/>
        <v>279.59800000000001</v>
      </c>
      <c r="BB57" s="195">
        <f t="shared" si="83"/>
        <v>297.97300000000001</v>
      </c>
      <c r="BC57" s="195">
        <f t="shared" si="83"/>
        <v>307.34800000000001</v>
      </c>
      <c r="BD57" s="195">
        <f t="shared" si="83"/>
        <v>312.59800000000001</v>
      </c>
      <c r="BE57" s="195">
        <f t="shared" si="83"/>
        <v>317.84800000000001</v>
      </c>
      <c r="BF57" s="195">
        <f t="shared" si="83"/>
        <v>323.09800000000001</v>
      </c>
      <c r="BG57" s="195">
        <f t="shared" si="83"/>
        <v>328.34800000000001</v>
      </c>
      <c r="BH57" s="195">
        <f t="shared" si="83"/>
        <v>330.97300000000001</v>
      </c>
      <c r="BI57" s="195">
        <f t="shared" si="83"/>
        <v>330.97300000000001</v>
      </c>
      <c r="BJ57" s="195">
        <f t="shared" si="83"/>
        <v>330.97300000000001</v>
      </c>
      <c r="BK57" s="29"/>
      <c r="BL57" s="96"/>
      <c r="BM57" s="23">
        <f t="shared" si="9"/>
        <v>51</v>
      </c>
      <c r="BN57"/>
      <c r="BO57"/>
      <c r="BP57"/>
      <c r="BQ57"/>
      <c r="BR57"/>
      <c r="BS57"/>
    </row>
    <row r="58" spans="1:71" s="88" customFormat="1" ht="12.75" hidden="1" customHeight="1" outlineLevel="2">
      <c r="A58" s="119"/>
      <c r="B58" s="125" t="s">
        <v>474</v>
      </c>
      <c r="C58" s="60">
        <f>C17</f>
        <v>0</v>
      </c>
      <c r="D58" s="60">
        <f t="shared" ref="D58:Q58" si="84">D17</f>
        <v>0</v>
      </c>
      <c r="E58" s="60">
        <f t="shared" si="84"/>
        <v>23.557000000000002</v>
      </c>
      <c r="F58" s="60">
        <f t="shared" si="84"/>
        <v>23.515000000000001</v>
      </c>
      <c r="G58" s="60">
        <f t="shared" si="84"/>
        <v>43.118000000000002</v>
      </c>
      <c r="H58" s="60">
        <f t="shared" si="84"/>
        <v>67.59</v>
      </c>
      <c r="I58" s="60">
        <f t="shared" si="84"/>
        <v>140.101</v>
      </c>
      <c r="J58" s="60">
        <f t="shared" si="84"/>
        <v>145.95000000000002</v>
      </c>
      <c r="K58" s="60">
        <f t="shared" si="84"/>
        <v>256.137</v>
      </c>
      <c r="L58" s="60">
        <f t="shared" si="84"/>
        <v>88.929000000000002</v>
      </c>
      <c r="M58" s="60">
        <f t="shared" si="84"/>
        <v>11.445</v>
      </c>
      <c r="N58" s="60">
        <f t="shared" si="84"/>
        <v>301.97299999999996</v>
      </c>
      <c r="O58" s="60">
        <f t="shared" si="84"/>
        <v>502.83831250000003</v>
      </c>
      <c r="P58" s="60">
        <f t="shared" si="84"/>
        <v>569.28</v>
      </c>
      <c r="Q58" s="60">
        <f t="shared" si="84"/>
        <v>552.875</v>
      </c>
      <c r="R58" s="93"/>
      <c r="S58" s="60">
        <f t="shared" ref="S58:AX58" si="85">S17</f>
        <v>9.120000000000001</v>
      </c>
      <c r="T58" s="60">
        <f t="shared" si="85"/>
        <v>10.218</v>
      </c>
      <c r="U58" s="60">
        <f t="shared" si="85"/>
        <v>12.558</v>
      </c>
      <c r="V58" s="60">
        <f t="shared" si="85"/>
        <v>11.222000000000001</v>
      </c>
      <c r="W58" s="60">
        <f t="shared" si="85"/>
        <v>11.490000000000002</v>
      </c>
      <c r="X58" s="60">
        <f t="shared" si="85"/>
        <v>16.704999999999998</v>
      </c>
      <c r="Y58" s="60">
        <f t="shared" si="85"/>
        <v>15.632999999999999</v>
      </c>
      <c r="Z58" s="60">
        <f t="shared" si="85"/>
        <v>23.762000000000008</v>
      </c>
      <c r="AA58" s="60">
        <f t="shared" si="85"/>
        <v>35.064999999999998</v>
      </c>
      <c r="AB58" s="60">
        <f t="shared" si="85"/>
        <v>33.299999999999997</v>
      </c>
      <c r="AC58" s="60">
        <f t="shared" si="85"/>
        <v>34.235999999999997</v>
      </c>
      <c r="AD58" s="60">
        <f t="shared" si="85"/>
        <v>37.5</v>
      </c>
      <c r="AE58" s="60">
        <f t="shared" si="85"/>
        <v>36.200000000000003</v>
      </c>
      <c r="AF58" s="60">
        <f t="shared" si="85"/>
        <v>35.5</v>
      </c>
      <c r="AG58" s="60">
        <f t="shared" si="85"/>
        <v>40.1</v>
      </c>
      <c r="AH58" s="60">
        <f t="shared" si="85"/>
        <v>34.15</v>
      </c>
      <c r="AI58" s="60">
        <f t="shared" si="85"/>
        <v>41.628</v>
      </c>
      <c r="AJ58" s="60">
        <f t="shared" si="85"/>
        <v>57.06</v>
      </c>
      <c r="AK58" s="60">
        <f t="shared" si="85"/>
        <v>77.03</v>
      </c>
      <c r="AL58" s="60">
        <f t="shared" si="85"/>
        <v>80.418999999999997</v>
      </c>
      <c r="AM58" s="60">
        <f t="shared" si="85"/>
        <v>52.195</v>
      </c>
      <c r="AN58" s="60">
        <f t="shared" si="85"/>
        <v>13.257</v>
      </c>
      <c r="AO58" s="60">
        <f t="shared" si="85"/>
        <v>16.521000000000001</v>
      </c>
      <c r="AP58" s="60">
        <f t="shared" si="85"/>
        <v>6.9560000000000004</v>
      </c>
      <c r="AQ58" s="60">
        <f t="shared" si="85"/>
        <v>0.85099999999999998</v>
      </c>
      <c r="AR58" s="60">
        <f t="shared" si="85"/>
        <v>-5.9950000000000001</v>
      </c>
      <c r="AS58" s="60">
        <f t="shared" si="85"/>
        <v>-1.897</v>
      </c>
      <c r="AT58" s="60">
        <f t="shared" si="85"/>
        <v>18.486000000000001</v>
      </c>
      <c r="AU58" s="60">
        <f t="shared" si="85"/>
        <v>38.841000000000001</v>
      </c>
      <c r="AV58" s="60">
        <f t="shared" si="85"/>
        <v>71.221999999999994</v>
      </c>
      <c r="AW58" s="60">
        <f t="shared" si="85"/>
        <v>96.087000000000003</v>
      </c>
      <c r="AX58" s="60">
        <f t="shared" si="85"/>
        <v>95.822999999999993</v>
      </c>
      <c r="AY58" s="291">
        <f>+AY56-AY57</f>
        <v>88.950000000000017</v>
      </c>
      <c r="AZ58" s="60">
        <f t="shared" ref="AZ58:BJ58" si="86">+AZ56-AZ57</f>
        <v>118.16750000000002</v>
      </c>
      <c r="BA58" s="60">
        <f t="shared" si="86"/>
        <v>143.92500000000001</v>
      </c>
      <c r="BB58" s="60">
        <f t="shared" si="86"/>
        <v>154.75</v>
      </c>
      <c r="BC58" s="60">
        <f t="shared" si="86"/>
        <v>148.66500000000002</v>
      </c>
      <c r="BD58" s="60">
        <f t="shared" si="86"/>
        <v>143.13499999999999</v>
      </c>
      <c r="BE58" s="60">
        <f t="shared" si="86"/>
        <v>140.20499999999998</v>
      </c>
      <c r="BF58" s="60">
        <f t="shared" si="86"/>
        <v>137.27499999999998</v>
      </c>
      <c r="BG58" s="60">
        <f t="shared" si="86"/>
        <v>137.5625</v>
      </c>
      <c r="BH58" s="60">
        <f t="shared" si="86"/>
        <v>138.4375</v>
      </c>
      <c r="BI58" s="60">
        <f t="shared" si="86"/>
        <v>138.4375</v>
      </c>
      <c r="BJ58" s="60">
        <f t="shared" si="86"/>
        <v>138.4375</v>
      </c>
      <c r="BK58" s="29"/>
      <c r="BL58" s="96"/>
      <c r="BM58" s="23">
        <f t="shared" si="9"/>
        <v>52</v>
      </c>
      <c r="BN58"/>
      <c r="BO58"/>
      <c r="BP58"/>
      <c r="BQ58"/>
      <c r="BR58"/>
      <c r="BS58"/>
    </row>
    <row r="59" spans="1:71" s="88" customFormat="1" ht="12.75" hidden="1" customHeight="1" outlineLevel="2">
      <c r="A59" s="119"/>
      <c r="B59" s="125"/>
      <c r="C59" s="29"/>
      <c r="D59" s="29"/>
      <c r="E59" s="29"/>
      <c r="F59" s="11"/>
      <c r="G59" s="11"/>
      <c r="H59" s="11"/>
      <c r="I59" s="11"/>
      <c r="J59" s="11"/>
      <c r="K59" s="11"/>
      <c r="L59" s="11"/>
      <c r="M59" s="9"/>
      <c r="N59" s="9"/>
      <c r="O59" s="9"/>
      <c r="P59" s="9"/>
      <c r="Q59" s="9"/>
      <c r="R59" s="93"/>
      <c r="S59" s="192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82"/>
      <c r="AT59" s="182"/>
      <c r="AU59" s="180"/>
      <c r="AV59" s="180"/>
      <c r="AW59" s="180"/>
      <c r="AX59" s="180"/>
      <c r="AY59" s="182"/>
      <c r="AZ59" s="182"/>
      <c r="BA59" s="182"/>
      <c r="BB59" s="182"/>
      <c r="BC59" s="182"/>
      <c r="BD59" s="182"/>
      <c r="BE59" s="182"/>
      <c r="BF59" s="182"/>
      <c r="BG59" s="182"/>
      <c r="BH59" s="182"/>
      <c r="BI59" s="182"/>
      <c r="BJ59" s="182"/>
      <c r="BK59" s="29"/>
      <c r="BL59" s="96"/>
      <c r="BM59" s="23">
        <f t="shared" si="9"/>
        <v>53</v>
      </c>
      <c r="BN59"/>
      <c r="BO59"/>
      <c r="BP59"/>
      <c r="BQ59"/>
      <c r="BR59"/>
      <c r="BS59"/>
    </row>
    <row r="60" spans="1:71" s="88" customFormat="1" ht="12.75" hidden="1" customHeight="1" outlineLevel="2">
      <c r="A60" s="119"/>
      <c r="B60" s="125" t="s">
        <v>287</v>
      </c>
      <c r="C60" s="194">
        <f>C43</f>
        <v>0</v>
      </c>
      <c r="D60" s="194">
        <f t="shared" ref="D60:Q60" si="87">D43</f>
        <v>0</v>
      </c>
      <c r="E60" s="194">
        <f t="shared" si="87"/>
        <v>954</v>
      </c>
      <c r="F60" s="194">
        <f t="shared" si="87"/>
        <v>787</v>
      </c>
      <c r="G60" s="194">
        <f t="shared" si="87"/>
        <v>1522</v>
      </c>
      <c r="H60" s="194">
        <f t="shared" si="87"/>
        <v>2018.4</v>
      </c>
      <c r="I60" s="194">
        <f t="shared" si="87"/>
        <v>2918.8</v>
      </c>
      <c r="J60" s="194">
        <f t="shared" si="87"/>
        <v>4077.6889999999999</v>
      </c>
      <c r="K60" s="194">
        <f t="shared" si="87"/>
        <v>6736</v>
      </c>
      <c r="L60" s="194">
        <f t="shared" si="87"/>
        <v>6081</v>
      </c>
      <c r="M60" s="194">
        <f t="shared" si="87"/>
        <v>6442</v>
      </c>
      <c r="N60" s="194">
        <f t="shared" si="87"/>
        <v>11595</v>
      </c>
      <c r="O60" s="194">
        <f t="shared" si="87"/>
        <v>17150</v>
      </c>
      <c r="P60" s="194">
        <f t="shared" si="87"/>
        <v>20800</v>
      </c>
      <c r="Q60" s="194">
        <f t="shared" si="87"/>
        <v>20800</v>
      </c>
      <c r="R60" s="93"/>
      <c r="S60" s="194">
        <f t="shared" ref="S60:AX60" si="88">S43</f>
        <v>312</v>
      </c>
      <c r="T60" s="194">
        <f t="shared" si="88"/>
        <v>367</v>
      </c>
      <c r="U60" s="194">
        <f t="shared" si="88"/>
        <v>405</v>
      </c>
      <c r="V60" s="194">
        <f t="shared" si="88"/>
        <v>438</v>
      </c>
      <c r="W60" s="194">
        <f t="shared" si="88"/>
        <v>434</v>
      </c>
      <c r="X60" s="194">
        <f t="shared" si="88"/>
        <v>535</v>
      </c>
      <c r="Y60" s="194">
        <f t="shared" si="88"/>
        <v>459</v>
      </c>
      <c r="Z60" s="194">
        <f t="shared" si="88"/>
        <v>590.4</v>
      </c>
      <c r="AA60" s="194">
        <f t="shared" si="88"/>
        <v>679</v>
      </c>
      <c r="AB60" s="194">
        <f t="shared" si="88"/>
        <v>685</v>
      </c>
      <c r="AC60" s="194">
        <f t="shared" si="88"/>
        <v>769</v>
      </c>
      <c r="AD60" s="194">
        <f t="shared" si="88"/>
        <v>785.8</v>
      </c>
      <c r="AE60" s="194">
        <f t="shared" si="88"/>
        <v>920.56899999999996</v>
      </c>
      <c r="AF60" s="194">
        <f t="shared" si="88"/>
        <v>988.12</v>
      </c>
      <c r="AG60" s="194">
        <f t="shared" si="88"/>
        <v>1052</v>
      </c>
      <c r="AH60" s="194">
        <f t="shared" si="88"/>
        <v>1117</v>
      </c>
      <c r="AI60" s="194">
        <f t="shared" si="88"/>
        <v>1335</v>
      </c>
      <c r="AJ60" s="194">
        <f t="shared" si="88"/>
        <v>1508</v>
      </c>
      <c r="AK60" s="194">
        <f t="shared" si="88"/>
        <v>1895</v>
      </c>
      <c r="AL60" s="194">
        <f t="shared" si="88"/>
        <v>1998</v>
      </c>
      <c r="AM60" s="194">
        <f t="shared" si="88"/>
        <v>1688</v>
      </c>
      <c r="AN60" s="194">
        <f t="shared" si="88"/>
        <v>1224</v>
      </c>
      <c r="AO60" s="194">
        <f t="shared" si="88"/>
        <v>1616</v>
      </c>
      <c r="AP60" s="194">
        <f t="shared" si="88"/>
        <v>1553</v>
      </c>
      <c r="AQ60" s="194">
        <f t="shared" si="88"/>
        <v>1411</v>
      </c>
      <c r="AR60" s="194">
        <f t="shared" si="88"/>
        <v>1333</v>
      </c>
      <c r="AS60" s="194">
        <f t="shared" si="88"/>
        <v>1617</v>
      </c>
      <c r="AT60" s="194">
        <f t="shared" si="88"/>
        <v>2081</v>
      </c>
      <c r="AU60" s="194">
        <f t="shared" si="88"/>
        <v>2532</v>
      </c>
      <c r="AV60" s="194">
        <f t="shared" si="88"/>
        <v>2745</v>
      </c>
      <c r="AW60" s="194">
        <f t="shared" si="88"/>
        <v>3147</v>
      </c>
      <c r="AX60" s="288">
        <f t="shared" si="88"/>
        <v>3171</v>
      </c>
      <c r="AY60" s="194">
        <f t="shared" ref="AY60:BJ60" si="89">AY99</f>
        <v>3150</v>
      </c>
      <c r="AZ60" s="194">
        <f t="shared" si="89"/>
        <v>4000</v>
      </c>
      <c r="BA60" s="194">
        <f t="shared" si="89"/>
        <v>4900</v>
      </c>
      <c r="BB60" s="194">
        <f t="shared" si="89"/>
        <v>5200</v>
      </c>
      <c r="BC60" s="194">
        <f t="shared" si="89"/>
        <v>5200</v>
      </c>
      <c r="BD60" s="194">
        <f t="shared" si="89"/>
        <v>5200</v>
      </c>
      <c r="BE60" s="194">
        <f t="shared" si="89"/>
        <v>5200</v>
      </c>
      <c r="BF60" s="194">
        <f t="shared" si="89"/>
        <v>5200</v>
      </c>
      <c r="BG60" s="194">
        <f t="shared" si="89"/>
        <v>5200</v>
      </c>
      <c r="BH60" s="194">
        <f t="shared" si="89"/>
        <v>5200</v>
      </c>
      <c r="BI60" s="194">
        <f t="shared" si="89"/>
        <v>5200</v>
      </c>
      <c r="BJ60" s="194">
        <f t="shared" si="89"/>
        <v>5200</v>
      </c>
      <c r="BK60" s="29"/>
      <c r="BL60" s="96"/>
      <c r="BM60" s="23">
        <f t="shared" si="9"/>
        <v>54</v>
      </c>
      <c r="BN60"/>
      <c r="BO60"/>
      <c r="BP60"/>
      <c r="BQ60"/>
      <c r="BR60"/>
      <c r="BS60"/>
    </row>
    <row r="61" spans="1:71" s="88" customFormat="1" ht="12.75" hidden="1" customHeight="1" outlineLevel="2">
      <c r="A61" s="119"/>
      <c r="B61" s="125" t="s">
        <v>31</v>
      </c>
      <c r="C61" s="285" t="str">
        <f>IFERROR(+C56*1000/C$60,"NM")</f>
        <v>NM</v>
      </c>
      <c r="D61" s="285" t="str">
        <f t="shared" ref="D61:Q61" si="90">IFERROR(+D56*1000/D$60,"NM")</f>
        <v>NM</v>
      </c>
      <c r="E61" s="285">
        <f t="shared" si="90"/>
        <v>39.70125786163522</v>
      </c>
      <c r="F61" s="285">
        <f t="shared" si="90"/>
        <v>45.53494282083863</v>
      </c>
      <c r="G61" s="285">
        <f t="shared" si="90"/>
        <v>45.700394218134036</v>
      </c>
      <c r="H61" s="285">
        <f t="shared" si="90"/>
        <v>53.04804597701149</v>
      </c>
      <c r="I61" s="285">
        <f t="shared" si="90"/>
        <v>83.509661504727973</v>
      </c>
      <c r="J61" s="285">
        <f t="shared" si="90"/>
        <v>85.222536588739345</v>
      </c>
      <c r="K61" s="285">
        <f t="shared" si="90"/>
        <v>98.39222090261282</v>
      </c>
      <c r="L61" s="285">
        <f t="shared" si="90"/>
        <v>70.783917118894919</v>
      </c>
      <c r="M61" s="285">
        <f t="shared" si="90"/>
        <v>56.279105867742928</v>
      </c>
      <c r="N61" s="285">
        <f t="shared" si="90"/>
        <v>88.00051746442432</v>
      </c>
      <c r="O61" s="285">
        <f t="shared" si="90"/>
        <v>90.387484693877539</v>
      </c>
      <c r="P61" s="285">
        <f t="shared" si="90"/>
        <v>87.989038461538456</v>
      </c>
      <c r="Q61" s="285">
        <f t="shared" si="90"/>
        <v>90.102980769230768</v>
      </c>
      <c r="R61" s="93"/>
      <c r="S61" s="285">
        <f t="shared" ref="S61:BJ61" si="91">IFERROR(+S56*1000/S$60,"NM")</f>
        <v>46.958333333333329</v>
      </c>
      <c r="T61" s="285">
        <f t="shared" si="91"/>
        <v>46.640326975476839</v>
      </c>
      <c r="U61" s="285">
        <f t="shared" si="91"/>
        <v>47.943209876543222</v>
      </c>
      <c r="V61" s="285">
        <f t="shared" si="91"/>
        <v>41.942922374429209</v>
      </c>
      <c r="W61" s="285">
        <f t="shared" si="91"/>
        <v>44.327188940092171</v>
      </c>
      <c r="X61" s="285">
        <f t="shared" si="91"/>
        <v>48.295327102803739</v>
      </c>
      <c r="Y61" s="285">
        <f t="shared" si="91"/>
        <v>52.823529411764717</v>
      </c>
      <c r="Z61" s="285">
        <f t="shared" si="91"/>
        <v>63.940000000000005</v>
      </c>
      <c r="AA61" s="285">
        <f t="shared" si="91"/>
        <v>79.24889543446244</v>
      </c>
      <c r="AB61" s="285">
        <f t="shared" si="91"/>
        <v>79.56204379562044</v>
      </c>
      <c r="AC61" s="285">
        <f t="shared" si="91"/>
        <v>83.92457737321196</v>
      </c>
      <c r="AD61" s="285">
        <f t="shared" si="91"/>
        <v>90.226520743191656</v>
      </c>
      <c r="AE61" s="285">
        <f t="shared" si="91"/>
        <v>79.950552321444675</v>
      </c>
      <c r="AF61" s="285">
        <f t="shared" si="91"/>
        <v>78.634173986965152</v>
      </c>
      <c r="AG61" s="285">
        <f t="shared" si="91"/>
        <v>89.543726235741445</v>
      </c>
      <c r="AH61" s="285">
        <f t="shared" si="91"/>
        <v>91.325872873769029</v>
      </c>
      <c r="AI61" s="285">
        <f t="shared" si="91"/>
        <v>97.815730337078648</v>
      </c>
      <c r="AJ61" s="285">
        <f t="shared" si="91"/>
        <v>99.025862068965523</v>
      </c>
      <c r="AK61" s="285">
        <f t="shared" si="91"/>
        <v>98.581530343007913</v>
      </c>
      <c r="AL61" s="285">
        <f t="shared" si="91"/>
        <v>98.119619619619613</v>
      </c>
      <c r="AM61" s="285">
        <f t="shared" si="91"/>
        <v>88.123815165876778</v>
      </c>
      <c r="AN61" s="285">
        <f t="shared" si="91"/>
        <v>74.227941176470594</v>
      </c>
      <c r="AO61" s="285">
        <f t="shared" si="91"/>
        <v>63.11076732673267</v>
      </c>
      <c r="AP61" s="285">
        <f t="shared" si="91"/>
        <v>57.206696716033484</v>
      </c>
      <c r="AQ61" s="285">
        <f t="shared" si="91"/>
        <v>52.349397590361448</v>
      </c>
      <c r="AR61" s="285">
        <f t="shared" si="91"/>
        <v>48.706676669167294</v>
      </c>
      <c r="AS61" s="285">
        <f t="shared" si="91"/>
        <v>53.66852195423624</v>
      </c>
      <c r="AT61" s="285">
        <f t="shared" si="91"/>
        <v>65.822681403171558</v>
      </c>
      <c r="AU61" s="285">
        <f t="shared" si="91"/>
        <v>76.208135860979468</v>
      </c>
      <c r="AV61" s="285">
        <f t="shared" si="91"/>
        <v>85.616757741347911</v>
      </c>
      <c r="AW61" s="285">
        <f t="shared" si="91"/>
        <v>90.997457896409273</v>
      </c>
      <c r="AX61" s="289">
        <f t="shared" si="91"/>
        <v>96.505834121728157</v>
      </c>
      <c r="AY61" s="285">
        <f t="shared" si="91"/>
        <v>100.16603174603175</v>
      </c>
      <c r="AZ61" s="285">
        <f t="shared" si="91"/>
        <v>91.891375000000011</v>
      </c>
      <c r="BA61" s="285">
        <f t="shared" si="91"/>
        <v>86.433265306122451</v>
      </c>
      <c r="BB61" s="285">
        <f t="shared" si="91"/>
        <v>87.062115384615382</v>
      </c>
      <c r="BC61" s="285">
        <f t="shared" si="91"/>
        <v>87.694807692307705</v>
      </c>
      <c r="BD61" s="285">
        <f t="shared" si="91"/>
        <v>87.640961538461539</v>
      </c>
      <c r="BE61" s="285">
        <f t="shared" si="91"/>
        <v>88.087115384615387</v>
      </c>
      <c r="BF61" s="285">
        <f t="shared" si="91"/>
        <v>88.533269230769235</v>
      </c>
      <c r="BG61" s="285">
        <f t="shared" si="91"/>
        <v>89.598173076923075</v>
      </c>
      <c r="BH61" s="285">
        <f t="shared" si="91"/>
        <v>90.271249999999995</v>
      </c>
      <c r="BI61" s="285">
        <f t="shared" si="91"/>
        <v>90.271249999999995</v>
      </c>
      <c r="BJ61" s="285">
        <f t="shared" si="91"/>
        <v>90.271249999999995</v>
      </c>
      <c r="BK61" s="29"/>
      <c r="BL61" s="96"/>
      <c r="BM61" s="23">
        <f t="shared" si="9"/>
        <v>55</v>
      </c>
      <c r="BN61"/>
      <c r="BO61"/>
      <c r="BP61"/>
      <c r="BQ61"/>
      <c r="BR61"/>
      <c r="BS61"/>
    </row>
    <row r="62" spans="1:71" s="88" customFormat="1" ht="12.75" hidden="1" customHeight="1" outlineLevel="2">
      <c r="A62" s="119"/>
      <c r="B62" s="125" t="s">
        <v>32</v>
      </c>
      <c r="C62" s="285" t="str">
        <f>IFERROR(+C57*1000/C$60,"NM")</f>
        <v>NM</v>
      </c>
      <c r="D62" s="285" t="str">
        <f t="shared" ref="D62:Q62" si="92">IFERROR(+D57*1000/D$60,"NM")</f>
        <v>NM</v>
      </c>
      <c r="E62" s="285">
        <f t="shared" si="92"/>
        <v>15.008385744234799</v>
      </c>
      <c r="F62" s="285">
        <f t="shared" si="92"/>
        <v>15.655654383735703</v>
      </c>
      <c r="G62" s="285">
        <f t="shared" si="92"/>
        <v>17.370565045992112</v>
      </c>
      <c r="H62" s="285">
        <f t="shared" si="92"/>
        <v>19.561125644074508</v>
      </c>
      <c r="I62" s="285">
        <f t="shared" si="92"/>
        <v>35.510141153898864</v>
      </c>
      <c r="J62" s="285">
        <f t="shared" si="92"/>
        <v>49.430204216162622</v>
      </c>
      <c r="K62" s="285">
        <f t="shared" si="92"/>
        <v>60.367131828978621</v>
      </c>
      <c r="L62" s="285">
        <f t="shared" si="92"/>
        <v>56.159842131228423</v>
      </c>
      <c r="M62" s="285">
        <f t="shared" si="92"/>
        <v>54.502483700714052</v>
      </c>
      <c r="N62" s="285">
        <f t="shared" si="92"/>
        <v>61.957136696852089</v>
      </c>
      <c r="O62" s="285">
        <f t="shared" si="92"/>
        <v>61.067466472303202</v>
      </c>
      <c r="P62" s="285">
        <f t="shared" si="92"/>
        <v>60.619807692307695</v>
      </c>
      <c r="Q62" s="285">
        <f t="shared" si="92"/>
        <v>63.522451923076922</v>
      </c>
      <c r="R62" s="93"/>
      <c r="S62" s="285">
        <f t="shared" ref="S62:BJ62" si="93">IFERROR(+S57*1000/S$60,"NM")</f>
        <v>17.727564102564095</v>
      </c>
      <c r="T62" s="285">
        <f t="shared" si="93"/>
        <v>18.798365122615806</v>
      </c>
      <c r="U62" s="285">
        <f t="shared" si="93"/>
        <v>16.935802469135815</v>
      </c>
      <c r="V62" s="285">
        <f t="shared" si="93"/>
        <v>16.321917808219155</v>
      </c>
      <c r="W62" s="285">
        <f t="shared" si="93"/>
        <v>17.852534562211982</v>
      </c>
      <c r="X62" s="285">
        <f t="shared" si="93"/>
        <v>17.071028037383179</v>
      </c>
      <c r="Y62" s="285">
        <f t="shared" si="93"/>
        <v>18.764705882352949</v>
      </c>
      <c r="Z62" s="285">
        <f t="shared" si="93"/>
        <v>23.692710027100251</v>
      </c>
      <c r="AA62" s="285">
        <f t="shared" si="93"/>
        <v>27.606774668630344</v>
      </c>
      <c r="AB62" s="285">
        <f t="shared" si="93"/>
        <v>30.948905109489058</v>
      </c>
      <c r="AC62" s="285">
        <f t="shared" si="93"/>
        <v>39.404421326397916</v>
      </c>
      <c r="AD62" s="285">
        <f t="shared" si="93"/>
        <v>42.504454059557148</v>
      </c>
      <c r="AE62" s="285">
        <f t="shared" si="93"/>
        <v>40.627046967690632</v>
      </c>
      <c r="AF62" s="285">
        <f t="shared" si="93"/>
        <v>42.707363478120065</v>
      </c>
      <c r="AG62" s="285">
        <f t="shared" si="93"/>
        <v>51.425855513307987</v>
      </c>
      <c r="AH62" s="285">
        <f t="shared" si="93"/>
        <v>60.752909579230071</v>
      </c>
      <c r="AI62" s="285">
        <f t="shared" si="93"/>
        <v>66.633707865168546</v>
      </c>
      <c r="AJ62" s="285">
        <f t="shared" si="93"/>
        <v>61.187665782493362</v>
      </c>
      <c r="AK62" s="285">
        <f t="shared" si="93"/>
        <v>57.932453825857529</v>
      </c>
      <c r="AL62" s="285">
        <f t="shared" si="93"/>
        <v>57.869869869869881</v>
      </c>
      <c r="AM62" s="285">
        <f t="shared" si="93"/>
        <v>57.202606635071092</v>
      </c>
      <c r="AN62" s="285">
        <f t="shared" si="93"/>
        <v>63.397058823529413</v>
      </c>
      <c r="AO62" s="285">
        <f t="shared" si="93"/>
        <v>52.887376237623762</v>
      </c>
      <c r="AP62" s="285">
        <f t="shared" si="93"/>
        <v>52.727623953638123</v>
      </c>
      <c r="AQ62" s="285">
        <f t="shared" si="93"/>
        <v>51.746279234585401</v>
      </c>
      <c r="AR62" s="285">
        <f t="shared" si="93"/>
        <v>53.20405101275319</v>
      </c>
      <c r="AS62" s="285">
        <f t="shared" si="93"/>
        <v>54.84168212739641</v>
      </c>
      <c r="AT62" s="285">
        <f t="shared" si="93"/>
        <v>56.939452186448825</v>
      </c>
      <c r="AU62" s="285">
        <f t="shared" si="93"/>
        <v>60.868088467614534</v>
      </c>
      <c r="AV62" s="285">
        <f t="shared" si="93"/>
        <v>59.670673952641167</v>
      </c>
      <c r="AW62" s="285">
        <f t="shared" si="93"/>
        <v>60.464569431204332</v>
      </c>
      <c r="AX62" s="289">
        <f t="shared" si="93"/>
        <v>66.287291075370547</v>
      </c>
      <c r="AY62" s="285">
        <f t="shared" si="93"/>
        <v>71.927936507936508</v>
      </c>
      <c r="AZ62" s="285">
        <f t="shared" si="93"/>
        <v>62.349500000000006</v>
      </c>
      <c r="BA62" s="285">
        <f t="shared" si="93"/>
        <v>57.060816326530613</v>
      </c>
      <c r="BB62" s="285">
        <f t="shared" si="93"/>
        <v>57.302500000000002</v>
      </c>
      <c r="BC62" s="285">
        <f t="shared" si="93"/>
        <v>59.105384615384615</v>
      </c>
      <c r="BD62" s="285">
        <f t="shared" si="93"/>
        <v>60.115000000000002</v>
      </c>
      <c r="BE62" s="285">
        <f t="shared" si="93"/>
        <v>61.124615384615382</v>
      </c>
      <c r="BF62" s="285">
        <f t="shared" si="93"/>
        <v>62.134230769230768</v>
      </c>
      <c r="BG62" s="285">
        <f t="shared" si="93"/>
        <v>63.143846153846155</v>
      </c>
      <c r="BH62" s="285">
        <f t="shared" si="93"/>
        <v>63.648653846153849</v>
      </c>
      <c r="BI62" s="285">
        <f t="shared" si="93"/>
        <v>63.648653846153849</v>
      </c>
      <c r="BJ62" s="285">
        <f t="shared" si="93"/>
        <v>63.648653846153849</v>
      </c>
      <c r="BK62" s="29"/>
      <c r="BL62" s="96"/>
      <c r="BM62" s="23">
        <f t="shared" si="9"/>
        <v>56</v>
      </c>
      <c r="BN62"/>
      <c r="BO62"/>
      <c r="BP62"/>
      <c r="BQ62"/>
      <c r="BR62"/>
      <c r="BS62"/>
    </row>
    <row r="63" spans="1:71" s="88" customFormat="1" ht="12.75" hidden="1" customHeight="1" outlineLevel="2">
      <c r="A63" s="119"/>
      <c r="B63" s="125" t="s">
        <v>265</v>
      </c>
      <c r="C63" s="285" t="str">
        <f>IFERROR(+C58*1000/C$60,"NM")</f>
        <v>NM</v>
      </c>
      <c r="D63" s="285" t="str">
        <f t="shared" ref="D63:Q63" si="94">IFERROR(+D58*1000/D$60,"NM")</f>
        <v>NM</v>
      </c>
      <c r="E63" s="285">
        <f t="shared" si="94"/>
        <v>24.692872117400423</v>
      </c>
      <c r="F63" s="285">
        <f t="shared" si="94"/>
        <v>29.879288437102922</v>
      </c>
      <c r="G63" s="285">
        <f t="shared" si="94"/>
        <v>28.329829172141917</v>
      </c>
      <c r="H63" s="285">
        <f t="shared" si="94"/>
        <v>33.486920332936975</v>
      </c>
      <c r="I63" s="285">
        <f t="shared" si="94"/>
        <v>47.999520350829108</v>
      </c>
      <c r="J63" s="285">
        <f t="shared" si="94"/>
        <v>35.79233237257673</v>
      </c>
      <c r="K63" s="285">
        <f t="shared" si="94"/>
        <v>38.025089073634206</v>
      </c>
      <c r="L63" s="285">
        <f t="shared" si="94"/>
        <v>14.624074987666502</v>
      </c>
      <c r="M63" s="285">
        <f t="shared" si="94"/>
        <v>1.7766221670288731</v>
      </c>
      <c r="N63" s="285">
        <f t="shared" si="94"/>
        <v>26.043380767572224</v>
      </c>
      <c r="O63" s="285">
        <f t="shared" si="94"/>
        <v>29.320018221574344</v>
      </c>
      <c r="P63" s="285">
        <f t="shared" si="94"/>
        <v>27.369230769230768</v>
      </c>
      <c r="Q63" s="285">
        <f t="shared" si="94"/>
        <v>26.580528846153847</v>
      </c>
      <c r="R63" s="93"/>
      <c r="S63" s="285">
        <f t="shared" ref="S63:BJ63" si="95">IFERROR(+S58*1000/S$60,"NM")</f>
        <v>29.230769230769237</v>
      </c>
      <c r="T63" s="285">
        <f t="shared" si="95"/>
        <v>27.841961852861036</v>
      </c>
      <c r="U63" s="285">
        <f t="shared" si="95"/>
        <v>31.007407407407406</v>
      </c>
      <c r="V63" s="285">
        <f t="shared" si="95"/>
        <v>25.621004566210051</v>
      </c>
      <c r="W63" s="285">
        <f t="shared" si="95"/>
        <v>26.474654377880189</v>
      </c>
      <c r="X63" s="285">
        <f t="shared" si="95"/>
        <v>31.22429906542056</v>
      </c>
      <c r="Y63" s="285">
        <f t="shared" si="95"/>
        <v>34.058823529411768</v>
      </c>
      <c r="Z63" s="285">
        <f t="shared" si="95"/>
        <v>40.247289972899743</v>
      </c>
      <c r="AA63" s="285">
        <f t="shared" si="95"/>
        <v>51.642120765832104</v>
      </c>
      <c r="AB63" s="285">
        <f t="shared" si="95"/>
        <v>48.613138686131386</v>
      </c>
      <c r="AC63" s="285">
        <f t="shared" si="95"/>
        <v>44.520156046814044</v>
      </c>
      <c r="AD63" s="285">
        <f t="shared" si="95"/>
        <v>47.722066683634516</v>
      </c>
      <c r="AE63" s="285">
        <f t="shared" si="95"/>
        <v>39.323505353754037</v>
      </c>
      <c r="AF63" s="285">
        <f t="shared" si="95"/>
        <v>35.92681050884508</v>
      </c>
      <c r="AG63" s="285">
        <f t="shared" si="95"/>
        <v>38.117870722433459</v>
      </c>
      <c r="AH63" s="285">
        <f t="shared" si="95"/>
        <v>30.572963294538944</v>
      </c>
      <c r="AI63" s="285">
        <f t="shared" si="95"/>
        <v>31.182022471910113</v>
      </c>
      <c r="AJ63" s="285">
        <f t="shared" si="95"/>
        <v>37.838196286472147</v>
      </c>
      <c r="AK63" s="285">
        <f t="shared" si="95"/>
        <v>40.649076517150398</v>
      </c>
      <c r="AL63" s="285">
        <f t="shared" si="95"/>
        <v>40.249749749749746</v>
      </c>
      <c r="AM63" s="285">
        <f t="shared" si="95"/>
        <v>30.921208530805686</v>
      </c>
      <c r="AN63" s="285">
        <f t="shared" si="95"/>
        <v>10.830882352941176</v>
      </c>
      <c r="AO63" s="285">
        <f t="shared" si="95"/>
        <v>10.223391089108912</v>
      </c>
      <c r="AP63" s="285">
        <f t="shared" si="95"/>
        <v>4.4790727623953641</v>
      </c>
      <c r="AQ63" s="285">
        <f t="shared" si="95"/>
        <v>0.60311835577604533</v>
      </c>
      <c r="AR63" s="285">
        <f t="shared" si="95"/>
        <v>-4.4973743435858964</v>
      </c>
      <c r="AS63" s="285">
        <f t="shared" si="95"/>
        <v>-1.1731601731601731</v>
      </c>
      <c r="AT63" s="285">
        <f t="shared" si="95"/>
        <v>8.8832292167227287</v>
      </c>
      <c r="AU63" s="285">
        <f t="shared" si="95"/>
        <v>15.340047393364928</v>
      </c>
      <c r="AV63" s="285">
        <f t="shared" si="95"/>
        <v>25.946083788706741</v>
      </c>
      <c r="AW63" s="285">
        <f t="shared" si="95"/>
        <v>30.532888465204959</v>
      </c>
      <c r="AX63" s="289">
        <f t="shared" si="95"/>
        <v>30.218543046357617</v>
      </c>
      <c r="AY63" s="285">
        <f t="shared" si="95"/>
        <v>28.238095238095244</v>
      </c>
      <c r="AZ63" s="285">
        <f t="shared" si="95"/>
        <v>29.541875000000005</v>
      </c>
      <c r="BA63" s="285">
        <f t="shared" si="95"/>
        <v>29.372448979591837</v>
      </c>
      <c r="BB63" s="285">
        <f t="shared" si="95"/>
        <v>29.759615384615383</v>
      </c>
      <c r="BC63" s="285">
        <f t="shared" si="95"/>
        <v>28.589423076923083</v>
      </c>
      <c r="BD63" s="285">
        <f t="shared" si="95"/>
        <v>27.525961538461537</v>
      </c>
      <c r="BE63" s="285">
        <f t="shared" si="95"/>
        <v>26.962499999999995</v>
      </c>
      <c r="BF63" s="285">
        <f t="shared" si="95"/>
        <v>26.399038461538456</v>
      </c>
      <c r="BG63" s="285">
        <f t="shared" si="95"/>
        <v>26.454326923076923</v>
      </c>
      <c r="BH63" s="285">
        <f t="shared" si="95"/>
        <v>26.622596153846153</v>
      </c>
      <c r="BI63" s="285">
        <f t="shared" si="95"/>
        <v>26.622596153846153</v>
      </c>
      <c r="BJ63" s="285">
        <f t="shared" si="95"/>
        <v>26.622596153846153</v>
      </c>
      <c r="BK63" s="29"/>
      <c r="BL63" s="96"/>
      <c r="BM63" s="23">
        <f t="shared" si="9"/>
        <v>57</v>
      </c>
      <c r="BN63"/>
      <c r="BO63"/>
      <c r="BP63"/>
      <c r="BQ63"/>
      <c r="BR63"/>
      <c r="BS63"/>
    </row>
    <row r="64" spans="1:71" s="88" customFormat="1" ht="12.75" hidden="1" customHeight="1" outlineLevel="2">
      <c r="A64" s="119"/>
      <c r="B64" s="125"/>
      <c r="C64" s="29"/>
      <c r="D64" s="29"/>
      <c r="E64" s="29"/>
      <c r="F64" s="11"/>
      <c r="G64" s="11"/>
      <c r="H64" s="11"/>
      <c r="I64" s="11"/>
      <c r="J64" s="11"/>
      <c r="K64" s="11"/>
      <c r="L64" s="11"/>
      <c r="M64" s="9"/>
      <c r="N64" s="9"/>
      <c r="O64" s="9"/>
      <c r="P64" s="9"/>
      <c r="Q64" s="9"/>
      <c r="R64" s="93"/>
      <c r="S64" s="192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82"/>
      <c r="AT64" s="182"/>
      <c r="AU64" s="180"/>
      <c r="AV64" s="180"/>
      <c r="AW64" s="180"/>
      <c r="AX64" s="180"/>
      <c r="AY64" s="182"/>
      <c r="AZ64" s="182"/>
      <c r="BA64" s="182"/>
      <c r="BB64" s="182"/>
      <c r="BC64" s="182"/>
      <c r="BD64" s="182"/>
      <c r="BE64" s="182"/>
      <c r="BF64" s="182"/>
      <c r="BG64" s="182"/>
      <c r="BH64" s="182"/>
      <c r="BI64" s="182"/>
      <c r="BJ64" s="182"/>
      <c r="BK64" s="29"/>
      <c r="BL64" s="96"/>
      <c r="BM64" s="23">
        <f t="shared" si="9"/>
        <v>58</v>
      </c>
      <c r="BN64"/>
      <c r="BO64"/>
      <c r="BP64"/>
      <c r="BQ64"/>
      <c r="BR64"/>
      <c r="BS64"/>
    </row>
    <row r="65" spans="1:71" ht="12.75" hidden="1" customHeight="1" outlineLevel="2">
      <c r="A65" s="118"/>
      <c r="B65" s="125" t="s">
        <v>410</v>
      </c>
      <c r="C65" s="1"/>
      <c r="D65" s="1"/>
      <c r="E65" s="1"/>
      <c r="F65" s="11"/>
      <c r="G65" s="11"/>
      <c r="H65" s="170"/>
      <c r="I65" s="170"/>
      <c r="J65" s="170"/>
      <c r="K65" s="170"/>
      <c r="L65" s="170"/>
      <c r="M65" s="9">
        <f>SUM(INDEX($S65:$BK65,M$5):INDEX($S65:$BK65,M$6))</f>
        <v>33.798380633245962</v>
      </c>
      <c r="N65" s="9">
        <f>SUM(INDEX($S65:$BK65,N$5):INDEX($S65:$BK65,N$6))</f>
        <v>183.298</v>
      </c>
      <c r="O65" s="9">
        <f>SUM(INDEX($S65:$BK65,O$5):INDEX($S65:$BK65,O$6))</f>
        <v>348.97500000000002</v>
      </c>
      <c r="P65" s="9">
        <f>SUM(INDEX($S65:$BK65,P$5):INDEX($S65:$BK65,P$6))</f>
        <v>532</v>
      </c>
      <c r="Q65" s="9">
        <f>SUM(INDEX($S65:$BK65,Q$5):INDEX($S65:$BK65,Q$6))</f>
        <v>612.5</v>
      </c>
      <c r="R65" s="51"/>
      <c r="S65" s="45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82">
        <f>AS67/AS68</f>
        <v>6.6696747508930256</v>
      </c>
      <c r="AT65" s="182">
        <f>AT69*AVERAGE(AS71:AT71)</f>
        <v>27.128705882352939</v>
      </c>
      <c r="AU65" s="180">
        <v>35.475999999999999</v>
      </c>
      <c r="AV65" s="180">
        <v>44.442999999999998</v>
      </c>
      <c r="AW65" s="180">
        <v>49.255000000000003</v>
      </c>
      <c r="AX65" s="180">
        <f>183.298-AW65-AV65-AU65</f>
        <v>54.124000000000009</v>
      </c>
      <c r="AY65" s="182">
        <f t="shared" ref="AY65:BJ65" si="96">AY69*AVERAGE(AX71:AY71)</f>
        <v>66.5</v>
      </c>
      <c r="AZ65" s="182">
        <f t="shared" si="96"/>
        <v>82.224999999999994</v>
      </c>
      <c r="BA65" s="182">
        <f t="shared" si="96"/>
        <v>93</v>
      </c>
      <c r="BB65" s="182">
        <f t="shared" si="96"/>
        <v>107.25</v>
      </c>
      <c r="BC65" s="182">
        <f t="shared" si="96"/>
        <v>122.49999999999999</v>
      </c>
      <c r="BD65" s="182">
        <f t="shared" si="96"/>
        <v>129.5</v>
      </c>
      <c r="BE65" s="182">
        <f t="shared" si="96"/>
        <v>136.5</v>
      </c>
      <c r="BF65" s="182">
        <f t="shared" si="96"/>
        <v>143.5</v>
      </c>
      <c r="BG65" s="182">
        <f t="shared" si="96"/>
        <v>150.5</v>
      </c>
      <c r="BH65" s="182">
        <f t="shared" si="96"/>
        <v>154</v>
      </c>
      <c r="BI65" s="182">
        <f t="shared" si="96"/>
        <v>154</v>
      </c>
      <c r="BJ65" s="182">
        <f t="shared" si="96"/>
        <v>154</v>
      </c>
      <c r="BK65" s="1"/>
      <c r="BL65" s="91"/>
      <c r="BM65" s="23">
        <f t="shared" si="9"/>
        <v>59</v>
      </c>
    </row>
    <row r="66" spans="1:71" ht="12.75" hidden="1" customHeight="1" outlineLevel="2">
      <c r="A66" s="118"/>
      <c r="B66" s="125" t="s">
        <v>411</v>
      </c>
      <c r="C66" s="1"/>
      <c r="D66" s="1"/>
      <c r="E66" s="1"/>
      <c r="F66" s="11"/>
      <c r="G66" s="11"/>
      <c r="H66" s="170"/>
      <c r="I66" s="170"/>
      <c r="J66" s="170"/>
      <c r="K66" s="170"/>
      <c r="L66" s="170"/>
      <c r="M66" s="9">
        <f>SUM(INDEX($S66:$BK66,M$5):INDEX($S66:$BK66,M$6))</f>
        <v>-23.663439456775379</v>
      </c>
      <c r="N66" s="9">
        <f>SUM(INDEX($S66:$BK66,N$5):INDEX($S66:$BK66,N$6))</f>
        <v>-147.203</v>
      </c>
      <c r="O66" s="9">
        <f>SUM(INDEX($S66:$BK66,O$5):INDEX($S66:$BK66,O$6))</f>
        <v>-283.89999999999998</v>
      </c>
      <c r="P66" s="9">
        <f>SUM(INDEX($S66:$BK66,P$5):INDEX($S66:$BK66,P$6))</f>
        <v>-399</v>
      </c>
      <c r="Q66" s="9">
        <f>SUM(INDEX($S66:$BK66,Q$5):INDEX($S66:$BK66,Q$6))</f>
        <v>-459.375</v>
      </c>
      <c r="R66" s="51"/>
      <c r="S66" s="45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82">
        <f>+AS67-AS65</f>
        <v>-4.6696747508930256</v>
      </c>
      <c r="AT66" s="182">
        <f>+AT67-AT65</f>
        <v>-18.993764705882352</v>
      </c>
      <c r="AU66" s="180">
        <v>-24.838000000000001</v>
      </c>
      <c r="AV66" s="180">
        <v>-33.386000000000003</v>
      </c>
      <c r="AW66" s="180">
        <v>-38.817999999999998</v>
      </c>
      <c r="AX66" s="180">
        <f>-147.203-AW66-AV66-AU66</f>
        <v>-50.160999999999994</v>
      </c>
      <c r="AY66" s="182">
        <f t="shared" ref="AY66:BJ66" si="97">+AY67-AY65</f>
        <v>-59.85</v>
      </c>
      <c r="AZ66" s="182">
        <f t="shared" si="97"/>
        <v>-67.924999999999997</v>
      </c>
      <c r="BA66" s="182">
        <f t="shared" si="97"/>
        <v>-73.625</v>
      </c>
      <c r="BB66" s="182">
        <f t="shared" si="97"/>
        <v>-82.5</v>
      </c>
      <c r="BC66" s="182">
        <f t="shared" si="97"/>
        <v>-91.874999999999986</v>
      </c>
      <c r="BD66" s="182">
        <f t="shared" si="97"/>
        <v>-97.125</v>
      </c>
      <c r="BE66" s="182">
        <f t="shared" si="97"/>
        <v>-102.375</v>
      </c>
      <c r="BF66" s="182">
        <f t="shared" si="97"/>
        <v>-107.625</v>
      </c>
      <c r="BG66" s="182">
        <f t="shared" si="97"/>
        <v>-112.875</v>
      </c>
      <c r="BH66" s="182">
        <f t="shared" si="97"/>
        <v>-115.5</v>
      </c>
      <c r="BI66" s="182">
        <f t="shared" si="97"/>
        <v>-115.5</v>
      </c>
      <c r="BJ66" s="182">
        <f t="shared" si="97"/>
        <v>-115.5</v>
      </c>
      <c r="BK66" s="1"/>
      <c r="BL66" s="91"/>
      <c r="BM66" s="23">
        <f t="shared" si="9"/>
        <v>60</v>
      </c>
    </row>
    <row r="67" spans="1:71" ht="12.75" hidden="1" customHeight="1" outlineLevel="2">
      <c r="A67" s="118"/>
      <c r="B67" s="125" t="s">
        <v>394</v>
      </c>
      <c r="C67" s="1"/>
      <c r="D67" s="1"/>
      <c r="E67" s="1"/>
      <c r="F67" s="11"/>
      <c r="G67" s="11"/>
      <c r="H67" s="170"/>
      <c r="I67" s="170"/>
      <c r="J67" s="170"/>
      <c r="K67" s="170"/>
      <c r="L67" s="170"/>
      <c r="M67" s="9">
        <f>SUM(INDEX($S67:$BK67,M$5):INDEX($S67:$BK67,M$6))</f>
        <v>10.134941176470587</v>
      </c>
      <c r="N67" s="9">
        <f>SUM(INDEX($S67:$BK67,N$5):INDEX($S67:$BK67,N$6))</f>
        <v>36.095000000000013</v>
      </c>
      <c r="O67" s="9">
        <f>SUM(INDEX($S67:$BK67,O$5):INDEX($S67:$BK67,O$6))</f>
        <v>65.075000000000003</v>
      </c>
      <c r="P67" s="9">
        <f>SUM(INDEX($S67:$BK67,P$5):INDEX($S67:$BK67,P$6))</f>
        <v>133</v>
      </c>
      <c r="Q67" s="9">
        <f>SUM(INDEX($S67:$BK67,Q$5):INDEX($S67:$BK67,Q$6))</f>
        <v>153.125</v>
      </c>
      <c r="R67" s="51"/>
      <c r="S67" s="45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80">
        <v>2</v>
      </c>
      <c r="AT67" s="182">
        <f>AT70*AVERAGE(AS71:AT71)</f>
        <v>8.134941176470587</v>
      </c>
      <c r="AU67" s="182">
        <f>+AU65+AU66</f>
        <v>10.637999999999998</v>
      </c>
      <c r="AV67" s="182">
        <f>+AV65+AV66</f>
        <v>11.056999999999995</v>
      </c>
      <c r="AW67" s="182">
        <f>+AW65+AW66</f>
        <v>10.437000000000005</v>
      </c>
      <c r="AX67" s="182">
        <f>+AX65+AX66</f>
        <v>3.9630000000000152</v>
      </c>
      <c r="AY67" s="182">
        <f t="shared" ref="AY67:BJ67" si="98">AY70*AVERAGE(AX71:AY71)</f>
        <v>6.65</v>
      </c>
      <c r="AZ67" s="182">
        <f t="shared" si="98"/>
        <v>14.3</v>
      </c>
      <c r="BA67" s="182">
        <f t="shared" si="98"/>
        <v>19.375</v>
      </c>
      <c r="BB67" s="182">
        <f t="shared" si="98"/>
        <v>24.75</v>
      </c>
      <c r="BC67" s="182">
        <f t="shared" si="98"/>
        <v>30.624999999999996</v>
      </c>
      <c r="BD67" s="182">
        <f t="shared" si="98"/>
        <v>32.375</v>
      </c>
      <c r="BE67" s="182">
        <f t="shared" si="98"/>
        <v>34.125</v>
      </c>
      <c r="BF67" s="182">
        <f t="shared" si="98"/>
        <v>35.875</v>
      </c>
      <c r="BG67" s="182">
        <f t="shared" si="98"/>
        <v>37.625</v>
      </c>
      <c r="BH67" s="182">
        <f t="shared" si="98"/>
        <v>38.5</v>
      </c>
      <c r="BI67" s="182">
        <f t="shared" si="98"/>
        <v>38.5</v>
      </c>
      <c r="BJ67" s="182">
        <f t="shared" si="98"/>
        <v>38.5</v>
      </c>
      <c r="BK67" s="1"/>
      <c r="BL67" s="91"/>
      <c r="BM67" s="23">
        <f t="shared" si="9"/>
        <v>61</v>
      </c>
    </row>
    <row r="68" spans="1:71" ht="12.75" hidden="1" customHeight="1" outlineLevel="2">
      <c r="A68" s="118"/>
      <c r="B68" s="125" t="s">
        <v>412</v>
      </c>
      <c r="C68" s="1"/>
      <c r="D68" s="1"/>
      <c r="E68" s="1"/>
      <c r="F68" s="11"/>
      <c r="G68" s="11"/>
      <c r="H68" s="170"/>
      <c r="I68" s="170"/>
      <c r="J68" s="170"/>
      <c r="K68" s="170"/>
      <c r="L68" s="170"/>
      <c r="M68" s="201">
        <f>+M67/M65</f>
        <v>0.29986469726011949</v>
      </c>
      <c r="N68" s="201">
        <f>+N67/N65</f>
        <v>0.19691976999203489</v>
      </c>
      <c r="O68" s="201">
        <f>+O67/O65</f>
        <v>0.18647467583637797</v>
      </c>
      <c r="P68" s="201">
        <f>+P67/P65</f>
        <v>0.25</v>
      </c>
      <c r="Q68" s="201">
        <f>+Q67/Q65</f>
        <v>0.25</v>
      </c>
      <c r="R68" s="51"/>
      <c r="S68" s="45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69">
        <f>AT68</f>
        <v>0.29986469726011949</v>
      </c>
      <c r="AT68" s="201">
        <f t="shared" ref="AT68:BJ68" si="99">+AT67/AT65</f>
        <v>0.29986469726011949</v>
      </c>
      <c r="AU68" s="201">
        <f t="shared" si="99"/>
        <v>0.29986469726011949</v>
      </c>
      <c r="AV68" s="201">
        <f t="shared" si="99"/>
        <v>0.24879058569403495</v>
      </c>
      <c r="AW68" s="201">
        <f t="shared" si="99"/>
        <v>0.21189726931276021</v>
      </c>
      <c r="AX68" s="201">
        <f t="shared" si="99"/>
        <v>7.3220752346463941E-2</v>
      </c>
      <c r="AY68" s="201">
        <f t="shared" si="99"/>
        <v>0.1</v>
      </c>
      <c r="AZ68" s="201">
        <f t="shared" si="99"/>
        <v>0.17391304347826089</v>
      </c>
      <c r="BA68" s="201">
        <f t="shared" si="99"/>
        <v>0.20833333333333334</v>
      </c>
      <c r="BB68" s="201">
        <f t="shared" si="99"/>
        <v>0.23076923076923078</v>
      </c>
      <c r="BC68" s="201">
        <f t="shared" si="99"/>
        <v>0.25</v>
      </c>
      <c r="BD68" s="201">
        <f t="shared" si="99"/>
        <v>0.25</v>
      </c>
      <c r="BE68" s="201">
        <f t="shared" si="99"/>
        <v>0.25</v>
      </c>
      <c r="BF68" s="201">
        <f t="shared" si="99"/>
        <v>0.25</v>
      </c>
      <c r="BG68" s="201">
        <f t="shared" si="99"/>
        <v>0.25</v>
      </c>
      <c r="BH68" s="201">
        <f t="shared" si="99"/>
        <v>0.25</v>
      </c>
      <c r="BI68" s="201">
        <f t="shared" si="99"/>
        <v>0.25</v>
      </c>
      <c r="BJ68" s="201">
        <f t="shared" si="99"/>
        <v>0.25</v>
      </c>
      <c r="BK68" s="1"/>
      <c r="BL68" s="91"/>
      <c r="BM68" s="23">
        <f t="shared" si="9"/>
        <v>62</v>
      </c>
    </row>
    <row r="69" spans="1:71" s="225" customFormat="1" ht="12.75" hidden="1" customHeight="1" outlineLevel="2">
      <c r="A69" s="220"/>
      <c r="B69" s="221" t="s">
        <v>409</v>
      </c>
      <c r="C69" s="45"/>
      <c r="D69" s="45"/>
      <c r="E69" s="45"/>
      <c r="F69" s="222"/>
      <c r="G69" s="222"/>
      <c r="H69" s="223"/>
      <c r="I69" s="223"/>
      <c r="J69" s="223"/>
      <c r="K69" s="223"/>
      <c r="L69" s="223"/>
      <c r="M69" s="21">
        <f>SUM(INDEX($S69:$BK69,M$5):INDEX($S69:$BK69,M$6))</f>
        <v>1.0434117647058823</v>
      </c>
      <c r="N69" s="21">
        <f>SUM(INDEX($S69:$BK69,N$5):INDEX($S69:$BK69,N$6))</f>
        <v>4.0298930032705655</v>
      </c>
      <c r="O69" s="21">
        <f>SUM(INDEX($S69:$BK69,O$5):INDEX($S69:$BK69,O$6))</f>
        <v>4.6499999999999995</v>
      </c>
      <c r="P69" s="21">
        <f>SUM(INDEX($S69:$BK69,P$5):INDEX($S69:$BK69,P$6))</f>
        <v>5.6</v>
      </c>
      <c r="Q69" s="21">
        <f>SUM(INDEX($S69:$BK69,Q$5):INDEX($S69:$BK69,Q$6))</f>
        <v>5.6</v>
      </c>
      <c r="R69" s="308"/>
      <c r="S69" s="45"/>
      <c r="T69" s="222"/>
      <c r="U69" s="222"/>
      <c r="V69" s="222"/>
      <c r="W69" s="222"/>
      <c r="X69" s="222"/>
      <c r="Y69" s="222"/>
      <c r="Z69" s="222"/>
      <c r="AA69" s="222"/>
      <c r="AB69" s="222"/>
      <c r="AC69" s="222"/>
      <c r="AD69" s="222"/>
      <c r="AE69" s="222"/>
      <c r="AF69" s="222"/>
      <c r="AG69" s="222"/>
      <c r="AH69" s="222"/>
      <c r="AI69" s="222"/>
      <c r="AJ69" s="222"/>
      <c r="AK69" s="222"/>
      <c r="AL69" s="222"/>
      <c r="AM69" s="222"/>
      <c r="AN69" s="222"/>
      <c r="AO69" s="222"/>
      <c r="AP69" s="222"/>
      <c r="AQ69" s="222"/>
      <c r="AR69" s="222"/>
      <c r="AS69" s="222"/>
      <c r="AT69" s="222">
        <f>AU69</f>
        <v>1.0434117647058823</v>
      </c>
      <c r="AU69" s="222">
        <f>AU65/AVERAGE(AT71:AU71)</f>
        <v>1.0434117647058823</v>
      </c>
      <c r="AV69" s="222">
        <f>AV65/AVERAGE(AU71:AV71)</f>
        <v>1.0457176470588234</v>
      </c>
      <c r="AW69" s="222">
        <f>AW65/AVERAGE(AV71:AW71)</f>
        <v>1.0155670103092784</v>
      </c>
      <c r="AX69" s="222">
        <f>AX65/AVERAGE(AW71:AX71)</f>
        <v>0.92519658119658132</v>
      </c>
      <c r="AY69" s="283">
        <v>1</v>
      </c>
      <c r="AZ69" s="283">
        <v>1.1499999999999999</v>
      </c>
      <c r="BA69" s="283">
        <v>1.2</v>
      </c>
      <c r="BB69" s="283">
        <v>1.3</v>
      </c>
      <c r="BC69" s="283">
        <v>1.4</v>
      </c>
      <c r="BD69" s="283">
        <f t="shared" ref="BD69:BJ69" si="100">BC69</f>
        <v>1.4</v>
      </c>
      <c r="BE69" s="283">
        <f t="shared" si="100"/>
        <v>1.4</v>
      </c>
      <c r="BF69" s="283">
        <f t="shared" si="100"/>
        <v>1.4</v>
      </c>
      <c r="BG69" s="283">
        <f t="shared" si="100"/>
        <v>1.4</v>
      </c>
      <c r="BH69" s="283">
        <f t="shared" si="100"/>
        <v>1.4</v>
      </c>
      <c r="BI69" s="283">
        <f t="shared" si="100"/>
        <v>1.4</v>
      </c>
      <c r="BJ69" s="283">
        <f t="shared" si="100"/>
        <v>1.4</v>
      </c>
      <c r="BK69" s="45"/>
      <c r="BL69" s="224"/>
      <c r="BM69" s="23">
        <f t="shared" si="9"/>
        <v>63</v>
      </c>
      <c r="BN69"/>
      <c r="BO69"/>
      <c r="BP69"/>
      <c r="BQ69"/>
      <c r="BR69"/>
      <c r="BS69"/>
    </row>
    <row r="70" spans="1:71" s="225" customFormat="1" ht="12.75" hidden="1" customHeight="1" outlineLevel="2">
      <c r="A70" s="220"/>
      <c r="B70" s="221" t="s">
        <v>408</v>
      </c>
      <c r="C70" s="45"/>
      <c r="D70" s="45"/>
      <c r="E70" s="45"/>
      <c r="F70" s="222"/>
      <c r="G70" s="222"/>
      <c r="H70" s="223"/>
      <c r="I70" s="223"/>
      <c r="J70" s="223"/>
      <c r="K70" s="223"/>
      <c r="L70" s="223"/>
      <c r="M70" s="21">
        <f>SUM(INDEX($S70:$BK70,M$5):INDEX($S70:$BK70,M$6))</f>
        <v>0.31288235294117639</v>
      </c>
      <c r="N70" s="21">
        <f>SUM(INDEX($S70:$BK70,N$5):INDEX($S70:$BK70,N$6))</f>
        <v>0.85598652485577909</v>
      </c>
      <c r="O70" s="21">
        <f>SUM(INDEX($S70:$BK70,O$5):INDEX($S70:$BK70,O$6))</f>
        <v>0.85000000000000009</v>
      </c>
      <c r="P70" s="21">
        <f>SUM(INDEX($S70:$BK70,P$5):INDEX($S70:$BK70,P$6))</f>
        <v>1.4</v>
      </c>
      <c r="Q70" s="21">
        <f>SUM(INDEX($S70:$BK70,Q$5):INDEX($S70:$BK70,Q$6))</f>
        <v>1.4</v>
      </c>
      <c r="R70" s="308"/>
      <c r="S70" s="45"/>
      <c r="T70" s="222"/>
      <c r="U70" s="222"/>
      <c r="V70" s="222"/>
      <c r="W70" s="222"/>
      <c r="X70" s="222"/>
      <c r="Y70" s="222"/>
      <c r="Z70" s="222"/>
      <c r="AA70" s="222"/>
      <c r="AB70" s="222"/>
      <c r="AC70" s="222"/>
      <c r="AD70" s="222"/>
      <c r="AE70" s="222"/>
      <c r="AF70" s="222"/>
      <c r="AG70" s="222"/>
      <c r="AH70" s="222"/>
      <c r="AI70" s="222"/>
      <c r="AJ70" s="222"/>
      <c r="AK70" s="222"/>
      <c r="AL70" s="222"/>
      <c r="AM70" s="222"/>
      <c r="AN70" s="222"/>
      <c r="AO70" s="222"/>
      <c r="AP70" s="222"/>
      <c r="AQ70" s="222"/>
      <c r="AR70" s="222"/>
      <c r="AS70" s="222"/>
      <c r="AT70" s="222">
        <f>AU70</f>
        <v>0.31288235294117639</v>
      </c>
      <c r="AU70" s="222">
        <f>AU67/AVERAGE(AT71:AU71)</f>
        <v>0.31288235294117639</v>
      </c>
      <c r="AV70" s="222">
        <f>AV67/AVERAGE(AU71:AV71)</f>
        <v>0.2601647058823528</v>
      </c>
      <c r="AW70" s="222">
        <f>AW67/AVERAGE(AV71:AW71)</f>
        <v>0.21519587628865988</v>
      </c>
      <c r="AX70" s="222">
        <f>AX67/AVERAGE(AW71:AX71)</f>
        <v>6.7743589743590002E-2</v>
      </c>
      <c r="AY70" s="283">
        <v>0.1</v>
      </c>
      <c r="AZ70" s="283">
        <v>0.2</v>
      </c>
      <c r="BA70" s="283">
        <v>0.25</v>
      </c>
      <c r="BB70" s="283">
        <v>0.3</v>
      </c>
      <c r="BC70" s="283">
        <v>0.35</v>
      </c>
      <c r="BD70" s="283">
        <f t="shared" ref="BD70:BJ70" si="101">BC70</f>
        <v>0.35</v>
      </c>
      <c r="BE70" s="283">
        <f t="shared" si="101"/>
        <v>0.35</v>
      </c>
      <c r="BF70" s="283">
        <f t="shared" si="101"/>
        <v>0.35</v>
      </c>
      <c r="BG70" s="283">
        <f t="shared" si="101"/>
        <v>0.35</v>
      </c>
      <c r="BH70" s="283">
        <f t="shared" si="101"/>
        <v>0.35</v>
      </c>
      <c r="BI70" s="283">
        <f t="shared" si="101"/>
        <v>0.35</v>
      </c>
      <c r="BJ70" s="283">
        <f t="shared" si="101"/>
        <v>0.35</v>
      </c>
      <c r="BK70" s="45"/>
      <c r="BL70" s="224"/>
      <c r="BM70" s="23">
        <f t="shared" si="9"/>
        <v>64</v>
      </c>
      <c r="BN70"/>
      <c r="BO70"/>
      <c r="BP70"/>
      <c r="BQ70"/>
      <c r="BR70"/>
      <c r="BS70"/>
    </row>
    <row r="71" spans="1:71" ht="12.75" hidden="1" customHeight="1" outlineLevel="2">
      <c r="A71" s="118"/>
      <c r="B71" s="124" t="s">
        <v>430</v>
      </c>
      <c r="C71" s="170"/>
      <c r="D71" s="170"/>
      <c r="E71" s="170"/>
      <c r="F71" s="170"/>
      <c r="G71" s="170"/>
      <c r="H71" s="170"/>
      <c r="I71" s="170"/>
      <c r="J71" s="170"/>
      <c r="K71" s="170"/>
      <c r="L71" s="170"/>
      <c r="M71" s="9">
        <f>AVERAGE(INDEX($S71:$BK71,M$5):INDEX($S71:$BK71,M$6))</f>
        <v>26</v>
      </c>
      <c r="N71" s="9">
        <f>AVERAGE(INDEX($S71:$BK71,N$5):INDEX($S71:$BK71,N$6))</f>
        <v>50.5</v>
      </c>
      <c r="O71" s="9">
        <f>AVERAGE(INDEX($S71:$BK71,O$5):INDEX($S71:$BK71,O$6))</f>
        <v>77</v>
      </c>
      <c r="P71" s="9">
        <f>AVERAGE(INDEX($S71:$BK71,P$5):INDEX($S71:$BK71,P$6))</f>
        <v>97.5</v>
      </c>
      <c r="Q71" s="9">
        <f>AVERAGE(INDEX($S71:$BK71,Q$5):INDEX($S71:$BK71,Q$6))</f>
        <v>110</v>
      </c>
      <c r="R71" s="51"/>
      <c r="S71" s="170"/>
      <c r="T71" s="170"/>
      <c r="U71" s="170"/>
      <c r="V71" s="170"/>
      <c r="W71" s="170"/>
      <c r="X71" s="170"/>
      <c r="Y71" s="170"/>
      <c r="Z71" s="170"/>
      <c r="AA71" s="170"/>
      <c r="AB71" s="170"/>
      <c r="AC71" s="170"/>
      <c r="AD71" s="170"/>
      <c r="AE71" s="170"/>
      <c r="AF71" s="170"/>
      <c r="AG71" s="170"/>
      <c r="AH71" s="170"/>
      <c r="AI71" s="170"/>
      <c r="AJ71" s="170"/>
      <c r="AK71" s="170"/>
      <c r="AL71" s="170"/>
      <c r="AM71" s="170"/>
      <c r="AN71" s="170"/>
      <c r="AO71" s="170"/>
      <c r="AP71" s="170"/>
      <c r="AQ71" s="170"/>
      <c r="AR71" s="170"/>
      <c r="AS71" s="180">
        <v>24</v>
      </c>
      <c r="AT71" s="180">
        <v>28</v>
      </c>
      <c r="AU71" s="180">
        <v>40</v>
      </c>
      <c r="AV71" s="180">
        <v>45</v>
      </c>
      <c r="AW71" s="180">
        <v>52</v>
      </c>
      <c r="AX71" s="180">
        <v>65</v>
      </c>
      <c r="AY71" s="202">
        <v>68</v>
      </c>
      <c r="AZ71" s="202">
        <v>75</v>
      </c>
      <c r="BA71" s="202">
        <v>80</v>
      </c>
      <c r="BB71" s="202">
        <v>85</v>
      </c>
      <c r="BC71" s="202">
        <v>90</v>
      </c>
      <c r="BD71" s="202">
        <v>95</v>
      </c>
      <c r="BE71" s="202">
        <v>100</v>
      </c>
      <c r="BF71" s="202">
        <v>105</v>
      </c>
      <c r="BG71" s="202">
        <v>110</v>
      </c>
      <c r="BH71" s="202">
        <f>BG71</f>
        <v>110</v>
      </c>
      <c r="BI71" s="202">
        <f>BH71</f>
        <v>110</v>
      </c>
      <c r="BJ71" s="202">
        <f>BI71</f>
        <v>110</v>
      </c>
      <c r="BK71" s="1"/>
      <c r="BL71" s="91"/>
      <c r="BM71" s="23">
        <f t="shared" si="9"/>
        <v>65</v>
      </c>
    </row>
    <row r="72" spans="1:71" ht="12.75" hidden="1" customHeight="1" outlineLevel="2">
      <c r="A72" s="118"/>
      <c r="B72" s="124"/>
      <c r="C72" s="1"/>
      <c r="D72" s="1"/>
      <c r="E72" s="1"/>
      <c r="F72" s="11"/>
      <c r="G72" s="11"/>
      <c r="H72" s="11"/>
      <c r="I72" s="11"/>
      <c r="J72" s="11"/>
      <c r="K72" s="11"/>
      <c r="L72" s="11"/>
      <c r="M72" s="182"/>
      <c r="N72" s="182"/>
      <c r="O72" s="182"/>
      <c r="P72" s="182"/>
      <c r="Q72" s="182"/>
      <c r="R72" s="51"/>
      <c r="S72" s="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"/>
      <c r="BL72" s="91"/>
      <c r="BM72" s="23">
        <f t="shared" ref="BM72:BM135" si="102">BM71+1</f>
        <v>66</v>
      </c>
    </row>
    <row r="73" spans="1:71" ht="12.75" hidden="1" customHeight="1" outlineLevel="2">
      <c r="A73" s="118"/>
      <c r="B73" s="124" t="s">
        <v>385</v>
      </c>
      <c r="C73" s="1"/>
      <c r="D73" s="1"/>
      <c r="E73" s="1"/>
      <c r="F73" s="11"/>
      <c r="G73" s="11"/>
      <c r="H73" s="11"/>
      <c r="I73" s="11"/>
      <c r="J73" s="182">
        <f>J11-J65</f>
        <v>347.51099999999997</v>
      </c>
      <c r="K73" s="182">
        <f t="shared" ref="K73:Q73" si="103">K11-K65</f>
        <v>662.77</v>
      </c>
      <c r="L73" s="182">
        <f t="shared" si="103"/>
        <v>430.43700000000001</v>
      </c>
      <c r="M73" s="182">
        <f t="shared" si="103"/>
        <v>328.75161936675397</v>
      </c>
      <c r="N73" s="182">
        <f t="shared" si="103"/>
        <v>837.06799999999998</v>
      </c>
      <c r="O73" s="182">
        <f t="shared" si="103"/>
        <v>1201.1703625</v>
      </c>
      <c r="P73" s="182">
        <f t="shared" si="103"/>
        <v>1298.172</v>
      </c>
      <c r="Q73" s="182">
        <f t="shared" si="103"/>
        <v>1261.6420000000001</v>
      </c>
      <c r="R73" s="51"/>
      <c r="S73" s="182">
        <f t="shared" ref="S73:AW73" si="104">+S56-S65</f>
        <v>14.650999999999998</v>
      </c>
      <c r="T73" s="182">
        <f t="shared" si="104"/>
        <v>17.117000000000001</v>
      </c>
      <c r="U73" s="182">
        <f t="shared" si="104"/>
        <v>19.417000000000005</v>
      </c>
      <c r="V73" s="182">
        <f t="shared" si="104"/>
        <v>18.370999999999992</v>
      </c>
      <c r="W73" s="182">
        <f t="shared" si="104"/>
        <v>19.238000000000003</v>
      </c>
      <c r="X73" s="182">
        <f t="shared" si="104"/>
        <v>25.838000000000001</v>
      </c>
      <c r="Y73" s="182">
        <f t="shared" si="104"/>
        <v>24.246000000000002</v>
      </c>
      <c r="Z73" s="182">
        <f t="shared" si="104"/>
        <v>37.750175999999996</v>
      </c>
      <c r="AA73" s="182">
        <f t="shared" si="104"/>
        <v>53.81</v>
      </c>
      <c r="AB73" s="182">
        <f t="shared" si="104"/>
        <v>54.5</v>
      </c>
      <c r="AC73" s="182">
        <f t="shared" si="104"/>
        <v>64.537999999999997</v>
      </c>
      <c r="AD73" s="182">
        <f t="shared" si="104"/>
        <v>70.900000000000006</v>
      </c>
      <c r="AE73" s="182">
        <f t="shared" si="104"/>
        <v>73.599999999999994</v>
      </c>
      <c r="AF73" s="182">
        <f t="shared" si="104"/>
        <v>77.7</v>
      </c>
      <c r="AG73" s="182">
        <f t="shared" si="104"/>
        <v>94.2</v>
      </c>
      <c r="AH73" s="182">
        <f t="shared" si="104"/>
        <v>102.011</v>
      </c>
      <c r="AI73" s="182">
        <f t="shared" si="104"/>
        <v>130.584</v>
      </c>
      <c r="AJ73" s="182">
        <f t="shared" si="104"/>
        <v>149.33099999999999</v>
      </c>
      <c r="AK73" s="182">
        <f t="shared" si="104"/>
        <v>186.81200000000001</v>
      </c>
      <c r="AL73" s="182">
        <f t="shared" si="104"/>
        <v>196.04300000000001</v>
      </c>
      <c r="AM73" s="182">
        <f t="shared" si="104"/>
        <v>148.75299999999999</v>
      </c>
      <c r="AN73" s="182">
        <f t="shared" si="104"/>
        <v>90.855000000000004</v>
      </c>
      <c r="AO73" s="182">
        <f t="shared" si="104"/>
        <v>101.98699999999999</v>
      </c>
      <c r="AP73" s="182">
        <f t="shared" si="104"/>
        <v>88.841999999999999</v>
      </c>
      <c r="AQ73" s="182">
        <f t="shared" si="104"/>
        <v>73.864999999999995</v>
      </c>
      <c r="AR73" s="182">
        <f t="shared" si="104"/>
        <v>64.926000000000002</v>
      </c>
      <c r="AS73" s="182">
        <f t="shared" si="104"/>
        <v>80.112325249106974</v>
      </c>
      <c r="AT73" s="182">
        <f t="shared" si="104"/>
        <v>109.84829411764707</v>
      </c>
      <c r="AU73" s="182">
        <f t="shared" si="104"/>
        <v>157.483</v>
      </c>
      <c r="AV73" s="182">
        <f t="shared" si="104"/>
        <v>190.57499999999999</v>
      </c>
      <c r="AW73" s="182">
        <f t="shared" si="104"/>
        <v>237.11400000000003</v>
      </c>
      <c r="AX73" s="182">
        <f>+AX56-AX65</f>
        <v>251.89599999999996</v>
      </c>
      <c r="AY73" s="290">
        <f>+AY75+AY74</f>
        <v>249.02300000000002</v>
      </c>
      <c r="AZ73" s="182">
        <f t="shared" ref="AZ73:BJ73" si="105">+AZ75+AZ74</f>
        <v>285.34050000000002</v>
      </c>
      <c r="BA73" s="182">
        <f t="shared" si="105"/>
        <v>330.52300000000002</v>
      </c>
      <c r="BB73" s="182">
        <f t="shared" si="105"/>
        <v>345.47300000000001</v>
      </c>
      <c r="BC73" s="182">
        <f t="shared" si="105"/>
        <v>333.51300000000003</v>
      </c>
      <c r="BD73" s="182">
        <f t="shared" si="105"/>
        <v>326.233</v>
      </c>
      <c r="BE73" s="182">
        <f t="shared" si="105"/>
        <v>321.553</v>
      </c>
      <c r="BF73" s="182">
        <f t="shared" si="105"/>
        <v>316.87299999999999</v>
      </c>
      <c r="BG73" s="182">
        <f t="shared" si="105"/>
        <v>315.41050000000001</v>
      </c>
      <c r="BH73" s="182">
        <f t="shared" si="105"/>
        <v>315.41050000000001</v>
      </c>
      <c r="BI73" s="182">
        <f t="shared" si="105"/>
        <v>315.41050000000001</v>
      </c>
      <c r="BJ73" s="182">
        <f t="shared" si="105"/>
        <v>315.41050000000001</v>
      </c>
      <c r="BK73" s="1"/>
      <c r="BL73" s="91"/>
      <c r="BM73" s="23">
        <f t="shared" si="102"/>
        <v>67</v>
      </c>
    </row>
    <row r="74" spans="1:71" ht="12.75" hidden="1" customHeight="1" outlineLevel="2">
      <c r="A74" s="118"/>
      <c r="B74" s="124" t="s">
        <v>406</v>
      </c>
      <c r="C74" s="1"/>
      <c r="D74" s="1"/>
      <c r="E74" s="1"/>
      <c r="F74" s="11"/>
      <c r="G74" s="11"/>
      <c r="H74" s="11"/>
      <c r="I74" s="11"/>
      <c r="J74" s="182">
        <f>+J73-J75</f>
        <v>201.56099999999995</v>
      </c>
      <c r="K74" s="182">
        <f t="shared" ref="K74:Q74" si="106">+K73-K75</f>
        <v>406.63299999999998</v>
      </c>
      <c r="L74" s="182">
        <f t="shared" si="106"/>
        <v>341.50800000000004</v>
      </c>
      <c r="M74" s="182">
        <f t="shared" si="106"/>
        <v>327.44156054322457</v>
      </c>
      <c r="N74" s="182">
        <f t="shared" si="106"/>
        <v>571.19000000000005</v>
      </c>
      <c r="O74" s="182">
        <f t="shared" si="106"/>
        <v>763.40705000000003</v>
      </c>
      <c r="P74" s="182">
        <f t="shared" si="106"/>
        <v>861.89200000000005</v>
      </c>
      <c r="Q74" s="182">
        <f t="shared" si="106"/>
        <v>861.89200000000005</v>
      </c>
      <c r="R74" s="51"/>
      <c r="S74" s="182">
        <f t="shared" ref="S74:AW74" si="107">+S57+S66</f>
        <v>5.530999999999997</v>
      </c>
      <c r="T74" s="182">
        <f t="shared" si="107"/>
        <v>6.8990000000000009</v>
      </c>
      <c r="U74" s="182">
        <f t="shared" si="107"/>
        <v>6.8590000000000053</v>
      </c>
      <c r="V74" s="182">
        <f t="shared" si="107"/>
        <v>7.1489999999999903</v>
      </c>
      <c r="W74" s="182">
        <f t="shared" si="107"/>
        <v>7.7480000000000011</v>
      </c>
      <c r="X74" s="182">
        <f t="shared" si="107"/>
        <v>9.1330000000000027</v>
      </c>
      <c r="Y74" s="182">
        <f t="shared" si="107"/>
        <v>8.6130000000000031</v>
      </c>
      <c r="Z74" s="182">
        <f t="shared" si="107"/>
        <v>13.988175999999989</v>
      </c>
      <c r="AA74" s="182">
        <f t="shared" si="107"/>
        <v>18.745000000000005</v>
      </c>
      <c r="AB74" s="182">
        <f t="shared" si="107"/>
        <v>21.200000000000003</v>
      </c>
      <c r="AC74" s="182">
        <f t="shared" si="107"/>
        <v>30.302</v>
      </c>
      <c r="AD74" s="182">
        <f t="shared" si="107"/>
        <v>33.400000000000006</v>
      </c>
      <c r="AE74" s="182">
        <f t="shared" si="107"/>
        <v>37.399999999999991</v>
      </c>
      <c r="AF74" s="182">
        <f t="shared" si="107"/>
        <v>42.2</v>
      </c>
      <c r="AG74" s="182">
        <f t="shared" si="107"/>
        <v>54.1</v>
      </c>
      <c r="AH74" s="182">
        <f t="shared" si="107"/>
        <v>67.86099999999999</v>
      </c>
      <c r="AI74" s="182">
        <f t="shared" si="107"/>
        <v>88.956000000000003</v>
      </c>
      <c r="AJ74" s="182">
        <f t="shared" si="107"/>
        <v>92.270999999999987</v>
      </c>
      <c r="AK74" s="182">
        <f t="shared" si="107"/>
        <v>109.78200000000001</v>
      </c>
      <c r="AL74" s="182">
        <f t="shared" si="107"/>
        <v>115.62400000000001</v>
      </c>
      <c r="AM74" s="182">
        <f t="shared" si="107"/>
        <v>96.557999999999993</v>
      </c>
      <c r="AN74" s="182">
        <f t="shared" si="107"/>
        <v>77.597999999999999</v>
      </c>
      <c r="AO74" s="182">
        <f t="shared" si="107"/>
        <v>85.465999999999994</v>
      </c>
      <c r="AP74" s="182">
        <f t="shared" si="107"/>
        <v>81.885999999999996</v>
      </c>
      <c r="AQ74" s="182">
        <f t="shared" si="107"/>
        <v>73.013999999999996</v>
      </c>
      <c r="AR74" s="182">
        <f t="shared" si="107"/>
        <v>70.921000000000006</v>
      </c>
      <c r="AS74" s="182">
        <f t="shared" si="107"/>
        <v>84.009325249106979</v>
      </c>
      <c r="AT74" s="182">
        <f t="shared" si="107"/>
        <v>99.497235294117644</v>
      </c>
      <c r="AU74" s="182">
        <f t="shared" si="107"/>
        <v>129.28</v>
      </c>
      <c r="AV74" s="182">
        <f t="shared" si="107"/>
        <v>130.41</v>
      </c>
      <c r="AW74" s="182">
        <f t="shared" si="107"/>
        <v>151.46400000000006</v>
      </c>
      <c r="AX74" s="182">
        <f>+AX57+AX66</f>
        <v>160.036</v>
      </c>
      <c r="AY74" s="290">
        <f t="shared" ref="AY74:BJ74" si="108">AY127</f>
        <v>166.72300000000001</v>
      </c>
      <c r="AZ74" s="182">
        <f t="shared" si="108"/>
        <v>181.47300000000001</v>
      </c>
      <c r="BA74" s="182">
        <f t="shared" si="108"/>
        <v>205.97300000000001</v>
      </c>
      <c r="BB74" s="182">
        <f t="shared" si="108"/>
        <v>215.47300000000001</v>
      </c>
      <c r="BC74" s="182">
        <f t="shared" si="108"/>
        <v>215.47300000000001</v>
      </c>
      <c r="BD74" s="182">
        <f t="shared" si="108"/>
        <v>215.47300000000001</v>
      </c>
      <c r="BE74" s="182">
        <f t="shared" si="108"/>
        <v>215.47300000000001</v>
      </c>
      <c r="BF74" s="182">
        <f t="shared" si="108"/>
        <v>215.47300000000001</v>
      </c>
      <c r="BG74" s="182">
        <f t="shared" si="108"/>
        <v>215.47300000000001</v>
      </c>
      <c r="BH74" s="182">
        <f t="shared" si="108"/>
        <v>215.47300000000001</v>
      </c>
      <c r="BI74" s="182">
        <f t="shared" si="108"/>
        <v>215.47300000000001</v>
      </c>
      <c r="BJ74" s="182">
        <f t="shared" si="108"/>
        <v>215.47300000000001</v>
      </c>
      <c r="BK74" s="1"/>
      <c r="BL74" s="91"/>
      <c r="BM74" s="23">
        <f t="shared" si="102"/>
        <v>68</v>
      </c>
    </row>
    <row r="75" spans="1:71" ht="12.75" hidden="1" customHeight="1" outlineLevel="2">
      <c r="A75" s="118"/>
      <c r="B75" s="124" t="s">
        <v>460</v>
      </c>
      <c r="C75" s="1"/>
      <c r="D75" s="1"/>
      <c r="E75" s="1"/>
      <c r="F75" s="11"/>
      <c r="G75" s="11"/>
      <c r="H75" s="11"/>
      <c r="I75" s="11"/>
      <c r="J75" s="182">
        <f>J17-J67</f>
        <v>145.95000000000002</v>
      </c>
      <c r="K75" s="182">
        <f t="shared" ref="K75:Q75" si="109">K17-K67</f>
        <v>256.137</v>
      </c>
      <c r="L75" s="182">
        <f t="shared" si="109"/>
        <v>88.929000000000002</v>
      </c>
      <c r="M75" s="182">
        <f t="shared" si="109"/>
        <v>1.3100588235294133</v>
      </c>
      <c r="N75" s="182">
        <f t="shared" si="109"/>
        <v>265.87799999999993</v>
      </c>
      <c r="O75" s="182">
        <f t="shared" si="109"/>
        <v>437.76331250000004</v>
      </c>
      <c r="P75" s="182">
        <f t="shared" si="109"/>
        <v>436.28</v>
      </c>
      <c r="Q75" s="182">
        <f t="shared" si="109"/>
        <v>399.75</v>
      </c>
      <c r="R75" s="51"/>
      <c r="S75" s="182">
        <f t="shared" ref="S75:AW75" si="110">+S58-S67</f>
        <v>9.120000000000001</v>
      </c>
      <c r="T75" s="182">
        <f t="shared" si="110"/>
        <v>10.218</v>
      </c>
      <c r="U75" s="182">
        <f t="shared" si="110"/>
        <v>12.558</v>
      </c>
      <c r="V75" s="182">
        <f t="shared" si="110"/>
        <v>11.222000000000001</v>
      </c>
      <c r="W75" s="182">
        <f t="shared" si="110"/>
        <v>11.490000000000002</v>
      </c>
      <c r="X75" s="182">
        <f t="shared" si="110"/>
        <v>16.704999999999998</v>
      </c>
      <c r="Y75" s="182">
        <f t="shared" si="110"/>
        <v>15.632999999999999</v>
      </c>
      <c r="Z75" s="182">
        <f t="shared" si="110"/>
        <v>23.762000000000008</v>
      </c>
      <c r="AA75" s="182">
        <f t="shared" si="110"/>
        <v>35.064999999999998</v>
      </c>
      <c r="AB75" s="182">
        <f t="shared" si="110"/>
        <v>33.299999999999997</v>
      </c>
      <c r="AC75" s="182">
        <f t="shared" si="110"/>
        <v>34.235999999999997</v>
      </c>
      <c r="AD75" s="182">
        <f t="shared" si="110"/>
        <v>37.5</v>
      </c>
      <c r="AE75" s="182">
        <f t="shared" si="110"/>
        <v>36.200000000000003</v>
      </c>
      <c r="AF75" s="182">
        <f t="shared" si="110"/>
        <v>35.5</v>
      </c>
      <c r="AG75" s="182">
        <f t="shared" si="110"/>
        <v>40.1</v>
      </c>
      <c r="AH75" s="182">
        <f t="shared" si="110"/>
        <v>34.15</v>
      </c>
      <c r="AI75" s="182">
        <f t="shared" si="110"/>
        <v>41.628</v>
      </c>
      <c r="AJ75" s="182">
        <f t="shared" si="110"/>
        <v>57.06</v>
      </c>
      <c r="AK75" s="182">
        <f t="shared" si="110"/>
        <v>77.03</v>
      </c>
      <c r="AL75" s="182">
        <f t="shared" si="110"/>
        <v>80.418999999999997</v>
      </c>
      <c r="AM75" s="182">
        <f t="shared" si="110"/>
        <v>52.195</v>
      </c>
      <c r="AN75" s="182">
        <f t="shared" si="110"/>
        <v>13.257</v>
      </c>
      <c r="AO75" s="182">
        <f t="shared" si="110"/>
        <v>16.521000000000001</v>
      </c>
      <c r="AP75" s="182">
        <f t="shared" si="110"/>
        <v>6.9560000000000004</v>
      </c>
      <c r="AQ75" s="182">
        <f t="shared" si="110"/>
        <v>0.85099999999999998</v>
      </c>
      <c r="AR75" s="182">
        <f t="shared" si="110"/>
        <v>-5.9950000000000001</v>
      </c>
      <c r="AS75" s="182">
        <f t="shared" si="110"/>
        <v>-3.8970000000000002</v>
      </c>
      <c r="AT75" s="182">
        <f t="shared" si="110"/>
        <v>10.351058823529414</v>
      </c>
      <c r="AU75" s="182">
        <f t="shared" si="110"/>
        <v>28.203000000000003</v>
      </c>
      <c r="AV75" s="182">
        <f t="shared" si="110"/>
        <v>60.164999999999999</v>
      </c>
      <c r="AW75" s="182">
        <f t="shared" si="110"/>
        <v>85.65</v>
      </c>
      <c r="AX75" s="182">
        <f>+AX58-AX67</f>
        <v>91.859999999999985</v>
      </c>
      <c r="AY75" s="290">
        <f t="shared" ref="AY75:BJ75" si="111">AY115</f>
        <v>82.3</v>
      </c>
      <c r="AZ75" s="182">
        <f t="shared" si="111"/>
        <v>103.86750000000001</v>
      </c>
      <c r="BA75" s="182">
        <f t="shared" si="111"/>
        <v>124.55</v>
      </c>
      <c r="BB75" s="182">
        <f t="shared" si="111"/>
        <v>130</v>
      </c>
      <c r="BC75" s="182">
        <f t="shared" si="111"/>
        <v>118.04</v>
      </c>
      <c r="BD75" s="182">
        <f t="shared" si="111"/>
        <v>110.75999999999999</v>
      </c>
      <c r="BE75" s="182">
        <f t="shared" si="111"/>
        <v>106.08</v>
      </c>
      <c r="BF75" s="182">
        <f t="shared" si="111"/>
        <v>101.39999999999999</v>
      </c>
      <c r="BG75" s="182">
        <f t="shared" si="111"/>
        <v>99.9375</v>
      </c>
      <c r="BH75" s="182">
        <f t="shared" si="111"/>
        <v>99.9375</v>
      </c>
      <c r="BI75" s="182">
        <f t="shared" si="111"/>
        <v>99.9375</v>
      </c>
      <c r="BJ75" s="182">
        <f t="shared" si="111"/>
        <v>99.9375</v>
      </c>
      <c r="BK75" s="1"/>
      <c r="BL75" s="91"/>
      <c r="BM75" s="23">
        <f t="shared" si="102"/>
        <v>69</v>
      </c>
    </row>
    <row r="76" spans="1:71" ht="12.75" hidden="1" customHeight="1" outlineLevel="2">
      <c r="A76" s="118"/>
      <c r="B76" s="124"/>
      <c r="C76" s="1"/>
      <c r="D76" s="1"/>
      <c r="E76" s="1"/>
      <c r="F76" s="11"/>
      <c r="G76" s="11"/>
      <c r="H76" s="11"/>
      <c r="I76" s="11"/>
      <c r="J76" s="11"/>
      <c r="K76" s="11"/>
      <c r="L76" s="11"/>
      <c r="M76" s="182"/>
      <c r="N76" s="182"/>
      <c r="O76" s="182"/>
      <c r="P76" s="182"/>
      <c r="Q76" s="182"/>
      <c r="R76" s="51"/>
      <c r="S76" s="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"/>
      <c r="BL76" s="91"/>
      <c r="BM76" s="23">
        <f t="shared" si="102"/>
        <v>70</v>
      </c>
    </row>
    <row r="77" spans="1:71" ht="12.75" hidden="1" customHeight="1" outlineLevel="2">
      <c r="A77" s="118"/>
      <c r="B77" s="125" t="s">
        <v>402</v>
      </c>
      <c r="C77" s="185"/>
      <c r="D77" s="185"/>
      <c r="E77" s="21">
        <f t="shared" ref="E77:Q77" si="112">(E11-E65)*1000/E43</f>
        <v>39.70125786163522</v>
      </c>
      <c r="F77" s="21">
        <f t="shared" si="112"/>
        <v>45.53494282083863</v>
      </c>
      <c r="G77" s="21">
        <f t="shared" si="112"/>
        <v>45.700394218134036</v>
      </c>
      <c r="H77" s="21">
        <f t="shared" si="112"/>
        <v>53.04804597701149</v>
      </c>
      <c r="I77" s="21">
        <f t="shared" si="112"/>
        <v>83.509661504727973</v>
      </c>
      <c r="J77" s="21">
        <f t="shared" si="112"/>
        <v>85.222536588739345</v>
      </c>
      <c r="K77" s="21">
        <f t="shared" si="112"/>
        <v>98.39222090261282</v>
      </c>
      <c r="L77" s="21">
        <f t="shared" si="112"/>
        <v>70.783917118894919</v>
      </c>
      <c r="M77" s="21">
        <f t="shared" si="112"/>
        <v>51.03253948568053</v>
      </c>
      <c r="N77" s="21">
        <f t="shared" si="112"/>
        <v>72.192151789564463</v>
      </c>
      <c r="O77" s="21">
        <f t="shared" si="112"/>
        <v>70.039088192419825</v>
      </c>
      <c r="P77" s="21">
        <f t="shared" si="112"/>
        <v>62.412115384615383</v>
      </c>
      <c r="Q77" s="21">
        <f t="shared" si="112"/>
        <v>60.655865384615382</v>
      </c>
      <c r="R77" s="51"/>
      <c r="S77" s="21">
        <f t="shared" ref="S77:AX77" si="113">+S73*1000/S$43</f>
        <v>46.958333333333329</v>
      </c>
      <c r="T77" s="21">
        <f t="shared" si="113"/>
        <v>46.640326975476839</v>
      </c>
      <c r="U77" s="21">
        <f t="shared" si="113"/>
        <v>47.943209876543222</v>
      </c>
      <c r="V77" s="21">
        <f t="shared" si="113"/>
        <v>41.942922374429209</v>
      </c>
      <c r="W77" s="21">
        <f t="shared" si="113"/>
        <v>44.327188940092171</v>
      </c>
      <c r="X77" s="21">
        <f t="shared" si="113"/>
        <v>48.295327102803739</v>
      </c>
      <c r="Y77" s="21">
        <f t="shared" si="113"/>
        <v>52.823529411764717</v>
      </c>
      <c r="Z77" s="21">
        <f t="shared" si="113"/>
        <v>63.940000000000005</v>
      </c>
      <c r="AA77" s="21">
        <f t="shared" si="113"/>
        <v>79.24889543446244</v>
      </c>
      <c r="AB77" s="21">
        <f t="shared" si="113"/>
        <v>79.56204379562044</v>
      </c>
      <c r="AC77" s="21">
        <f t="shared" si="113"/>
        <v>83.92457737321196</v>
      </c>
      <c r="AD77" s="21">
        <f t="shared" si="113"/>
        <v>90.226520743191656</v>
      </c>
      <c r="AE77" s="21">
        <f t="shared" si="113"/>
        <v>79.950552321444675</v>
      </c>
      <c r="AF77" s="21">
        <f t="shared" si="113"/>
        <v>78.634173986965152</v>
      </c>
      <c r="AG77" s="21">
        <f t="shared" si="113"/>
        <v>89.543726235741445</v>
      </c>
      <c r="AH77" s="21">
        <f t="shared" si="113"/>
        <v>91.325872873769029</v>
      </c>
      <c r="AI77" s="21">
        <f t="shared" si="113"/>
        <v>97.815730337078648</v>
      </c>
      <c r="AJ77" s="21">
        <f t="shared" si="113"/>
        <v>99.025862068965523</v>
      </c>
      <c r="AK77" s="21">
        <f t="shared" si="113"/>
        <v>98.581530343007913</v>
      </c>
      <c r="AL77" s="21">
        <f t="shared" si="113"/>
        <v>98.119619619619613</v>
      </c>
      <c r="AM77" s="21">
        <f t="shared" si="113"/>
        <v>88.123815165876778</v>
      </c>
      <c r="AN77" s="21">
        <f t="shared" si="113"/>
        <v>74.227941176470594</v>
      </c>
      <c r="AO77" s="21">
        <f t="shared" si="113"/>
        <v>63.11076732673267</v>
      </c>
      <c r="AP77" s="21">
        <f t="shared" si="113"/>
        <v>57.206696716033484</v>
      </c>
      <c r="AQ77" s="21">
        <f t="shared" si="113"/>
        <v>52.349397590361448</v>
      </c>
      <c r="AR77" s="21">
        <f t="shared" si="113"/>
        <v>48.706676669167294</v>
      </c>
      <c r="AS77" s="21">
        <f t="shared" si="113"/>
        <v>49.543800401426701</v>
      </c>
      <c r="AT77" s="21">
        <f t="shared" si="113"/>
        <v>52.786301834525268</v>
      </c>
      <c r="AU77" s="21">
        <f t="shared" si="113"/>
        <v>62.197077409162716</v>
      </c>
      <c r="AV77" s="21">
        <f t="shared" si="113"/>
        <v>69.426229508196727</v>
      </c>
      <c r="AW77" s="21">
        <f t="shared" si="113"/>
        <v>75.34604385128695</v>
      </c>
      <c r="AX77" s="21">
        <f t="shared" si="113"/>
        <v>79.437401450646476</v>
      </c>
      <c r="AY77" s="21">
        <f t="shared" ref="AY77:BJ77" si="114">+AY73*1000/AY$43</f>
        <v>79.054920634920649</v>
      </c>
      <c r="AZ77" s="21">
        <f t="shared" si="114"/>
        <v>73.16423076923077</v>
      </c>
      <c r="BA77" s="21">
        <f t="shared" si="114"/>
        <v>67.453673469387752</v>
      </c>
      <c r="BB77" s="21">
        <f t="shared" si="114"/>
        <v>66.437115384615382</v>
      </c>
      <c r="BC77" s="21">
        <f t="shared" si="114"/>
        <v>64.137115384615399</v>
      </c>
      <c r="BD77" s="21">
        <f t="shared" si="114"/>
        <v>62.737115384615386</v>
      </c>
      <c r="BE77" s="21">
        <f t="shared" si="114"/>
        <v>61.837115384615387</v>
      </c>
      <c r="BF77" s="21">
        <f t="shared" si="114"/>
        <v>60.937115384615382</v>
      </c>
      <c r="BG77" s="21">
        <f t="shared" si="114"/>
        <v>60.655865384615382</v>
      </c>
      <c r="BH77" s="21">
        <f t="shared" si="114"/>
        <v>60.655865384615382</v>
      </c>
      <c r="BI77" s="21">
        <f t="shared" si="114"/>
        <v>60.655865384615382</v>
      </c>
      <c r="BJ77" s="21">
        <f t="shared" si="114"/>
        <v>60.655865384615382</v>
      </c>
      <c r="BK77" s="1"/>
      <c r="BL77" s="91"/>
      <c r="BM77" s="23">
        <f t="shared" si="102"/>
        <v>71</v>
      </c>
    </row>
    <row r="78" spans="1:71" ht="12.75" hidden="1" customHeight="1" outlineLevel="2">
      <c r="A78" s="118"/>
      <c r="B78" s="125" t="s">
        <v>403</v>
      </c>
      <c r="C78" s="186"/>
      <c r="D78" s="186"/>
      <c r="E78" s="21">
        <f t="shared" ref="E78:Q78" si="115">E77-E79</f>
        <v>15.008385744234797</v>
      </c>
      <c r="F78" s="21">
        <f t="shared" si="115"/>
        <v>15.655654383735708</v>
      </c>
      <c r="G78" s="21">
        <f t="shared" si="115"/>
        <v>17.370565045992119</v>
      </c>
      <c r="H78" s="21">
        <f t="shared" si="115"/>
        <v>19.561125644074515</v>
      </c>
      <c r="I78" s="21">
        <f t="shared" si="115"/>
        <v>35.510141153898864</v>
      </c>
      <c r="J78" s="21">
        <f t="shared" si="115"/>
        <v>49.430204216162615</v>
      </c>
      <c r="K78" s="21">
        <f t="shared" si="115"/>
        <v>60.367131828978614</v>
      </c>
      <c r="L78" s="21">
        <f t="shared" si="115"/>
        <v>56.159842131228416</v>
      </c>
      <c r="M78" s="21">
        <f t="shared" si="115"/>
        <v>50.829177358463916</v>
      </c>
      <c r="N78" s="21">
        <f t="shared" si="115"/>
        <v>49.261750754635621</v>
      </c>
      <c r="O78" s="21">
        <f t="shared" si="115"/>
        <v>44.513530612244892</v>
      </c>
      <c r="P78" s="21">
        <f t="shared" si="115"/>
        <v>41.437115384615382</v>
      </c>
      <c r="Q78" s="21">
        <f t="shared" si="115"/>
        <v>41.437115384615382</v>
      </c>
      <c r="R78" s="51"/>
      <c r="S78" s="21">
        <f t="shared" ref="S78:AX78" si="116">+S74*1000/S$43</f>
        <v>17.727564102564095</v>
      </c>
      <c r="T78" s="21">
        <f t="shared" si="116"/>
        <v>18.798365122615806</v>
      </c>
      <c r="U78" s="21">
        <f t="shared" si="116"/>
        <v>16.935802469135815</v>
      </c>
      <c r="V78" s="21">
        <f t="shared" si="116"/>
        <v>16.321917808219155</v>
      </c>
      <c r="W78" s="21">
        <f t="shared" si="116"/>
        <v>17.852534562211982</v>
      </c>
      <c r="X78" s="21">
        <f t="shared" si="116"/>
        <v>17.071028037383179</v>
      </c>
      <c r="Y78" s="21">
        <f t="shared" si="116"/>
        <v>18.764705882352949</v>
      </c>
      <c r="Z78" s="21">
        <f t="shared" si="116"/>
        <v>23.692710027100251</v>
      </c>
      <c r="AA78" s="21">
        <f t="shared" si="116"/>
        <v>27.606774668630344</v>
      </c>
      <c r="AB78" s="21">
        <f t="shared" si="116"/>
        <v>30.948905109489058</v>
      </c>
      <c r="AC78" s="21">
        <f t="shared" si="116"/>
        <v>39.404421326397916</v>
      </c>
      <c r="AD78" s="21">
        <f t="shared" si="116"/>
        <v>42.504454059557148</v>
      </c>
      <c r="AE78" s="21">
        <f t="shared" si="116"/>
        <v>40.627046967690632</v>
      </c>
      <c r="AF78" s="21">
        <f t="shared" si="116"/>
        <v>42.707363478120065</v>
      </c>
      <c r="AG78" s="21">
        <f t="shared" si="116"/>
        <v>51.425855513307987</v>
      </c>
      <c r="AH78" s="21">
        <f t="shared" si="116"/>
        <v>60.752909579230071</v>
      </c>
      <c r="AI78" s="21">
        <f t="shared" si="116"/>
        <v>66.633707865168546</v>
      </c>
      <c r="AJ78" s="21">
        <f t="shared" si="116"/>
        <v>61.187665782493362</v>
      </c>
      <c r="AK78" s="21">
        <f t="shared" si="116"/>
        <v>57.932453825857529</v>
      </c>
      <c r="AL78" s="21">
        <f t="shared" si="116"/>
        <v>57.869869869869881</v>
      </c>
      <c r="AM78" s="21">
        <f t="shared" si="116"/>
        <v>57.202606635071092</v>
      </c>
      <c r="AN78" s="21">
        <f t="shared" si="116"/>
        <v>63.397058823529413</v>
      </c>
      <c r="AO78" s="21">
        <f t="shared" si="116"/>
        <v>52.887376237623762</v>
      </c>
      <c r="AP78" s="21">
        <f t="shared" si="116"/>
        <v>52.727623953638123</v>
      </c>
      <c r="AQ78" s="21">
        <f t="shared" si="116"/>
        <v>51.746279234585401</v>
      </c>
      <c r="AR78" s="21">
        <f t="shared" si="116"/>
        <v>53.20405101275319</v>
      </c>
      <c r="AS78" s="21">
        <f t="shared" si="116"/>
        <v>51.953818954302392</v>
      </c>
      <c r="AT78" s="21">
        <f t="shared" si="116"/>
        <v>47.812222630522655</v>
      </c>
      <c r="AU78" s="21">
        <f t="shared" si="116"/>
        <v>51.058451816745652</v>
      </c>
      <c r="AV78" s="21">
        <f t="shared" si="116"/>
        <v>47.508196721311478</v>
      </c>
      <c r="AW78" s="21">
        <f t="shared" si="116"/>
        <v>48.129647283126808</v>
      </c>
      <c r="AX78" s="21">
        <f t="shared" si="116"/>
        <v>50.468621885840427</v>
      </c>
      <c r="AY78" s="21">
        <f t="shared" ref="AY78:BJ78" si="117">+AY74*1000/AY$43</f>
        <v>52.927936507936508</v>
      </c>
      <c r="AZ78" s="21">
        <f t="shared" si="117"/>
        <v>46.53153846153846</v>
      </c>
      <c r="BA78" s="21">
        <f t="shared" si="117"/>
        <v>42.035306122448979</v>
      </c>
      <c r="BB78" s="21">
        <f t="shared" si="117"/>
        <v>41.437115384615382</v>
      </c>
      <c r="BC78" s="21">
        <f t="shared" si="117"/>
        <v>41.437115384615382</v>
      </c>
      <c r="BD78" s="21">
        <f t="shared" si="117"/>
        <v>41.437115384615382</v>
      </c>
      <c r="BE78" s="21">
        <f t="shared" si="117"/>
        <v>41.437115384615382</v>
      </c>
      <c r="BF78" s="21">
        <f t="shared" si="117"/>
        <v>41.437115384615382</v>
      </c>
      <c r="BG78" s="21">
        <f t="shared" si="117"/>
        <v>41.437115384615382</v>
      </c>
      <c r="BH78" s="21">
        <f t="shared" si="117"/>
        <v>41.437115384615382</v>
      </c>
      <c r="BI78" s="21">
        <f t="shared" si="117"/>
        <v>41.437115384615382</v>
      </c>
      <c r="BJ78" s="21">
        <f t="shared" si="117"/>
        <v>41.437115384615382</v>
      </c>
      <c r="BK78" s="1"/>
      <c r="BL78" s="91"/>
      <c r="BM78" s="23">
        <f t="shared" si="102"/>
        <v>72</v>
      </c>
    </row>
    <row r="79" spans="1:71" s="257" customFormat="1" ht="12.75" hidden="1" customHeight="1" outlineLevel="2">
      <c r="A79" s="144"/>
      <c r="B79" s="125" t="s">
        <v>404</v>
      </c>
      <c r="C79" s="185"/>
      <c r="D79" s="185"/>
      <c r="E79" s="21">
        <f t="shared" ref="E79:Q79" si="118">(E17-E67)*1000/E43</f>
        <v>24.692872117400423</v>
      </c>
      <c r="F79" s="21">
        <f t="shared" si="118"/>
        <v>29.879288437102922</v>
      </c>
      <c r="G79" s="21">
        <f t="shared" si="118"/>
        <v>28.329829172141917</v>
      </c>
      <c r="H79" s="21">
        <f t="shared" si="118"/>
        <v>33.486920332936975</v>
      </c>
      <c r="I79" s="21">
        <f t="shared" si="118"/>
        <v>47.999520350829108</v>
      </c>
      <c r="J79" s="21">
        <f t="shared" si="118"/>
        <v>35.79233237257673</v>
      </c>
      <c r="K79" s="21">
        <f t="shared" si="118"/>
        <v>38.025089073634206</v>
      </c>
      <c r="L79" s="21">
        <f t="shared" si="118"/>
        <v>14.624074987666502</v>
      </c>
      <c r="M79" s="21">
        <f t="shared" si="118"/>
        <v>0.20336212721661182</v>
      </c>
      <c r="N79" s="21">
        <f t="shared" si="118"/>
        <v>22.930401034928842</v>
      </c>
      <c r="O79" s="21">
        <f t="shared" si="118"/>
        <v>25.525557580174929</v>
      </c>
      <c r="P79" s="21">
        <f t="shared" si="118"/>
        <v>20.975000000000001</v>
      </c>
      <c r="Q79" s="21">
        <f t="shared" si="118"/>
        <v>19.21875</v>
      </c>
      <c r="R79" s="51"/>
      <c r="S79" s="21">
        <f t="shared" ref="S79:AX79" si="119">+S75*1000/S$43</f>
        <v>29.230769230769237</v>
      </c>
      <c r="T79" s="21">
        <f t="shared" si="119"/>
        <v>27.841961852861036</v>
      </c>
      <c r="U79" s="21">
        <f t="shared" si="119"/>
        <v>31.007407407407406</v>
      </c>
      <c r="V79" s="21">
        <f t="shared" si="119"/>
        <v>25.621004566210051</v>
      </c>
      <c r="W79" s="21">
        <f t="shared" si="119"/>
        <v>26.474654377880189</v>
      </c>
      <c r="X79" s="21">
        <f t="shared" si="119"/>
        <v>31.22429906542056</v>
      </c>
      <c r="Y79" s="21">
        <f t="shared" si="119"/>
        <v>34.058823529411768</v>
      </c>
      <c r="Z79" s="21">
        <f t="shared" si="119"/>
        <v>40.247289972899743</v>
      </c>
      <c r="AA79" s="21">
        <f t="shared" si="119"/>
        <v>51.642120765832104</v>
      </c>
      <c r="AB79" s="21">
        <f t="shared" si="119"/>
        <v>48.613138686131386</v>
      </c>
      <c r="AC79" s="21">
        <f t="shared" si="119"/>
        <v>44.520156046814044</v>
      </c>
      <c r="AD79" s="21">
        <f t="shared" si="119"/>
        <v>47.722066683634516</v>
      </c>
      <c r="AE79" s="21">
        <f t="shared" si="119"/>
        <v>39.323505353754037</v>
      </c>
      <c r="AF79" s="21">
        <f t="shared" si="119"/>
        <v>35.92681050884508</v>
      </c>
      <c r="AG79" s="21">
        <f t="shared" si="119"/>
        <v>38.117870722433459</v>
      </c>
      <c r="AH79" s="21">
        <f t="shared" si="119"/>
        <v>30.572963294538944</v>
      </c>
      <c r="AI79" s="21">
        <f t="shared" si="119"/>
        <v>31.182022471910113</v>
      </c>
      <c r="AJ79" s="21">
        <f t="shared" si="119"/>
        <v>37.838196286472147</v>
      </c>
      <c r="AK79" s="21">
        <f t="shared" si="119"/>
        <v>40.649076517150398</v>
      </c>
      <c r="AL79" s="21">
        <f t="shared" si="119"/>
        <v>40.249749749749746</v>
      </c>
      <c r="AM79" s="21">
        <f t="shared" si="119"/>
        <v>30.921208530805686</v>
      </c>
      <c r="AN79" s="21">
        <f t="shared" si="119"/>
        <v>10.830882352941176</v>
      </c>
      <c r="AO79" s="21">
        <f t="shared" si="119"/>
        <v>10.223391089108912</v>
      </c>
      <c r="AP79" s="21">
        <f t="shared" si="119"/>
        <v>4.4790727623953641</v>
      </c>
      <c r="AQ79" s="21">
        <f t="shared" si="119"/>
        <v>0.60311835577604533</v>
      </c>
      <c r="AR79" s="21">
        <f t="shared" si="119"/>
        <v>-4.4973743435858964</v>
      </c>
      <c r="AS79" s="21">
        <f t="shared" si="119"/>
        <v>-2.4100185528756959</v>
      </c>
      <c r="AT79" s="21">
        <f t="shared" si="119"/>
        <v>4.9740792040026021</v>
      </c>
      <c r="AU79" s="21">
        <f t="shared" si="119"/>
        <v>11.138625592417062</v>
      </c>
      <c r="AV79" s="21">
        <f t="shared" si="119"/>
        <v>21.918032786885245</v>
      </c>
      <c r="AW79" s="21">
        <f t="shared" si="119"/>
        <v>27.216396568160153</v>
      </c>
      <c r="AX79" s="21">
        <f t="shared" si="119"/>
        <v>28.968779564806049</v>
      </c>
      <c r="AY79" s="21">
        <f t="shared" ref="AY79:BJ79" si="120">+AY75*1000/AY$43</f>
        <v>26.126984126984127</v>
      </c>
      <c r="AZ79" s="21">
        <f t="shared" si="120"/>
        <v>26.632692307692309</v>
      </c>
      <c r="BA79" s="21">
        <f t="shared" si="120"/>
        <v>25.418367346938776</v>
      </c>
      <c r="BB79" s="21">
        <f t="shared" si="120"/>
        <v>25</v>
      </c>
      <c r="BC79" s="21">
        <f t="shared" si="120"/>
        <v>22.7</v>
      </c>
      <c r="BD79" s="21">
        <f t="shared" si="120"/>
        <v>21.299999999999997</v>
      </c>
      <c r="BE79" s="21">
        <f t="shared" si="120"/>
        <v>20.399999999999999</v>
      </c>
      <c r="BF79" s="21">
        <f t="shared" si="120"/>
        <v>19.499999999999996</v>
      </c>
      <c r="BG79" s="21">
        <f t="shared" si="120"/>
        <v>19.21875</v>
      </c>
      <c r="BH79" s="21">
        <f t="shared" si="120"/>
        <v>19.21875</v>
      </c>
      <c r="BI79" s="21">
        <f t="shared" si="120"/>
        <v>19.21875</v>
      </c>
      <c r="BJ79" s="21">
        <f t="shared" si="120"/>
        <v>19.21875</v>
      </c>
      <c r="BK79" s="51"/>
      <c r="BL79" s="256"/>
      <c r="BM79" s="23">
        <f t="shared" si="102"/>
        <v>73</v>
      </c>
      <c r="BN79"/>
      <c r="BO79"/>
      <c r="BP79"/>
      <c r="BQ79"/>
      <c r="BR79"/>
      <c r="BS79"/>
    </row>
    <row r="80" spans="1:71" ht="12.75" hidden="1" customHeight="1" outlineLevel="2">
      <c r="A80" s="118"/>
      <c r="B80" s="125"/>
      <c r="C80" s="1"/>
      <c r="D80" s="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68"/>
      <c r="P80" s="11"/>
      <c r="Q80" s="11"/>
      <c r="R80" s="51"/>
      <c r="S80" s="182"/>
      <c r="T80" s="182"/>
      <c r="U80" s="182"/>
      <c r="V80" s="182"/>
      <c r="W80" s="182"/>
      <c r="X80" s="182"/>
      <c r="Y80" s="182"/>
      <c r="Z80" s="182"/>
      <c r="AA80" s="182"/>
      <c r="AB80" s="182"/>
      <c r="AC80" s="182"/>
      <c r="AD80" s="182"/>
      <c r="AE80" s="182"/>
      <c r="AF80" s="182"/>
      <c r="AG80" s="182"/>
      <c r="AH80" s="182"/>
      <c r="AI80" s="182"/>
      <c r="AJ80" s="182"/>
      <c r="AK80" s="182"/>
      <c r="AL80" s="182"/>
      <c r="AM80" s="182"/>
      <c r="AN80" s="182"/>
      <c r="AO80" s="182"/>
      <c r="AP80" s="182"/>
      <c r="AQ80" s="182"/>
      <c r="AR80" s="182"/>
      <c r="AS80" s="182"/>
      <c r="AT80" s="182"/>
      <c r="AU80" s="182"/>
      <c r="AV80" s="182"/>
      <c r="AW80" s="182"/>
      <c r="AX80" s="182"/>
      <c r="AY80" s="182"/>
      <c r="AZ80" s="182"/>
      <c r="BA80" s="182"/>
      <c r="BB80" s="182"/>
      <c r="BC80" s="182"/>
      <c r="BD80" s="185"/>
      <c r="BE80" s="185"/>
      <c r="BF80" s="185"/>
      <c r="BG80" s="185"/>
      <c r="BH80" s="185"/>
      <c r="BI80" s="185"/>
      <c r="BJ80" s="185"/>
      <c r="BK80" s="1"/>
      <c r="BL80" s="91"/>
      <c r="BM80" s="23">
        <f t="shared" si="102"/>
        <v>74</v>
      </c>
    </row>
    <row r="81" spans="1:71" ht="12.75" hidden="1" customHeight="1" outlineLevel="2">
      <c r="A81" s="118"/>
      <c r="B81" s="124" t="s">
        <v>468</v>
      </c>
      <c r="C81" s="1"/>
      <c r="D81" s="1"/>
      <c r="E81" s="11"/>
      <c r="F81" s="11">
        <f t="shared" ref="F81:Q81" si="121">F77/E77-1</f>
        <v>0.14693954986349977</v>
      </c>
      <c r="G81" s="11">
        <f t="shared" si="121"/>
        <v>3.6335040091384219E-3</v>
      </c>
      <c r="H81" s="11">
        <f t="shared" si="121"/>
        <v>0.16077873910247109</v>
      </c>
      <c r="I81" s="11">
        <f t="shared" si="121"/>
        <v>0.57422691009046978</v>
      </c>
      <c r="J81" s="11">
        <f t="shared" si="121"/>
        <v>2.0511100789390557E-2</v>
      </c>
      <c r="K81" s="11">
        <f t="shared" si="121"/>
        <v>0.15453288344873806</v>
      </c>
      <c r="L81" s="11">
        <f t="shared" si="121"/>
        <v>-0.28059437555580935</v>
      </c>
      <c r="M81" s="11">
        <f t="shared" si="121"/>
        <v>-0.27903764636306061</v>
      </c>
      <c r="N81" s="11">
        <f t="shared" si="121"/>
        <v>0.41462981300041335</v>
      </c>
      <c r="O81" s="11">
        <f t="shared" si="121"/>
        <v>-2.9824067350432748E-2</v>
      </c>
      <c r="P81" s="11">
        <f t="shared" si="121"/>
        <v>-0.10889594660128499</v>
      </c>
      <c r="Q81" s="11">
        <f t="shared" si="121"/>
        <v>-2.8139568562563388E-2</v>
      </c>
      <c r="R81" s="51"/>
      <c r="S81" s="11"/>
      <c r="T81" s="11">
        <f t="shared" ref="T81:BJ81" si="122">T77/S77-1</f>
        <v>-6.772096351868484E-3</v>
      </c>
      <c r="U81" s="11">
        <f t="shared" si="122"/>
        <v>2.7934686258769714E-2</v>
      </c>
      <c r="V81" s="11">
        <f t="shared" si="122"/>
        <v>-0.12515406284988284</v>
      </c>
      <c r="W81" s="11">
        <f t="shared" si="122"/>
        <v>5.6845504096694643E-2</v>
      </c>
      <c r="X81" s="11">
        <f t="shared" si="122"/>
        <v>8.9519282805739619E-2</v>
      </c>
      <c r="Y81" s="11">
        <f t="shared" si="122"/>
        <v>9.3760671696498266E-2</v>
      </c>
      <c r="Z81" s="11">
        <f t="shared" si="122"/>
        <v>0.21044543429844076</v>
      </c>
      <c r="AA81" s="11">
        <f t="shared" si="122"/>
        <v>0.23942595299440783</v>
      </c>
      <c r="AB81" s="11">
        <f t="shared" si="122"/>
        <v>3.9514539532852222E-3</v>
      </c>
      <c r="AC81" s="11">
        <f t="shared" si="122"/>
        <v>5.4831844048627287E-2</v>
      </c>
      <c r="AD81" s="11">
        <f t="shared" si="122"/>
        <v>7.5090558299209631E-2</v>
      </c>
      <c r="AE81" s="11">
        <f t="shared" si="122"/>
        <v>-0.11389077554032123</v>
      </c>
      <c r="AF81" s="11">
        <f t="shared" si="122"/>
        <v>-1.6464906073280994E-2</v>
      </c>
      <c r="AG81" s="11">
        <f t="shared" si="122"/>
        <v>0.13873805364299652</v>
      </c>
      <c r="AH81" s="11">
        <f t="shared" si="122"/>
        <v>1.9902529333386543E-2</v>
      </c>
      <c r="AI81" s="11">
        <f t="shared" si="122"/>
        <v>7.1062638210750206E-2</v>
      </c>
      <c r="AJ81" s="11">
        <f t="shared" si="122"/>
        <v>1.2371545228121228E-2</v>
      </c>
      <c r="AK81" s="11">
        <f t="shared" si="122"/>
        <v>-4.4870270924595168E-3</v>
      </c>
      <c r="AL81" s="11">
        <f t="shared" si="122"/>
        <v>-4.6855706315483969E-3</v>
      </c>
      <c r="AM81" s="11">
        <f t="shared" si="122"/>
        <v>-0.10187365679253113</v>
      </c>
      <c r="AN81" s="11">
        <f t="shared" si="122"/>
        <v>-0.15768579654943182</v>
      </c>
      <c r="AO81" s="11">
        <f t="shared" si="122"/>
        <v>-0.14977074230454257</v>
      </c>
      <c r="AP81" s="11">
        <f t="shared" si="122"/>
        <v>-9.3550924204946595E-2</v>
      </c>
      <c r="AQ81" s="11">
        <f t="shared" si="122"/>
        <v>-8.490787625412155E-2</v>
      </c>
      <c r="AR81" s="11">
        <f t="shared" si="122"/>
        <v>-6.9584772487713442E-2</v>
      </c>
      <c r="AS81" s="11">
        <f t="shared" si="122"/>
        <v>1.7187042711730216E-2</v>
      </c>
      <c r="AT81" s="11">
        <f t="shared" si="122"/>
        <v>6.5447168098254904E-2</v>
      </c>
      <c r="AU81" s="11">
        <f t="shared" si="122"/>
        <v>0.17828063811210693</v>
      </c>
      <c r="AV81" s="11">
        <f t="shared" si="122"/>
        <v>0.11622977156108361</v>
      </c>
      <c r="AW81" s="11">
        <f t="shared" si="122"/>
        <v>8.5267691836718784E-2</v>
      </c>
      <c r="AX81" s="11">
        <f t="shared" si="122"/>
        <v>5.4300894781347475E-2</v>
      </c>
      <c r="AY81" s="11">
        <f t="shared" si="122"/>
        <v>-4.8148706873734071E-3</v>
      </c>
      <c r="AZ81" s="11">
        <f t="shared" si="122"/>
        <v>-7.4513892599973208E-2</v>
      </c>
      <c r="BA81" s="11">
        <f t="shared" si="122"/>
        <v>-7.8051217648345661E-2</v>
      </c>
      <c r="BB81" s="11">
        <f t="shared" si="122"/>
        <v>-1.5070462919024141E-2</v>
      </c>
      <c r="BC81" s="11">
        <f t="shared" si="122"/>
        <v>-3.46192032373005E-2</v>
      </c>
      <c r="BD81" s="11">
        <f t="shared" si="122"/>
        <v>-2.182823458156069E-2</v>
      </c>
      <c r="BE81" s="11">
        <f t="shared" si="122"/>
        <v>-1.4345575095100704E-2</v>
      </c>
      <c r="BF81" s="11">
        <f t="shared" si="122"/>
        <v>-1.455436584326697E-2</v>
      </c>
      <c r="BG81" s="11">
        <f t="shared" si="122"/>
        <v>-4.6154137462011136E-3</v>
      </c>
      <c r="BH81" s="11">
        <f t="shared" si="122"/>
        <v>0</v>
      </c>
      <c r="BI81" s="11">
        <f t="shared" si="122"/>
        <v>0</v>
      </c>
      <c r="BJ81" s="11">
        <f t="shared" si="122"/>
        <v>0</v>
      </c>
      <c r="BK81" s="1"/>
      <c r="BL81" s="91"/>
      <c r="BM81" s="23">
        <f t="shared" si="102"/>
        <v>75</v>
      </c>
    </row>
    <row r="82" spans="1:71" ht="12.75" hidden="1" customHeight="1" outlineLevel="2">
      <c r="A82" s="118"/>
      <c r="B82" s="124" t="s">
        <v>469</v>
      </c>
      <c r="C82" s="1"/>
      <c r="D82" s="1"/>
      <c r="E82" s="11"/>
      <c r="F82" s="11">
        <f t="shared" ref="F82:Q82" si="123">F78/E78-1</f>
        <v>4.3127132426586723E-2</v>
      </c>
      <c r="G82" s="11">
        <f t="shared" si="123"/>
        <v>0.10953937920589207</v>
      </c>
      <c r="H82" s="11">
        <f t="shared" si="123"/>
        <v>0.1261076189682051</v>
      </c>
      <c r="I82" s="11">
        <f t="shared" si="123"/>
        <v>0.81534241945098129</v>
      </c>
      <c r="J82" s="11">
        <f t="shared" si="123"/>
        <v>0.39200247056003001</v>
      </c>
      <c r="K82" s="11">
        <f t="shared" si="123"/>
        <v>0.22126001270372786</v>
      </c>
      <c r="L82" s="11">
        <f t="shared" si="123"/>
        <v>-6.969504050100539E-2</v>
      </c>
      <c r="M82" s="11">
        <f t="shared" si="123"/>
        <v>-9.4919511353118935E-2</v>
      </c>
      <c r="N82" s="11">
        <f t="shared" si="123"/>
        <v>-3.0837142863326172E-2</v>
      </c>
      <c r="O82" s="11">
        <f t="shared" si="123"/>
        <v>-9.6387563772160734E-2</v>
      </c>
      <c r="P82" s="11">
        <f t="shared" si="123"/>
        <v>-6.9111912385202756E-2</v>
      </c>
      <c r="Q82" s="11">
        <f t="shared" si="123"/>
        <v>0</v>
      </c>
      <c r="R82" s="51"/>
      <c r="S82" s="11"/>
      <c r="T82" s="11">
        <f t="shared" ref="T82:BJ82" si="124">T78/S78-1</f>
        <v>6.0403167285506099E-2</v>
      </c>
      <c r="U82" s="11">
        <f t="shared" si="124"/>
        <v>-9.9081097815213237E-2</v>
      </c>
      <c r="V82" s="11">
        <f t="shared" si="124"/>
        <v>-3.6247745687599808E-2</v>
      </c>
      <c r="W82" s="11">
        <f t="shared" si="124"/>
        <v>9.3776771331495201E-2</v>
      </c>
      <c r="X82" s="11">
        <f t="shared" si="124"/>
        <v>-4.3775662335531762E-2</v>
      </c>
      <c r="Y82" s="11">
        <f t="shared" si="124"/>
        <v>9.9213582290466062E-2</v>
      </c>
      <c r="Z82" s="11">
        <f t="shared" si="124"/>
        <v>0.26262091053512249</v>
      </c>
      <c r="AA82" s="11">
        <f t="shared" si="124"/>
        <v>0.16520122168604168</v>
      </c>
      <c r="AB82" s="11">
        <f t="shared" si="124"/>
        <v>0.12106196688946746</v>
      </c>
      <c r="AC82" s="11">
        <f t="shared" si="124"/>
        <v>0.27320889663125314</v>
      </c>
      <c r="AD82" s="11">
        <f t="shared" si="124"/>
        <v>7.8672205524369598E-2</v>
      </c>
      <c r="AE82" s="11">
        <f t="shared" si="124"/>
        <v>-4.4169655472715785E-2</v>
      </c>
      <c r="AF82" s="11">
        <f t="shared" si="124"/>
        <v>5.1205210954265112E-2</v>
      </c>
      <c r="AG82" s="11">
        <f t="shared" si="124"/>
        <v>0.2041449371992865</v>
      </c>
      <c r="AH82" s="11">
        <f t="shared" si="124"/>
        <v>0.18136896261275481</v>
      </c>
      <c r="AI82" s="11">
        <f t="shared" si="124"/>
        <v>9.6798627862738185E-2</v>
      </c>
      <c r="AJ82" s="11">
        <f t="shared" si="124"/>
        <v>-8.1731037595793143E-2</v>
      </c>
      <c r="AK82" s="11">
        <f t="shared" si="124"/>
        <v>-5.3200459847696835E-2</v>
      </c>
      <c r="AL82" s="11">
        <f t="shared" si="124"/>
        <v>-1.0802918201215927E-3</v>
      </c>
      <c r="AM82" s="11">
        <f t="shared" si="124"/>
        <v>-1.1530408419774263E-2</v>
      </c>
      <c r="AN82" s="11">
        <f t="shared" si="124"/>
        <v>0.10828968385962479</v>
      </c>
      <c r="AO82" s="11">
        <f t="shared" si="124"/>
        <v>-0.16577555459094973</v>
      </c>
      <c r="AP82" s="11">
        <f t="shared" si="124"/>
        <v>-3.0206127690636242E-3</v>
      </c>
      <c r="AQ82" s="11">
        <f t="shared" si="124"/>
        <v>-1.8611586213624798E-2</v>
      </c>
      <c r="AR82" s="11">
        <f t="shared" si="124"/>
        <v>2.8171528460223305E-2</v>
      </c>
      <c r="AS82" s="11">
        <f t="shared" si="124"/>
        <v>-2.3498813241704331E-2</v>
      </c>
      <c r="AT82" s="11">
        <f t="shared" si="124"/>
        <v>-7.9716879473722746E-2</v>
      </c>
      <c r="AU82" s="11">
        <f t="shared" si="124"/>
        <v>6.7895383389908526E-2</v>
      </c>
      <c r="AV82" s="11">
        <f t="shared" si="124"/>
        <v>-6.9533152085700212E-2</v>
      </c>
      <c r="AW82" s="11">
        <f t="shared" si="124"/>
        <v>1.3080912446768567E-2</v>
      </c>
      <c r="AX82" s="11">
        <f t="shared" si="124"/>
        <v>4.8597376767679279E-2</v>
      </c>
      <c r="AY82" s="11">
        <f t="shared" si="124"/>
        <v>4.8729577511726463E-2</v>
      </c>
      <c r="AZ82" s="11">
        <f t="shared" si="124"/>
        <v>-0.12085107541343332</v>
      </c>
      <c r="BA82" s="11">
        <f t="shared" si="124"/>
        <v>-9.6627631231362088E-2</v>
      </c>
      <c r="BB82" s="11">
        <f t="shared" si="124"/>
        <v>-1.423067399797362E-2</v>
      </c>
      <c r="BC82" s="11">
        <f t="shared" si="124"/>
        <v>0</v>
      </c>
      <c r="BD82" s="11">
        <f t="shared" si="124"/>
        <v>0</v>
      </c>
      <c r="BE82" s="11">
        <f t="shared" si="124"/>
        <v>0</v>
      </c>
      <c r="BF82" s="11">
        <f t="shared" si="124"/>
        <v>0</v>
      </c>
      <c r="BG82" s="11">
        <f t="shared" si="124"/>
        <v>0</v>
      </c>
      <c r="BH82" s="11">
        <f t="shared" si="124"/>
        <v>0</v>
      </c>
      <c r="BI82" s="11">
        <f t="shared" si="124"/>
        <v>0</v>
      </c>
      <c r="BJ82" s="11">
        <f t="shared" si="124"/>
        <v>0</v>
      </c>
      <c r="BK82" s="1"/>
      <c r="BL82" s="91"/>
      <c r="BM82" s="23">
        <f t="shared" si="102"/>
        <v>76</v>
      </c>
    </row>
    <row r="83" spans="1:71" ht="12.75" hidden="1" customHeight="1" outlineLevel="2">
      <c r="A83" s="118"/>
      <c r="B83" s="124" t="s">
        <v>470</v>
      </c>
      <c r="C83" s="1"/>
      <c r="D83" s="1"/>
      <c r="E83" s="11"/>
      <c r="F83" s="11">
        <f t="shared" ref="F83:M83" si="125">F79/E79-1</f>
        <v>0.21003698132173798</v>
      </c>
      <c r="G83" s="11">
        <f t="shared" si="125"/>
        <v>-5.1857301361867392E-2</v>
      </c>
      <c r="H83" s="11">
        <f t="shared" si="125"/>
        <v>0.18203749586553375</v>
      </c>
      <c r="I83" s="11">
        <f t="shared" si="125"/>
        <v>0.43338114922493687</v>
      </c>
      <c r="J83" s="11">
        <f t="shared" si="125"/>
        <v>-0.25431895754436473</v>
      </c>
      <c r="K83" s="11">
        <f t="shared" si="125"/>
        <v>6.2380866321194661E-2</v>
      </c>
      <c r="L83" s="11">
        <f t="shared" si="125"/>
        <v>-0.61540984271338561</v>
      </c>
      <c r="M83" s="11">
        <f t="shared" si="125"/>
        <v>-0.98609401774894334</v>
      </c>
      <c r="N83" s="157">
        <f>IFERROR(N79/M79-1,"NA")</f>
        <v>111.75649674191524</v>
      </c>
      <c r="O83" s="11">
        <f>O79/N79-1</f>
        <v>0.11317536667993733</v>
      </c>
      <c r="P83" s="11">
        <f>P79/O79-1</f>
        <v>-0.17827456132473418</v>
      </c>
      <c r="Q83" s="11">
        <f>Q79/P79-1</f>
        <v>-8.3730631704410086E-2</v>
      </c>
      <c r="R83" s="51"/>
      <c r="S83" s="141"/>
      <c r="T83" s="141">
        <f t="shared" ref="T83:BJ83" si="126">IFERROR(T79/S79-1,"NA")</f>
        <v>-4.7511831349491107E-2</v>
      </c>
      <c r="U83" s="141">
        <f t="shared" si="126"/>
        <v>0.11369333710300622</v>
      </c>
      <c r="V83" s="141">
        <f t="shared" si="126"/>
        <v>-0.17371342177774562</v>
      </c>
      <c r="W83" s="141">
        <f t="shared" si="126"/>
        <v>3.3318358359607947E-2</v>
      </c>
      <c r="X83" s="141">
        <f t="shared" si="126"/>
        <v>0.17940346339360502</v>
      </c>
      <c r="Y83" s="141">
        <f t="shared" si="126"/>
        <v>9.0779442576192526E-2</v>
      </c>
      <c r="Z83" s="141">
        <f t="shared" si="126"/>
        <v>0.18169936017149491</v>
      </c>
      <c r="AA83" s="141">
        <f t="shared" si="126"/>
        <v>0.28312044862163388</v>
      </c>
      <c r="AB83" s="141">
        <f t="shared" si="126"/>
        <v>-5.8653324743099589E-2</v>
      </c>
      <c r="AC83" s="141">
        <f t="shared" si="126"/>
        <v>-8.4194988226197531E-2</v>
      </c>
      <c r="AD83" s="141">
        <f t="shared" si="126"/>
        <v>7.1920472009432856E-2</v>
      </c>
      <c r="AE83" s="141">
        <f t="shared" si="126"/>
        <v>-0.17598905314720215</v>
      </c>
      <c r="AF83" s="141">
        <f t="shared" si="126"/>
        <v>-8.6378231400082717E-2</v>
      </c>
      <c r="AG83" s="141">
        <f t="shared" si="126"/>
        <v>6.0986772345097195E-2</v>
      </c>
      <c r="AH83" s="141">
        <f t="shared" si="126"/>
        <v>-0.19793622479164663</v>
      </c>
      <c r="AI83" s="141">
        <f t="shared" si="126"/>
        <v>1.9921496372579561E-2</v>
      </c>
      <c r="AJ83" s="141">
        <f t="shared" si="126"/>
        <v>0.21346190166331125</v>
      </c>
      <c r="AK83" s="141">
        <f t="shared" si="126"/>
        <v>7.4286845213158204E-2</v>
      </c>
      <c r="AL83" s="141">
        <f t="shared" si="126"/>
        <v>-9.8237598886697919E-3</v>
      </c>
      <c r="AM83" s="141">
        <f t="shared" si="126"/>
        <v>-0.23176644021251491</v>
      </c>
      <c r="AN83" s="141">
        <f t="shared" si="126"/>
        <v>-0.64972642184568052</v>
      </c>
      <c r="AO83" s="141">
        <f t="shared" si="126"/>
        <v>-5.6088806436651706E-2</v>
      </c>
      <c r="AP83" s="141">
        <f t="shared" si="126"/>
        <v>-0.56187993559524796</v>
      </c>
      <c r="AQ83" s="141">
        <f t="shared" si="126"/>
        <v>-0.86534749762504337</v>
      </c>
      <c r="AR83" s="141">
        <f t="shared" si="126"/>
        <v>-8.4568686237364279</v>
      </c>
      <c r="AS83" s="141">
        <f t="shared" si="126"/>
        <v>-0.46412765121212629</v>
      </c>
      <c r="AT83" s="141">
        <f t="shared" si="126"/>
        <v>-3.0639173910372612</v>
      </c>
      <c r="AU83" s="141">
        <f t="shared" si="126"/>
        <v>1.2393341833909477</v>
      </c>
      <c r="AV83" s="141">
        <f t="shared" si="126"/>
        <v>0.9677502044602857</v>
      </c>
      <c r="AW83" s="141">
        <f t="shared" si="126"/>
        <v>0.24173537072383655</v>
      </c>
      <c r="AX83" s="141">
        <f t="shared" si="126"/>
        <v>6.438703199585083E-2</v>
      </c>
      <c r="AY83" s="141">
        <f t="shared" si="126"/>
        <v>-9.8098555773277973E-2</v>
      </c>
      <c r="AZ83" s="141">
        <f t="shared" si="126"/>
        <v>1.9355780914104281E-2</v>
      </c>
      <c r="BA83" s="141">
        <f t="shared" si="126"/>
        <v>-4.5595276163754583E-2</v>
      </c>
      <c r="BB83" s="141">
        <f t="shared" si="126"/>
        <v>-1.6459253311922994E-2</v>
      </c>
      <c r="BC83" s="141">
        <f t="shared" si="126"/>
        <v>-9.2000000000000082E-2</v>
      </c>
      <c r="BD83" s="141">
        <f t="shared" si="126"/>
        <v>-6.1674008810572833E-2</v>
      </c>
      <c r="BE83" s="141">
        <f t="shared" si="126"/>
        <v>-4.2253521126760507E-2</v>
      </c>
      <c r="BF83" s="141">
        <f t="shared" si="126"/>
        <v>-4.4117647058823595E-2</v>
      </c>
      <c r="BG83" s="141">
        <f t="shared" si="126"/>
        <v>-1.4423076923076761E-2</v>
      </c>
      <c r="BH83" s="141">
        <f t="shared" si="126"/>
        <v>0</v>
      </c>
      <c r="BI83" s="141">
        <f t="shared" si="126"/>
        <v>0</v>
      </c>
      <c r="BJ83" s="141">
        <f t="shared" si="126"/>
        <v>0</v>
      </c>
      <c r="BK83" s="1"/>
      <c r="BL83" s="91"/>
      <c r="BM83" s="23">
        <f t="shared" si="102"/>
        <v>77</v>
      </c>
    </row>
    <row r="84" spans="1:71" ht="12.75" hidden="1" customHeight="1" outlineLevel="2">
      <c r="A84" s="118"/>
      <c r="B84" s="125"/>
      <c r="C84" s="1"/>
      <c r="D84" s="1"/>
      <c r="E84" s="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51"/>
      <c r="S84" s="45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82"/>
      <c r="AV84" s="182"/>
      <c r="AW84" s="182"/>
      <c r="AX84" s="182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"/>
      <c r="BL84" s="91"/>
      <c r="BM84" s="23">
        <f t="shared" si="102"/>
        <v>78</v>
      </c>
    </row>
    <row r="85" spans="1:71" s="47" customFormat="1" ht="12.75" customHeight="1" outlineLevel="1" collapsed="1">
      <c r="A85" s="118"/>
      <c r="B85" s="297" t="s">
        <v>476</v>
      </c>
      <c r="C85" s="28"/>
      <c r="D85" s="28"/>
      <c r="E85" s="198"/>
      <c r="F85" s="198"/>
      <c r="G85" s="198"/>
      <c r="H85" s="198"/>
      <c r="I85" s="198"/>
      <c r="J85" s="198"/>
      <c r="K85" s="198"/>
      <c r="L85" s="198"/>
      <c r="M85" s="198"/>
      <c r="N85" s="198"/>
      <c r="O85" s="276"/>
      <c r="P85" s="198"/>
      <c r="Q85" s="198"/>
      <c r="R85" s="254"/>
      <c r="S85" s="199"/>
      <c r="T85" s="199"/>
      <c r="U85" s="199"/>
      <c r="V85" s="199"/>
      <c r="W85" s="199"/>
      <c r="X85" s="199"/>
      <c r="Y85" s="199"/>
      <c r="Z85" s="199"/>
      <c r="AA85" s="199"/>
      <c r="AB85" s="199"/>
      <c r="AC85" s="199"/>
      <c r="AD85" s="199"/>
      <c r="AE85" s="199"/>
      <c r="AF85" s="199"/>
      <c r="AG85" s="199"/>
      <c r="AH85" s="199"/>
      <c r="AI85" s="199"/>
      <c r="AJ85" s="199"/>
      <c r="AK85" s="199"/>
      <c r="AL85" s="199"/>
      <c r="AM85" s="199"/>
      <c r="AN85" s="199"/>
      <c r="AO85" s="199"/>
      <c r="AP85" s="199"/>
      <c r="AQ85" s="199"/>
      <c r="AR85" s="199"/>
      <c r="AS85" s="199"/>
      <c r="AT85" s="199"/>
      <c r="AU85" s="199"/>
      <c r="AV85" s="199"/>
      <c r="AW85" s="199"/>
      <c r="AX85" s="199"/>
      <c r="AY85" s="277"/>
      <c r="AZ85" s="277"/>
      <c r="BA85" s="277"/>
      <c r="BB85" s="277"/>
      <c r="BC85" s="277"/>
      <c r="BD85" s="277"/>
      <c r="BE85" s="277"/>
      <c r="BF85" s="277"/>
      <c r="BG85" s="277"/>
      <c r="BH85" s="277"/>
      <c r="BI85" s="277"/>
      <c r="BJ85" s="277"/>
      <c r="BK85" s="28"/>
      <c r="BL85" s="203"/>
      <c r="BM85" s="23">
        <f t="shared" si="102"/>
        <v>79</v>
      </c>
      <c r="BN85"/>
      <c r="BO85"/>
      <c r="BP85"/>
      <c r="BQ85"/>
      <c r="BR85"/>
      <c r="BS85"/>
    </row>
    <row r="86" spans="1:71" ht="12.75" hidden="1" customHeight="1" outlineLevel="2">
      <c r="A86" s="118"/>
      <c r="B86" s="125" t="s">
        <v>446</v>
      </c>
      <c r="C86" s="1"/>
      <c r="D86" s="1"/>
      <c r="E86" s="11"/>
      <c r="F86" s="11"/>
      <c r="G86" s="11"/>
      <c r="H86" s="11"/>
      <c r="I86" s="11"/>
      <c r="J86" s="201"/>
      <c r="K86" s="201">
        <f t="shared" ref="K86:Q86" si="127">+K87/K99</f>
        <v>0.6541181710213777</v>
      </c>
      <c r="L86" s="201">
        <f t="shared" si="127"/>
        <v>0.59968755138957408</v>
      </c>
      <c r="M86" s="201">
        <f t="shared" si="127"/>
        <v>0.62656628376280665</v>
      </c>
      <c r="N86" s="201">
        <f t="shared" si="127"/>
        <v>0.65271410090556281</v>
      </c>
      <c r="O86" s="201">
        <f t="shared" si="127"/>
        <v>0.74492753623188401</v>
      </c>
      <c r="P86" s="201">
        <f t="shared" si="127"/>
        <v>0.78846153846153844</v>
      </c>
      <c r="Q86" s="201">
        <f t="shared" si="127"/>
        <v>0.78846153846153844</v>
      </c>
      <c r="R86" s="51"/>
      <c r="S86" s="182"/>
      <c r="T86" s="182"/>
      <c r="U86" s="182"/>
      <c r="V86" s="182"/>
      <c r="W86" s="182"/>
      <c r="X86" s="182"/>
      <c r="Y86" s="182"/>
      <c r="Z86" s="182"/>
      <c r="AA86" s="182"/>
      <c r="AB86" s="182"/>
      <c r="AC86" s="182"/>
      <c r="AD86" s="182"/>
      <c r="AE86" s="182"/>
      <c r="AF86" s="182"/>
      <c r="AG86" s="182"/>
      <c r="AH86" s="182"/>
      <c r="AI86" s="270">
        <v>0.69</v>
      </c>
      <c r="AJ86" s="270">
        <v>0.67</v>
      </c>
      <c r="AK86" s="270">
        <v>0.61</v>
      </c>
      <c r="AL86" s="270">
        <v>0.66</v>
      </c>
      <c r="AM86" s="270">
        <v>0.63</v>
      </c>
      <c r="AN86" s="270">
        <v>0.62</v>
      </c>
      <c r="AO86" s="270">
        <v>0.61</v>
      </c>
      <c r="AP86" s="270">
        <v>0.54</v>
      </c>
      <c r="AQ86" s="270">
        <v>0.49</v>
      </c>
      <c r="AR86" s="270">
        <v>0.55000000000000004</v>
      </c>
      <c r="AS86" s="270">
        <v>0.65</v>
      </c>
      <c r="AT86" s="270">
        <v>0.75</v>
      </c>
      <c r="AU86" s="270">
        <v>0.67</v>
      </c>
      <c r="AV86" s="270">
        <v>0.62</v>
      </c>
      <c r="AW86" s="270">
        <v>0.66</v>
      </c>
      <c r="AX86" s="271">
        <f>AW86</f>
        <v>0.66</v>
      </c>
      <c r="AY86" s="201">
        <f t="shared" ref="AY86:BJ86" si="128">+AY87/AY99</f>
        <v>0.65079365079365081</v>
      </c>
      <c r="AZ86" s="201">
        <f t="shared" si="128"/>
        <v>0.72499999999999998</v>
      </c>
      <c r="BA86" s="201">
        <f t="shared" si="128"/>
        <v>0.77551020408163263</v>
      </c>
      <c r="BB86" s="201">
        <f t="shared" si="128"/>
        <v>0.78846153846153844</v>
      </c>
      <c r="BC86" s="201">
        <f t="shared" si="128"/>
        <v>0.78846153846153844</v>
      </c>
      <c r="BD86" s="201">
        <f t="shared" si="128"/>
        <v>0.78846153846153844</v>
      </c>
      <c r="BE86" s="201">
        <f t="shared" si="128"/>
        <v>0.78846153846153844</v>
      </c>
      <c r="BF86" s="201">
        <f t="shared" si="128"/>
        <v>0.78846153846153844</v>
      </c>
      <c r="BG86" s="201">
        <f t="shared" si="128"/>
        <v>0.78846153846153844</v>
      </c>
      <c r="BH86" s="201">
        <f t="shared" si="128"/>
        <v>0.78846153846153844</v>
      </c>
      <c r="BI86" s="201">
        <f t="shared" si="128"/>
        <v>0.78846153846153844</v>
      </c>
      <c r="BJ86" s="201">
        <f t="shared" si="128"/>
        <v>0.78846153846153844</v>
      </c>
      <c r="BK86" s="1"/>
      <c r="BL86" s="91"/>
      <c r="BM86" s="23">
        <f t="shared" si="102"/>
        <v>80</v>
      </c>
    </row>
    <row r="87" spans="1:71" ht="12.75" hidden="1" customHeight="1" outlineLevel="2">
      <c r="A87" s="118"/>
      <c r="B87" s="125" t="s">
        <v>447</v>
      </c>
      <c r="C87" s="1"/>
      <c r="D87" s="1"/>
      <c r="E87" s="11"/>
      <c r="F87" s="11"/>
      <c r="G87" s="11"/>
      <c r="H87" s="11"/>
      <c r="I87" s="11"/>
      <c r="J87" s="20"/>
      <c r="K87" s="20">
        <f>SUM(INDEX($S87:$BK87,K$5):INDEX($S87:$BK87,K$6))</f>
        <v>4406.1400000000003</v>
      </c>
      <c r="L87" s="20">
        <f>SUM(INDEX($S87:$BK87,L$5):INDEX($S87:$BK87,L$6))</f>
        <v>3646.7</v>
      </c>
      <c r="M87" s="20">
        <f>SUM(INDEX($S87:$BK87,M$5):INDEX($S87:$BK87,M$6))</f>
        <v>4036.34</v>
      </c>
      <c r="N87" s="20">
        <f>SUM(INDEX($S87:$BK87,N$5):INDEX($S87:$BK87,N$6))</f>
        <v>7568.2200000000012</v>
      </c>
      <c r="O87" s="20">
        <f>SUM(INDEX($S87:$BK87,O$5):INDEX($S87:$BK87,O$6))</f>
        <v>12850</v>
      </c>
      <c r="P87" s="20">
        <f>SUM(INDEX($S87:$BK87,P$5):INDEX($S87:$BK87,P$6))</f>
        <v>16400</v>
      </c>
      <c r="Q87" s="20">
        <f>SUM(INDEX($S87:$BK87,Q$5):INDEX($S87:$BK87,Q$6))</f>
        <v>16400</v>
      </c>
      <c r="R87" s="51"/>
      <c r="S87" s="182"/>
      <c r="T87" s="182"/>
      <c r="U87" s="182"/>
      <c r="V87" s="182"/>
      <c r="W87" s="182"/>
      <c r="X87" s="182"/>
      <c r="Y87" s="182"/>
      <c r="Z87" s="182"/>
      <c r="AA87" s="182"/>
      <c r="AB87" s="182"/>
      <c r="AC87" s="182"/>
      <c r="AD87" s="182"/>
      <c r="AE87" s="182"/>
      <c r="AF87" s="182"/>
      <c r="AG87" s="182"/>
      <c r="AH87" s="182"/>
      <c r="AI87" s="247">
        <f t="shared" ref="AI87:AX87" si="129">+AI86*AI43</f>
        <v>921.15</v>
      </c>
      <c r="AJ87" s="247">
        <f t="shared" si="129"/>
        <v>1010.36</v>
      </c>
      <c r="AK87" s="247">
        <f t="shared" si="129"/>
        <v>1155.95</v>
      </c>
      <c r="AL87" s="247">
        <f t="shared" si="129"/>
        <v>1318.68</v>
      </c>
      <c r="AM87" s="247">
        <f t="shared" si="129"/>
        <v>1063.44</v>
      </c>
      <c r="AN87" s="247">
        <f t="shared" si="129"/>
        <v>758.88</v>
      </c>
      <c r="AO87" s="247">
        <f t="shared" si="129"/>
        <v>985.76</v>
      </c>
      <c r="AP87" s="247">
        <f t="shared" si="129"/>
        <v>838.62</v>
      </c>
      <c r="AQ87" s="247">
        <f t="shared" si="129"/>
        <v>691.39</v>
      </c>
      <c r="AR87" s="247">
        <f t="shared" si="129"/>
        <v>733.15000000000009</v>
      </c>
      <c r="AS87" s="247">
        <f t="shared" si="129"/>
        <v>1051.05</v>
      </c>
      <c r="AT87" s="247">
        <f t="shared" si="129"/>
        <v>1560.75</v>
      </c>
      <c r="AU87" s="247">
        <f t="shared" si="129"/>
        <v>1696.44</v>
      </c>
      <c r="AV87" s="247">
        <f t="shared" si="129"/>
        <v>1701.9</v>
      </c>
      <c r="AW87" s="247">
        <f t="shared" si="129"/>
        <v>2077.02</v>
      </c>
      <c r="AX87" s="247">
        <f t="shared" si="129"/>
        <v>2092.86</v>
      </c>
      <c r="AY87" s="274">
        <f t="shared" ref="AY87:BJ87" si="130">SUM(AY96,AY97)</f>
        <v>2050</v>
      </c>
      <c r="AZ87" s="274">
        <f t="shared" si="130"/>
        <v>2900</v>
      </c>
      <c r="BA87" s="274">
        <f t="shared" si="130"/>
        <v>3800</v>
      </c>
      <c r="BB87" s="274">
        <f t="shared" si="130"/>
        <v>4100</v>
      </c>
      <c r="BC87" s="274">
        <f t="shared" si="130"/>
        <v>4100</v>
      </c>
      <c r="BD87" s="274">
        <f t="shared" si="130"/>
        <v>4100</v>
      </c>
      <c r="BE87" s="274">
        <f t="shared" si="130"/>
        <v>4100</v>
      </c>
      <c r="BF87" s="274">
        <f t="shared" si="130"/>
        <v>4100</v>
      </c>
      <c r="BG87" s="274">
        <f t="shared" si="130"/>
        <v>4100</v>
      </c>
      <c r="BH87" s="274">
        <f t="shared" si="130"/>
        <v>4100</v>
      </c>
      <c r="BI87" s="274">
        <f t="shared" si="130"/>
        <v>4100</v>
      </c>
      <c r="BJ87" s="274">
        <f t="shared" si="130"/>
        <v>4100</v>
      </c>
      <c r="BK87" s="1"/>
      <c r="BL87" s="91"/>
      <c r="BM87" s="23">
        <f t="shared" si="102"/>
        <v>81</v>
      </c>
    </row>
    <row r="88" spans="1:71" ht="12.75" hidden="1" customHeight="1" outlineLevel="2">
      <c r="A88" s="118"/>
      <c r="B88" s="125"/>
      <c r="C88" s="1"/>
      <c r="D88" s="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68"/>
      <c r="P88" s="11"/>
      <c r="Q88" s="11"/>
      <c r="R88" s="51"/>
      <c r="S88" s="182"/>
      <c r="T88" s="182"/>
      <c r="U88" s="182"/>
      <c r="V88" s="182"/>
      <c r="W88" s="182"/>
      <c r="X88" s="182"/>
      <c r="Y88" s="182"/>
      <c r="Z88" s="182"/>
      <c r="AA88" s="182"/>
      <c r="AB88" s="182"/>
      <c r="AC88" s="182"/>
      <c r="AD88" s="182"/>
      <c r="AE88" s="182"/>
      <c r="AF88" s="182"/>
      <c r="AG88" s="182"/>
      <c r="AH88" s="182"/>
      <c r="AI88" s="247"/>
      <c r="AJ88" s="247"/>
      <c r="AK88" s="247"/>
      <c r="AL88" s="247"/>
      <c r="AM88" s="247"/>
      <c r="AN88" s="247"/>
      <c r="AO88" s="247"/>
      <c r="AP88" s="247"/>
      <c r="AQ88" s="247"/>
      <c r="AR88" s="247"/>
      <c r="AS88" s="247"/>
      <c r="AT88" s="247"/>
      <c r="AU88" s="247"/>
      <c r="AV88" s="247"/>
      <c r="AW88" s="247"/>
      <c r="AX88" s="247"/>
      <c r="AY88" s="247"/>
      <c r="AZ88" s="274"/>
      <c r="BA88" s="274"/>
      <c r="BB88" s="274"/>
      <c r="BC88" s="274"/>
      <c r="BD88" s="274"/>
      <c r="BE88" s="274"/>
      <c r="BF88" s="274"/>
      <c r="BG88" s="274"/>
      <c r="BH88" s="274"/>
      <c r="BI88" s="274"/>
      <c r="BJ88" s="274"/>
      <c r="BK88" s="1"/>
      <c r="BL88" s="91"/>
      <c r="BM88" s="23">
        <f t="shared" si="102"/>
        <v>82</v>
      </c>
    </row>
    <row r="89" spans="1:71" ht="12.75" hidden="1" customHeight="1" outlineLevel="2">
      <c r="A89" s="118"/>
      <c r="B89" s="125" t="s">
        <v>448</v>
      </c>
      <c r="C89" s="1"/>
      <c r="D89" s="1"/>
      <c r="E89" s="11"/>
      <c r="F89" s="11"/>
      <c r="G89" s="11"/>
      <c r="H89" s="11"/>
      <c r="I89" s="11"/>
      <c r="J89" s="11"/>
      <c r="K89" s="20">
        <f>AVERAGE(INDEX($S89:$BK89,K$5):INDEX($S89:$BK89,K$6))</f>
        <v>800</v>
      </c>
      <c r="L89" s="20">
        <f>AVERAGE(INDEX($S89:$BK89,L$5):INDEX($S89:$BK89,L$6))</f>
        <v>800</v>
      </c>
      <c r="M89" s="20">
        <f>AVERAGE(INDEX($S89:$BK89,M$5):INDEX($S89:$BK89,M$6))</f>
        <v>3575</v>
      </c>
      <c r="N89" s="20">
        <f>AVERAGE(INDEX($S89:$BK89,N$5):INDEX($S89:$BK89,N$6))</f>
        <v>5250</v>
      </c>
      <c r="O89" s="20">
        <f>AVERAGE(INDEX($S89:$BK89,O$5):INDEX($S89:$BK89,O$6))</f>
        <v>11025</v>
      </c>
      <c r="P89" s="20">
        <f>AVERAGE(INDEX($S89:$BK89,P$5):INDEX($S89:$BK89,P$6))</f>
        <v>13300</v>
      </c>
      <c r="Q89" s="20">
        <f>AVERAGE(INDEX($S89:$BK89,Q$5):INDEX($S89:$BK89,Q$6))</f>
        <v>13300</v>
      </c>
      <c r="R89" s="51"/>
      <c r="S89" s="182"/>
      <c r="T89" s="182"/>
      <c r="U89" s="182"/>
      <c r="V89" s="182"/>
      <c r="W89" s="182"/>
      <c r="X89" s="182"/>
      <c r="Y89" s="182"/>
      <c r="Z89" s="182"/>
      <c r="AA89" s="182"/>
      <c r="AB89" s="182"/>
      <c r="AC89" s="182"/>
      <c r="AD89" s="182"/>
      <c r="AE89" s="182"/>
      <c r="AF89" s="182"/>
      <c r="AG89" s="182"/>
      <c r="AH89" s="182"/>
      <c r="AI89" s="196">
        <v>800</v>
      </c>
      <c r="AJ89" s="196">
        <v>800</v>
      </c>
      <c r="AK89" s="196">
        <v>800</v>
      </c>
      <c r="AL89" s="196">
        <v>800</v>
      </c>
      <c r="AM89" s="196">
        <v>800</v>
      </c>
      <c r="AN89" s="196">
        <v>800</v>
      </c>
      <c r="AO89" s="196">
        <v>800</v>
      </c>
      <c r="AP89" s="196">
        <v>800</v>
      </c>
      <c r="AQ89" s="196">
        <v>1200</v>
      </c>
      <c r="AR89" s="247">
        <f t="shared" ref="AR89:BJ89" si="131">SUM(AR136:AR142)</f>
        <v>2900</v>
      </c>
      <c r="AS89" s="247">
        <f t="shared" si="131"/>
        <v>5100</v>
      </c>
      <c r="AT89" s="247">
        <f t="shared" si="131"/>
        <v>5100</v>
      </c>
      <c r="AU89" s="247">
        <f t="shared" si="131"/>
        <v>5100</v>
      </c>
      <c r="AV89" s="247">
        <f t="shared" si="131"/>
        <v>5100</v>
      </c>
      <c r="AW89" s="247">
        <f t="shared" si="131"/>
        <v>5100</v>
      </c>
      <c r="AX89" s="247">
        <f t="shared" si="131"/>
        <v>5700</v>
      </c>
      <c r="AY89" s="247">
        <f t="shared" si="131"/>
        <v>7500</v>
      </c>
      <c r="AZ89" s="247">
        <f t="shared" si="131"/>
        <v>10000</v>
      </c>
      <c r="BA89" s="247">
        <f t="shared" si="131"/>
        <v>13300</v>
      </c>
      <c r="BB89" s="247">
        <f t="shared" si="131"/>
        <v>13300</v>
      </c>
      <c r="BC89" s="247">
        <f t="shared" si="131"/>
        <v>13300</v>
      </c>
      <c r="BD89" s="247">
        <f t="shared" si="131"/>
        <v>13300</v>
      </c>
      <c r="BE89" s="247">
        <f t="shared" si="131"/>
        <v>13300</v>
      </c>
      <c r="BF89" s="247">
        <f t="shared" si="131"/>
        <v>13300</v>
      </c>
      <c r="BG89" s="247">
        <f t="shared" si="131"/>
        <v>13300</v>
      </c>
      <c r="BH89" s="247">
        <f t="shared" si="131"/>
        <v>13300</v>
      </c>
      <c r="BI89" s="247">
        <f t="shared" si="131"/>
        <v>13300</v>
      </c>
      <c r="BJ89" s="247">
        <f t="shared" si="131"/>
        <v>13300</v>
      </c>
      <c r="BK89" s="1"/>
      <c r="BL89" s="91"/>
      <c r="BM89" s="23">
        <f t="shared" si="102"/>
        <v>83</v>
      </c>
    </row>
    <row r="90" spans="1:71" ht="12.75" hidden="1" customHeight="1" outlineLevel="2">
      <c r="A90" s="118"/>
      <c r="B90" s="125" t="s">
        <v>451</v>
      </c>
      <c r="C90" s="1"/>
      <c r="D90" s="1"/>
      <c r="E90" s="11"/>
      <c r="F90" s="11"/>
      <c r="G90" s="11"/>
      <c r="H90" s="11"/>
      <c r="I90" s="11"/>
      <c r="J90" s="11"/>
      <c r="K90" s="20">
        <f>AVERAGE(INDEX($S90:$BK90,K$5):INDEX($S90:$BK90,K$6))</f>
        <v>6350</v>
      </c>
      <c r="L90" s="20">
        <f>AVERAGE(INDEX($S90:$BK90,L$5):INDEX($S90:$BK90,L$6))</f>
        <v>7650</v>
      </c>
      <c r="M90" s="20">
        <f>AVERAGE(INDEX($S90:$BK90,M$5):INDEX($S90:$BK90,M$6))</f>
        <v>7625</v>
      </c>
      <c r="N90" s="20">
        <f>AVERAGE(INDEX($S90:$BK90,N$5):INDEX($S90:$BK90,N$6))</f>
        <v>7987.5</v>
      </c>
      <c r="O90" s="20">
        <f>AVERAGE(INDEX($S90:$BK90,O$5):INDEX($S90:$BK90,O$6))</f>
        <v>9900</v>
      </c>
      <c r="P90" s="20">
        <f>AVERAGE(INDEX($S90:$BK90,P$5):INDEX($S90:$BK90,P$6))</f>
        <v>10100</v>
      </c>
      <c r="Q90" s="20">
        <f>AVERAGE(INDEX($S90:$BK90,Q$5):INDEX($S90:$BK90,Q$6))</f>
        <v>10100</v>
      </c>
      <c r="R90" s="51"/>
      <c r="S90" s="182"/>
      <c r="T90" s="182"/>
      <c r="U90" s="182"/>
      <c r="V90" s="182"/>
      <c r="W90" s="182"/>
      <c r="X90" s="182"/>
      <c r="Y90" s="182"/>
      <c r="Z90" s="182"/>
      <c r="AA90" s="182"/>
      <c r="AB90" s="182"/>
      <c r="AC90" s="182"/>
      <c r="AD90" s="182"/>
      <c r="AE90" s="182"/>
      <c r="AF90" s="182"/>
      <c r="AG90" s="182"/>
      <c r="AH90" s="182"/>
      <c r="AI90" s="205">
        <f t="shared" ref="AI90:BJ90" si="132">AI143-AI89</f>
        <v>5200</v>
      </c>
      <c r="AJ90" s="205">
        <f t="shared" si="132"/>
        <v>5200</v>
      </c>
      <c r="AK90" s="205">
        <f t="shared" si="132"/>
        <v>7500</v>
      </c>
      <c r="AL90" s="205">
        <f t="shared" si="132"/>
        <v>7500</v>
      </c>
      <c r="AM90" s="205">
        <f t="shared" si="132"/>
        <v>7500</v>
      </c>
      <c r="AN90" s="205">
        <f t="shared" si="132"/>
        <v>7700</v>
      </c>
      <c r="AO90" s="205">
        <f t="shared" si="132"/>
        <v>7700</v>
      </c>
      <c r="AP90" s="205">
        <f t="shared" si="132"/>
        <v>7700</v>
      </c>
      <c r="AQ90" s="205">
        <f t="shared" si="132"/>
        <v>8300</v>
      </c>
      <c r="AR90" s="205">
        <f t="shared" si="132"/>
        <v>7400</v>
      </c>
      <c r="AS90" s="205">
        <f t="shared" si="132"/>
        <v>7400</v>
      </c>
      <c r="AT90" s="205">
        <f t="shared" si="132"/>
        <v>7400</v>
      </c>
      <c r="AU90" s="205">
        <f t="shared" si="132"/>
        <v>7400</v>
      </c>
      <c r="AV90" s="205">
        <f t="shared" si="132"/>
        <v>7400</v>
      </c>
      <c r="AW90" s="205">
        <f t="shared" si="132"/>
        <v>8000</v>
      </c>
      <c r="AX90" s="205">
        <f t="shared" si="132"/>
        <v>9150</v>
      </c>
      <c r="AY90" s="205">
        <f t="shared" si="132"/>
        <v>9700</v>
      </c>
      <c r="AZ90" s="205">
        <f t="shared" si="132"/>
        <v>9700</v>
      </c>
      <c r="BA90" s="205">
        <f t="shared" si="132"/>
        <v>10100</v>
      </c>
      <c r="BB90" s="205">
        <f t="shared" si="132"/>
        <v>10100</v>
      </c>
      <c r="BC90" s="205">
        <f t="shared" si="132"/>
        <v>10100</v>
      </c>
      <c r="BD90" s="205">
        <f t="shared" si="132"/>
        <v>10100</v>
      </c>
      <c r="BE90" s="205">
        <f t="shared" si="132"/>
        <v>10100</v>
      </c>
      <c r="BF90" s="205">
        <f t="shared" si="132"/>
        <v>10100</v>
      </c>
      <c r="BG90" s="205">
        <f t="shared" si="132"/>
        <v>10100</v>
      </c>
      <c r="BH90" s="205">
        <f t="shared" si="132"/>
        <v>10100</v>
      </c>
      <c r="BI90" s="205">
        <f t="shared" si="132"/>
        <v>10100</v>
      </c>
      <c r="BJ90" s="205">
        <f t="shared" si="132"/>
        <v>10100</v>
      </c>
      <c r="BK90" s="1"/>
      <c r="BL90" s="91"/>
      <c r="BM90" s="23">
        <f t="shared" si="102"/>
        <v>84</v>
      </c>
    </row>
    <row r="91" spans="1:71" ht="12.75" hidden="1" customHeight="1" outlineLevel="2">
      <c r="A91" s="118"/>
      <c r="B91" s="125"/>
      <c r="C91" s="1"/>
      <c r="D91" s="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68"/>
      <c r="P91" s="11"/>
      <c r="Q91" s="11"/>
      <c r="R91" s="51"/>
      <c r="S91" s="182"/>
      <c r="T91" s="182"/>
      <c r="U91" s="182"/>
      <c r="V91" s="182"/>
      <c r="W91" s="182"/>
      <c r="X91" s="182"/>
      <c r="Y91" s="182"/>
      <c r="Z91" s="182"/>
      <c r="AA91" s="182"/>
      <c r="AB91" s="182"/>
      <c r="AC91" s="182"/>
      <c r="AD91" s="182"/>
      <c r="AE91" s="182"/>
      <c r="AF91" s="182"/>
      <c r="AG91" s="182"/>
      <c r="AH91" s="182"/>
      <c r="AI91" s="196"/>
      <c r="AJ91" s="196"/>
      <c r="AK91" s="196"/>
      <c r="AL91" s="196"/>
      <c r="AM91" s="196"/>
      <c r="AN91" s="196"/>
      <c r="AO91" s="196"/>
      <c r="AP91" s="196"/>
      <c r="AQ91" s="196"/>
      <c r="AR91" s="247"/>
      <c r="AS91" s="247"/>
      <c r="AT91" s="247"/>
      <c r="AU91" s="247"/>
      <c r="AV91" s="247"/>
      <c r="AW91" s="247"/>
      <c r="AX91" s="247"/>
      <c r="AY91" s="247"/>
      <c r="AZ91" s="247"/>
      <c r="BA91" s="247"/>
      <c r="BB91" s="247"/>
      <c r="BC91" s="247"/>
      <c r="BD91" s="247"/>
      <c r="BE91" s="247"/>
      <c r="BF91" s="247"/>
      <c r="BG91" s="247"/>
      <c r="BH91" s="247"/>
      <c r="BI91" s="247"/>
      <c r="BJ91" s="247"/>
      <c r="BK91" s="1"/>
      <c r="BL91" s="91"/>
      <c r="BM91" s="23">
        <f t="shared" si="102"/>
        <v>85</v>
      </c>
    </row>
    <row r="92" spans="1:71" ht="12.75" hidden="1" customHeight="1" outlineLevel="2">
      <c r="A92" s="118"/>
      <c r="B92" s="125" t="s">
        <v>450</v>
      </c>
      <c r="C92" s="1"/>
      <c r="D92" s="1"/>
      <c r="E92" s="11"/>
      <c r="F92" s="11"/>
      <c r="G92" s="11"/>
      <c r="H92" s="11"/>
      <c r="I92" s="11"/>
      <c r="J92" s="11"/>
      <c r="K92" s="201">
        <f t="shared" ref="K92:Q92" si="133">+K96/K89</f>
        <v>0.9</v>
      </c>
      <c r="L92" s="201">
        <f t="shared" si="133"/>
        <v>0.72499999999999998</v>
      </c>
      <c r="M92" s="201">
        <f t="shared" si="133"/>
        <v>0.41538461538461541</v>
      </c>
      <c r="N92" s="201">
        <f t="shared" si="133"/>
        <v>0.81357142857142861</v>
      </c>
      <c r="O92" s="201">
        <f t="shared" si="133"/>
        <v>0.82086167800453513</v>
      </c>
      <c r="P92" s="201">
        <f t="shared" si="133"/>
        <v>0.93233082706766912</v>
      </c>
      <c r="Q92" s="201">
        <f t="shared" si="133"/>
        <v>0.93233082706766912</v>
      </c>
      <c r="R92" s="51"/>
      <c r="S92" s="182"/>
      <c r="T92" s="182"/>
      <c r="U92" s="182"/>
      <c r="V92" s="182"/>
      <c r="W92" s="182"/>
      <c r="X92" s="182"/>
      <c r="Y92" s="182"/>
      <c r="Z92" s="182"/>
      <c r="AA92" s="182"/>
      <c r="AB92" s="182"/>
      <c r="AC92" s="182"/>
      <c r="AD92" s="182"/>
      <c r="AE92" s="182"/>
      <c r="AF92" s="182"/>
      <c r="AG92" s="182"/>
      <c r="AH92" s="182"/>
      <c r="AI92" s="284">
        <v>0.9</v>
      </c>
      <c r="AJ92" s="284">
        <v>0.9</v>
      </c>
      <c r="AK92" s="284">
        <v>0.9</v>
      </c>
      <c r="AL92" s="284">
        <v>0.9</v>
      </c>
      <c r="AM92" s="284">
        <v>0.9</v>
      </c>
      <c r="AN92" s="284">
        <v>0.8</v>
      </c>
      <c r="AO92" s="284">
        <v>0.7</v>
      </c>
      <c r="AP92" s="284">
        <v>0.5</v>
      </c>
      <c r="AQ92" s="284">
        <v>0.4</v>
      </c>
      <c r="AR92" s="284">
        <v>0.3</v>
      </c>
      <c r="AS92" s="284">
        <v>0.4</v>
      </c>
      <c r="AT92" s="284">
        <v>0.5</v>
      </c>
      <c r="AU92" s="284">
        <v>0.7</v>
      </c>
      <c r="AV92" s="284">
        <v>0.8</v>
      </c>
      <c r="AW92" s="284">
        <v>0.9</v>
      </c>
      <c r="AX92" s="284">
        <v>0.85</v>
      </c>
      <c r="AY92" s="201">
        <f t="shared" ref="AY92:BJ92" si="134">+AY96*4/AY89</f>
        <v>0.61333333333333329</v>
      </c>
      <c r="AZ92" s="201">
        <f t="shared" si="134"/>
        <v>0.8</v>
      </c>
      <c r="BA92" s="201">
        <f t="shared" si="134"/>
        <v>0.84210526315789469</v>
      </c>
      <c r="BB92" s="201">
        <f t="shared" si="134"/>
        <v>0.93233082706766912</v>
      </c>
      <c r="BC92" s="201">
        <f t="shared" si="134"/>
        <v>0.93233082706766912</v>
      </c>
      <c r="BD92" s="201">
        <f t="shared" si="134"/>
        <v>0.93233082706766912</v>
      </c>
      <c r="BE92" s="201">
        <f t="shared" si="134"/>
        <v>0.93233082706766912</v>
      </c>
      <c r="BF92" s="201">
        <f t="shared" si="134"/>
        <v>0.93233082706766912</v>
      </c>
      <c r="BG92" s="201">
        <f t="shared" si="134"/>
        <v>0.93233082706766912</v>
      </c>
      <c r="BH92" s="201">
        <f t="shared" si="134"/>
        <v>0.93233082706766912</v>
      </c>
      <c r="BI92" s="201">
        <f t="shared" si="134"/>
        <v>0.93233082706766912</v>
      </c>
      <c r="BJ92" s="201">
        <f t="shared" si="134"/>
        <v>0.93233082706766912</v>
      </c>
      <c r="BK92" s="1"/>
      <c r="BL92" s="91"/>
      <c r="BM92" s="23">
        <f t="shared" si="102"/>
        <v>86</v>
      </c>
    </row>
    <row r="93" spans="1:71" ht="12.75" hidden="1" customHeight="1" outlineLevel="2">
      <c r="A93" s="118"/>
      <c r="B93" s="278" t="s">
        <v>449</v>
      </c>
      <c r="C93" s="51"/>
      <c r="D93" s="51"/>
      <c r="E93" s="21"/>
      <c r="F93" s="21"/>
      <c r="G93" s="21"/>
      <c r="H93" s="186"/>
      <c r="I93" s="186"/>
      <c r="J93" s="186"/>
      <c r="K93" s="240">
        <f t="shared" ref="K93:Q93" si="135">SUM(K97:K98)/K90</f>
        <v>0.94740157480314957</v>
      </c>
      <c r="L93" s="240">
        <f t="shared" si="135"/>
        <v>0.71908496732026139</v>
      </c>
      <c r="M93" s="240">
        <f t="shared" si="135"/>
        <v>0.65009836065573767</v>
      </c>
      <c r="N93" s="240">
        <f t="shared" si="135"/>
        <v>0.91690140845070423</v>
      </c>
      <c r="O93" s="240">
        <f t="shared" si="135"/>
        <v>0.82828282828282829</v>
      </c>
      <c r="P93" s="240">
        <f t="shared" si="135"/>
        <v>0.83168316831683164</v>
      </c>
      <c r="Q93" s="240">
        <f t="shared" si="135"/>
        <v>0.83168316831683164</v>
      </c>
      <c r="R93" s="104"/>
      <c r="S93" s="186"/>
      <c r="T93" s="186"/>
      <c r="U93" s="186"/>
      <c r="V93" s="186"/>
      <c r="W93" s="186"/>
      <c r="X93" s="186"/>
      <c r="Y93" s="186"/>
      <c r="Z93" s="186"/>
      <c r="AA93" s="186"/>
      <c r="AB93" s="186"/>
      <c r="AC93" s="186"/>
      <c r="AD93" s="186"/>
      <c r="AE93" s="186"/>
      <c r="AF93" s="186"/>
      <c r="AG93" s="186"/>
      <c r="AH93" s="186"/>
      <c r="AI93" s="240">
        <f t="shared" ref="AI93:BJ93" si="136">SUM(AI97:AI98)*4/AI90</f>
        <v>0.88846153846153841</v>
      </c>
      <c r="AJ93" s="240">
        <f t="shared" si="136"/>
        <v>1.0215384615384615</v>
      </c>
      <c r="AK93" s="240">
        <f t="shared" si="136"/>
        <v>0.91466666666666663</v>
      </c>
      <c r="AL93" s="240">
        <f t="shared" si="136"/>
        <v>0.96960000000000002</v>
      </c>
      <c r="AM93" s="240">
        <f t="shared" si="136"/>
        <v>0.80426666666666669</v>
      </c>
      <c r="AN93" s="240">
        <f t="shared" si="136"/>
        <v>0.55272727272727273</v>
      </c>
      <c r="AO93" s="240">
        <f t="shared" si="136"/>
        <v>0.76675324675324674</v>
      </c>
      <c r="AP93" s="240">
        <f t="shared" si="136"/>
        <v>0.75480519480519481</v>
      </c>
      <c r="AQ93" s="240">
        <f t="shared" si="136"/>
        <v>0.62216867469879522</v>
      </c>
      <c r="AR93" s="240">
        <f t="shared" si="136"/>
        <v>0.60297297297297292</v>
      </c>
      <c r="AS93" s="240">
        <f t="shared" si="136"/>
        <v>0.59837837837837837</v>
      </c>
      <c r="AT93" s="240">
        <f t="shared" si="136"/>
        <v>0.78027027027027029</v>
      </c>
      <c r="AU93" s="240">
        <f t="shared" si="136"/>
        <v>0.88621621621621627</v>
      </c>
      <c r="AV93" s="240">
        <f t="shared" si="136"/>
        <v>0.93243243243243246</v>
      </c>
      <c r="AW93" s="240">
        <f t="shared" si="136"/>
        <v>0.99975000000000003</v>
      </c>
      <c r="AX93" s="240">
        <f t="shared" si="136"/>
        <v>0.85672131147540986</v>
      </c>
      <c r="AY93" s="240">
        <f t="shared" si="136"/>
        <v>0.82474226804123707</v>
      </c>
      <c r="AZ93" s="240">
        <f t="shared" si="136"/>
        <v>0.82474226804123707</v>
      </c>
      <c r="BA93" s="240">
        <f t="shared" si="136"/>
        <v>0.83168316831683164</v>
      </c>
      <c r="BB93" s="240">
        <f t="shared" si="136"/>
        <v>0.83168316831683164</v>
      </c>
      <c r="BC93" s="240">
        <f t="shared" si="136"/>
        <v>0.83168316831683164</v>
      </c>
      <c r="BD93" s="240">
        <f t="shared" si="136"/>
        <v>0.83168316831683164</v>
      </c>
      <c r="BE93" s="240">
        <f t="shared" si="136"/>
        <v>0.83168316831683164</v>
      </c>
      <c r="BF93" s="240">
        <f t="shared" si="136"/>
        <v>0.83168316831683164</v>
      </c>
      <c r="BG93" s="240">
        <f t="shared" si="136"/>
        <v>0.83168316831683164</v>
      </c>
      <c r="BH93" s="240">
        <f t="shared" si="136"/>
        <v>0.83168316831683164</v>
      </c>
      <c r="BI93" s="240">
        <f t="shared" si="136"/>
        <v>0.83168316831683164</v>
      </c>
      <c r="BJ93" s="240">
        <f t="shared" si="136"/>
        <v>0.83168316831683164</v>
      </c>
      <c r="BK93" s="21"/>
      <c r="BL93" s="91"/>
      <c r="BM93" s="23">
        <f t="shared" si="102"/>
        <v>87</v>
      </c>
    </row>
    <row r="94" spans="1:71" ht="12.75" hidden="1" customHeight="1" outlineLevel="2">
      <c r="A94" s="118"/>
      <c r="B94" s="125"/>
      <c r="C94" s="1"/>
      <c r="D94" s="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68"/>
      <c r="P94" s="11"/>
      <c r="Q94" s="11"/>
      <c r="R94" s="51"/>
      <c r="S94" s="182"/>
      <c r="T94" s="182"/>
      <c r="U94" s="182"/>
      <c r="V94" s="182"/>
      <c r="W94" s="182"/>
      <c r="X94" s="182"/>
      <c r="Y94" s="182"/>
      <c r="Z94" s="182"/>
      <c r="AA94" s="182"/>
      <c r="AB94" s="182"/>
      <c r="AC94" s="182"/>
      <c r="AD94" s="182"/>
      <c r="AE94" s="182"/>
      <c r="AF94" s="182"/>
      <c r="AG94" s="182"/>
      <c r="AH94" s="182"/>
      <c r="AI94" s="169"/>
      <c r="AJ94" s="169"/>
      <c r="AK94" s="169"/>
      <c r="AL94" s="169"/>
      <c r="AM94" s="169"/>
      <c r="AN94" s="169"/>
      <c r="AO94" s="169"/>
      <c r="AP94" s="169"/>
      <c r="AQ94" s="169"/>
      <c r="AR94" s="169"/>
      <c r="AS94" s="169"/>
      <c r="AT94" s="169"/>
      <c r="AU94" s="169"/>
      <c r="AV94" s="169"/>
      <c r="AW94" s="169"/>
      <c r="AX94" s="169"/>
      <c r="AY94" s="201"/>
      <c r="AZ94" s="201"/>
      <c r="BA94" s="201"/>
      <c r="BB94" s="201"/>
      <c r="BC94" s="201"/>
      <c r="BD94" s="201"/>
      <c r="BE94" s="201"/>
      <c r="BF94" s="201"/>
      <c r="BG94" s="201"/>
      <c r="BH94" s="201"/>
      <c r="BI94" s="201"/>
      <c r="BJ94" s="201"/>
      <c r="BK94" s="1"/>
      <c r="BL94" s="91"/>
      <c r="BM94" s="23">
        <f t="shared" si="102"/>
        <v>88</v>
      </c>
    </row>
    <row r="95" spans="1:71" ht="12.75" hidden="1" customHeight="1" outlineLevel="2">
      <c r="A95" s="118"/>
      <c r="B95" s="269" t="s">
        <v>334</v>
      </c>
      <c r="C95" s="1"/>
      <c r="D95" s="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68"/>
      <c r="P95" s="11"/>
      <c r="Q95" s="11"/>
      <c r="R95" s="51"/>
      <c r="S95" s="182"/>
      <c r="T95" s="182"/>
      <c r="U95" s="182"/>
      <c r="V95" s="182"/>
      <c r="W95" s="182"/>
      <c r="X95" s="182"/>
      <c r="Y95" s="182"/>
      <c r="Z95" s="182"/>
      <c r="AA95" s="182"/>
      <c r="AB95" s="182"/>
      <c r="AC95" s="182"/>
      <c r="AD95" s="182"/>
      <c r="AE95" s="182"/>
      <c r="AF95" s="182"/>
      <c r="AG95" s="182"/>
      <c r="AH95" s="182"/>
      <c r="AI95" s="182"/>
      <c r="AJ95" s="182"/>
      <c r="AK95" s="182"/>
      <c r="AL95" s="182"/>
      <c r="AM95" s="182"/>
      <c r="AN95" s="182"/>
      <c r="AO95" s="182"/>
      <c r="AP95" s="182"/>
      <c r="AQ95" s="182"/>
      <c r="AR95" s="182"/>
      <c r="AS95" s="182"/>
      <c r="AT95" s="182"/>
      <c r="AU95" s="182"/>
      <c r="AV95" s="182"/>
      <c r="AW95" s="182"/>
      <c r="AX95" s="182"/>
      <c r="AY95" s="185"/>
      <c r="AZ95" s="185"/>
      <c r="BA95" s="185"/>
      <c r="BB95" s="185"/>
      <c r="BC95" s="185"/>
      <c r="BD95" s="185"/>
      <c r="BE95" s="185"/>
      <c r="BF95" s="185"/>
      <c r="BG95" s="185"/>
      <c r="BH95" s="185"/>
      <c r="BI95" s="185"/>
      <c r="BJ95" s="185"/>
      <c r="BK95" s="1"/>
      <c r="BL95" s="91"/>
      <c r="BM95" s="23">
        <f t="shared" si="102"/>
        <v>89</v>
      </c>
    </row>
    <row r="96" spans="1:71" ht="12.75" hidden="1" customHeight="1" outlineLevel="2">
      <c r="A96" s="118"/>
      <c r="B96" s="125" t="s">
        <v>452</v>
      </c>
      <c r="C96" s="1"/>
      <c r="D96" s="1"/>
      <c r="E96" s="11"/>
      <c r="F96" s="11"/>
      <c r="G96" s="11"/>
      <c r="H96" s="11"/>
      <c r="I96" s="11"/>
      <c r="J96" s="247"/>
      <c r="K96" s="247">
        <f>SUM(INDEX($S96:$BK96,K$5):INDEX($S96:$BK96,K$6))</f>
        <v>720</v>
      </c>
      <c r="L96" s="247">
        <f>SUM(INDEX($S96:$BK96,L$5):INDEX($S96:$BK96,L$6))</f>
        <v>580</v>
      </c>
      <c r="M96" s="247">
        <f>SUM(INDEX($S96:$BK96,M$5):INDEX($S96:$BK96,M$6))</f>
        <v>1485</v>
      </c>
      <c r="N96" s="247">
        <f>SUM(INDEX($S96:$BK96,N$5):INDEX($S96:$BK96,N$6))</f>
        <v>4271.25</v>
      </c>
      <c r="O96" s="205">
        <f>SUM(INDEX($S96:$BK96,O$5):INDEX($S96:$BK96,O$6))</f>
        <v>9050</v>
      </c>
      <c r="P96" s="247">
        <f>SUM(INDEX($S96:$BK96,P$5):INDEX($S96:$BK96,P$6))</f>
        <v>12400</v>
      </c>
      <c r="Q96" s="247">
        <f>SUM(INDEX($S96:$BK96,Q$5):INDEX($S96:$BK96,Q$6))</f>
        <v>12400</v>
      </c>
      <c r="R96" s="51"/>
      <c r="S96" s="182"/>
      <c r="T96" s="182"/>
      <c r="U96" s="182"/>
      <c r="V96" s="182"/>
      <c r="W96" s="182"/>
      <c r="X96" s="182"/>
      <c r="Y96" s="182"/>
      <c r="Z96" s="182"/>
      <c r="AA96" s="182"/>
      <c r="AB96" s="182"/>
      <c r="AC96" s="182"/>
      <c r="AD96" s="182"/>
      <c r="AE96" s="182"/>
      <c r="AF96" s="182"/>
      <c r="AG96" s="182"/>
      <c r="AH96" s="182"/>
      <c r="AI96" s="247">
        <f t="shared" ref="AI96:AX96" si="137">+AI89*AI92/4</f>
        <v>180</v>
      </c>
      <c r="AJ96" s="247">
        <f t="shared" si="137"/>
        <v>180</v>
      </c>
      <c r="AK96" s="247">
        <f t="shared" si="137"/>
        <v>180</v>
      </c>
      <c r="AL96" s="247">
        <f t="shared" si="137"/>
        <v>180</v>
      </c>
      <c r="AM96" s="247">
        <f t="shared" si="137"/>
        <v>180</v>
      </c>
      <c r="AN96" s="247">
        <f t="shared" si="137"/>
        <v>160</v>
      </c>
      <c r="AO96" s="247">
        <f t="shared" si="137"/>
        <v>140</v>
      </c>
      <c r="AP96" s="247">
        <f t="shared" si="137"/>
        <v>100</v>
      </c>
      <c r="AQ96" s="247">
        <f t="shared" si="137"/>
        <v>120</v>
      </c>
      <c r="AR96" s="247">
        <f t="shared" si="137"/>
        <v>217.5</v>
      </c>
      <c r="AS96" s="247">
        <f t="shared" si="137"/>
        <v>510</v>
      </c>
      <c r="AT96" s="247">
        <f t="shared" si="137"/>
        <v>637.5</v>
      </c>
      <c r="AU96" s="247">
        <f t="shared" si="137"/>
        <v>892.5</v>
      </c>
      <c r="AV96" s="247">
        <f t="shared" si="137"/>
        <v>1020</v>
      </c>
      <c r="AW96" s="247">
        <f t="shared" si="137"/>
        <v>1147.5</v>
      </c>
      <c r="AX96" s="247">
        <f t="shared" si="137"/>
        <v>1211.25</v>
      </c>
      <c r="AY96" s="273">
        <v>1150</v>
      </c>
      <c r="AZ96" s="273">
        <v>2000</v>
      </c>
      <c r="BA96" s="273">
        <v>2800</v>
      </c>
      <c r="BB96" s="273">
        <v>3100</v>
      </c>
      <c r="BC96" s="273">
        <v>3100</v>
      </c>
      <c r="BD96" s="273">
        <v>3100</v>
      </c>
      <c r="BE96" s="273">
        <v>3100</v>
      </c>
      <c r="BF96" s="273">
        <v>3100</v>
      </c>
      <c r="BG96" s="273">
        <v>3100</v>
      </c>
      <c r="BH96" s="273">
        <v>3100</v>
      </c>
      <c r="BI96" s="273">
        <v>3100</v>
      </c>
      <c r="BJ96" s="273">
        <v>3100</v>
      </c>
      <c r="BK96" s="1"/>
      <c r="BL96" s="91"/>
      <c r="BM96" s="23">
        <f t="shared" si="102"/>
        <v>90</v>
      </c>
    </row>
    <row r="97" spans="1:65" ht="12.75" hidden="1" customHeight="1" outlineLevel="2">
      <c r="A97" s="118"/>
      <c r="B97" s="125" t="s">
        <v>444</v>
      </c>
      <c r="C97" s="1"/>
      <c r="D97" s="1"/>
      <c r="E97" s="11"/>
      <c r="F97" s="11"/>
      <c r="G97" s="11"/>
      <c r="H97" s="11"/>
      <c r="I97" s="11"/>
      <c r="J97" s="247"/>
      <c r="K97" s="247">
        <f>SUM(INDEX($S97:$BK97,K$5):INDEX($S97:$BK97,K$6))</f>
        <v>3686.1400000000003</v>
      </c>
      <c r="L97" s="247">
        <f>SUM(INDEX($S97:$BK97,L$5):INDEX($S97:$BK97,L$6))</f>
        <v>3066.7</v>
      </c>
      <c r="M97" s="247">
        <f>SUM(INDEX($S97:$BK97,M$5):INDEX($S97:$BK97,M$6))</f>
        <v>2551.34</v>
      </c>
      <c r="N97" s="247">
        <f>SUM(INDEX($S97:$BK97,N$5):INDEX($S97:$BK97,N$6))</f>
        <v>3296.9700000000003</v>
      </c>
      <c r="O97" s="205">
        <f>SUM(INDEX($S97:$BK97,O$5):INDEX($S97:$BK97,O$6))</f>
        <v>3800</v>
      </c>
      <c r="P97" s="247">
        <f>SUM(INDEX($S97:$BK97,P$5):INDEX($S97:$BK97,P$6))</f>
        <v>4000</v>
      </c>
      <c r="Q97" s="247">
        <f>SUM(INDEX($S97:$BK97,Q$5):INDEX($S97:$BK97,Q$6))</f>
        <v>4000</v>
      </c>
      <c r="R97" s="51"/>
      <c r="S97" s="182"/>
      <c r="T97" s="182"/>
      <c r="U97" s="182"/>
      <c r="V97" s="182"/>
      <c r="W97" s="182"/>
      <c r="X97" s="182"/>
      <c r="Y97" s="182"/>
      <c r="Z97" s="182"/>
      <c r="AA97" s="182"/>
      <c r="AB97" s="182"/>
      <c r="AC97" s="182"/>
      <c r="AD97" s="182"/>
      <c r="AE97" s="182"/>
      <c r="AF97" s="182"/>
      <c r="AG97" s="182"/>
      <c r="AH97" s="182"/>
      <c r="AI97" s="247">
        <f t="shared" ref="AI97:AX97" si="138">+AI87-AI96</f>
        <v>741.15</v>
      </c>
      <c r="AJ97" s="247">
        <f t="shared" si="138"/>
        <v>830.36</v>
      </c>
      <c r="AK97" s="247">
        <f t="shared" si="138"/>
        <v>975.95</v>
      </c>
      <c r="AL97" s="247">
        <f t="shared" si="138"/>
        <v>1138.68</v>
      </c>
      <c r="AM97" s="247">
        <f t="shared" si="138"/>
        <v>883.44</v>
      </c>
      <c r="AN97" s="247">
        <f t="shared" si="138"/>
        <v>598.88</v>
      </c>
      <c r="AO97" s="247">
        <f t="shared" si="138"/>
        <v>845.76</v>
      </c>
      <c r="AP97" s="247">
        <f t="shared" si="138"/>
        <v>738.62</v>
      </c>
      <c r="AQ97" s="247">
        <f t="shared" si="138"/>
        <v>571.39</v>
      </c>
      <c r="AR97" s="247">
        <f t="shared" si="138"/>
        <v>515.65000000000009</v>
      </c>
      <c r="AS97" s="247">
        <f t="shared" si="138"/>
        <v>541.04999999999995</v>
      </c>
      <c r="AT97" s="247">
        <f t="shared" si="138"/>
        <v>923.25</v>
      </c>
      <c r="AU97" s="247">
        <f t="shared" si="138"/>
        <v>803.94</v>
      </c>
      <c r="AV97" s="247">
        <f t="shared" si="138"/>
        <v>681.90000000000009</v>
      </c>
      <c r="AW97" s="247">
        <f t="shared" si="138"/>
        <v>929.52</v>
      </c>
      <c r="AX97" s="247">
        <f t="shared" si="138"/>
        <v>881.61000000000013</v>
      </c>
      <c r="AY97" s="273">
        <v>900</v>
      </c>
      <c r="AZ97" s="273">
        <f t="shared" ref="AZ97:BB97" si="139">AY97</f>
        <v>900</v>
      </c>
      <c r="BA97" s="273">
        <v>1000</v>
      </c>
      <c r="BB97" s="273">
        <f t="shared" si="139"/>
        <v>1000</v>
      </c>
      <c r="BC97" s="273">
        <f t="shared" ref="BC97" si="140">BB97</f>
        <v>1000</v>
      </c>
      <c r="BD97" s="273">
        <f t="shared" ref="BD97" si="141">BC97</f>
        <v>1000</v>
      </c>
      <c r="BE97" s="273">
        <f t="shared" ref="BE97" si="142">BD97</f>
        <v>1000</v>
      </c>
      <c r="BF97" s="273">
        <f t="shared" ref="BF97" si="143">BE97</f>
        <v>1000</v>
      </c>
      <c r="BG97" s="273">
        <f t="shared" ref="BG97" si="144">BF97</f>
        <v>1000</v>
      </c>
      <c r="BH97" s="273">
        <f t="shared" ref="BH97" si="145">BG97</f>
        <v>1000</v>
      </c>
      <c r="BI97" s="273">
        <f t="shared" ref="BI97" si="146">BH97</f>
        <v>1000</v>
      </c>
      <c r="BJ97" s="273">
        <f t="shared" ref="BJ97" si="147">BI97</f>
        <v>1000</v>
      </c>
      <c r="BK97" s="1"/>
      <c r="BL97" s="91"/>
      <c r="BM97" s="23">
        <f t="shared" si="102"/>
        <v>91</v>
      </c>
    </row>
    <row r="98" spans="1:65" ht="12.75" hidden="1" customHeight="1" outlineLevel="2">
      <c r="A98" s="118"/>
      <c r="B98" s="125" t="s">
        <v>443</v>
      </c>
      <c r="C98" s="1"/>
      <c r="D98" s="1"/>
      <c r="E98" s="11"/>
      <c r="F98" s="11"/>
      <c r="G98" s="11"/>
      <c r="H98" s="11"/>
      <c r="I98" s="11"/>
      <c r="J98" s="247"/>
      <c r="K98" s="247">
        <f>SUM(INDEX($S98:$BK98,K$5):INDEX($S98:$BK98,K$6))</f>
        <v>2329.8599999999997</v>
      </c>
      <c r="L98" s="247">
        <f>SUM(INDEX($S98:$BK98,L$5):INDEX($S98:$BK98,L$6))</f>
        <v>2434.2999999999997</v>
      </c>
      <c r="M98" s="247">
        <f>SUM(INDEX($S98:$BK98,M$5):INDEX($S98:$BK98,M$6))</f>
        <v>2405.66</v>
      </c>
      <c r="N98" s="247">
        <f>SUM(INDEX($S98:$BK98,N$5):INDEX($S98:$BK98,N$6))</f>
        <v>4026.7799999999997</v>
      </c>
      <c r="O98" s="205">
        <f>SUM(INDEX($S98:$BK98,O$5):INDEX($S98:$BK98,O$6))</f>
        <v>4400</v>
      </c>
      <c r="P98" s="247">
        <f>SUM(INDEX($S98:$BK98,P$5):INDEX($S98:$BK98,P$6))</f>
        <v>4400</v>
      </c>
      <c r="Q98" s="247">
        <f>SUM(INDEX($S98:$BK98,Q$5):INDEX($S98:$BK98,Q$6))</f>
        <v>4400</v>
      </c>
      <c r="R98" s="51"/>
      <c r="S98" s="182"/>
      <c r="T98" s="182"/>
      <c r="U98" s="182"/>
      <c r="V98" s="182"/>
      <c r="W98" s="182"/>
      <c r="X98" s="182"/>
      <c r="Y98" s="182"/>
      <c r="Z98" s="182"/>
      <c r="AA98" s="182"/>
      <c r="AB98" s="182"/>
      <c r="AC98" s="182"/>
      <c r="AD98" s="182"/>
      <c r="AE98" s="182"/>
      <c r="AF98" s="182"/>
      <c r="AG98" s="182"/>
      <c r="AH98" s="182"/>
      <c r="AI98" s="247">
        <f t="shared" ref="AI98:AX98" si="148">+AI99-AI96-AI97</f>
        <v>413.85</v>
      </c>
      <c r="AJ98" s="247">
        <f t="shared" si="148"/>
        <v>497.64</v>
      </c>
      <c r="AK98" s="247">
        <f t="shared" si="148"/>
        <v>739.05</v>
      </c>
      <c r="AL98" s="247">
        <f t="shared" si="148"/>
        <v>679.31999999999994</v>
      </c>
      <c r="AM98" s="247">
        <f t="shared" si="148"/>
        <v>624.55999999999995</v>
      </c>
      <c r="AN98" s="247">
        <f t="shared" si="148"/>
        <v>465.12</v>
      </c>
      <c r="AO98" s="247">
        <f t="shared" si="148"/>
        <v>630.24</v>
      </c>
      <c r="AP98" s="247">
        <f t="shared" si="148"/>
        <v>714.38</v>
      </c>
      <c r="AQ98" s="247">
        <f t="shared" si="148"/>
        <v>719.61</v>
      </c>
      <c r="AR98" s="247">
        <f t="shared" si="148"/>
        <v>599.84999999999991</v>
      </c>
      <c r="AS98" s="247">
        <f t="shared" si="148"/>
        <v>565.95000000000005</v>
      </c>
      <c r="AT98" s="247">
        <f t="shared" si="148"/>
        <v>520.25</v>
      </c>
      <c r="AU98" s="247">
        <f t="shared" si="148"/>
        <v>835.56</v>
      </c>
      <c r="AV98" s="247">
        <f t="shared" si="148"/>
        <v>1043.0999999999999</v>
      </c>
      <c r="AW98" s="247">
        <f t="shared" si="148"/>
        <v>1069.98</v>
      </c>
      <c r="AX98" s="247">
        <f t="shared" si="148"/>
        <v>1078.1399999999999</v>
      </c>
      <c r="AY98" s="273">
        <v>1100</v>
      </c>
      <c r="AZ98" s="273">
        <v>1100</v>
      </c>
      <c r="BA98" s="273">
        <v>1100</v>
      </c>
      <c r="BB98" s="273">
        <v>1100</v>
      </c>
      <c r="BC98" s="273">
        <f t="shared" ref="BC98:BJ98" si="149">BB98</f>
        <v>1100</v>
      </c>
      <c r="BD98" s="273">
        <f t="shared" si="149"/>
        <v>1100</v>
      </c>
      <c r="BE98" s="273">
        <f t="shared" si="149"/>
        <v>1100</v>
      </c>
      <c r="BF98" s="273">
        <f t="shared" si="149"/>
        <v>1100</v>
      </c>
      <c r="BG98" s="273">
        <f t="shared" si="149"/>
        <v>1100</v>
      </c>
      <c r="BH98" s="273">
        <f t="shared" si="149"/>
        <v>1100</v>
      </c>
      <c r="BI98" s="273">
        <f t="shared" si="149"/>
        <v>1100</v>
      </c>
      <c r="BJ98" s="273">
        <f t="shared" si="149"/>
        <v>1100</v>
      </c>
      <c r="BK98" s="1"/>
      <c r="BL98" s="91"/>
      <c r="BM98" s="23">
        <f t="shared" si="102"/>
        <v>92</v>
      </c>
    </row>
    <row r="99" spans="1:65" ht="12.75" hidden="1" customHeight="1" outlineLevel="2">
      <c r="A99" s="118"/>
      <c r="B99" s="281" t="s">
        <v>344</v>
      </c>
      <c r="C99" s="72"/>
      <c r="D99" s="72"/>
      <c r="E99" s="76"/>
      <c r="F99" s="76"/>
      <c r="G99" s="76"/>
      <c r="H99" s="187"/>
      <c r="I99" s="187"/>
      <c r="J99" s="272"/>
      <c r="K99" s="272">
        <f>SUM(INDEX($S99:$BK99,K$5):INDEX($S99:$BK99,K$6))</f>
        <v>6736</v>
      </c>
      <c r="L99" s="272">
        <f>SUM(INDEX($S99:$BK99,L$5):INDEX($S99:$BK99,L$6))</f>
        <v>6081</v>
      </c>
      <c r="M99" s="272">
        <f>SUM(INDEX($S99:$BK99,M$5):INDEX($S99:$BK99,M$6))</f>
        <v>6442</v>
      </c>
      <c r="N99" s="272">
        <f>SUM(INDEX($S99:$BK99,N$5):INDEX($S99:$BK99,N$6))</f>
        <v>11595</v>
      </c>
      <c r="O99" s="272">
        <f>SUM(INDEX($S99:$BK99,O$5):INDEX($S99:$BK99,O$6))</f>
        <v>17250</v>
      </c>
      <c r="P99" s="272">
        <f>SUM(INDEX($S99:$BK99,P$5):INDEX($S99:$BK99,P$6))</f>
        <v>20800</v>
      </c>
      <c r="Q99" s="272">
        <f>SUM(INDEX($S99:$BK99,Q$5):INDEX($S99:$BK99,Q$6))</f>
        <v>20800</v>
      </c>
      <c r="R99" s="104"/>
      <c r="S99" s="187"/>
      <c r="T99" s="187"/>
      <c r="U99" s="187"/>
      <c r="V99" s="187"/>
      <c r="W99" s="187"/>
      <c r="X99" s="187"/>
      <c r="Y99" s="187"/>
      <c r="Z99" s="187"/>
      <c r="AA99" s="187"/>
      <c r="AB99" s="187"/>
      <c r="AC99" s="187"/>
      <c r="AD99" s="187"/>
      <c r="AE99" s="187"/>
      <c r="AF99" s="187"/>
      <c r="AG99" s="187"/>
      <c r="AH99" s="187"/>
      <c r="AI99" s="272">
        <f t="shared" ref="AI99:AX99" si="150">AI43</f>
        <v>1335</v>
      </c>
      <c r="AJ99" s="272">
        <f t="shared" si="150"/>
        <v>1508</v>
      </c>
      <c r="AK99" s="272">
        <f t="shared" si="150"/>
        <v>1895</v>
      </c>
      <c r="AL99" s="272">
        <f t="shared" si="150"/>
        <v>1998</v>
      </c>
      <c r="AM99" s="272">
        <f t="shared" si="150"/>
        <v>1688</v>
      </c>
      <c r="AN99" s="272">
        <f t="shared" si="150"/>
        <v>1224</v>
      </c>
      <c r="AO99" s="272">
        <f t="shared" si="150"/>
        <v>1616</v>
      </c>
      <c r="AP99" s="272">
        <f t="shared" si="150"/>
        <v>1553</v>
      </c>
      <c r="AQ99" s="272">
        <f t="shared" si="150"/>
        <v>1411</v>
      </c>
      <c r="AR99" s="272">
        <f t="shared" si="150"/>
        <v>1333</v>
      </c>
      <c r="AS99" s="272">
        <f t="shared" si="150"/>
        <v>1617</v>
      </c>
      <c r="AT99" s="272">
        <f t="shared" si="150"/>
        <v>2081</v>
      </c>
      <c r="AU99" s="272">
        <f t="shared" si="150"/>
        <v>2532</v>
      </c>
      <c r="AV99" s="272">
        <f t="shared" si="150"/>
        <v>2745</v>
      </c>
      <c r="AW99" s="272">
        <f t="shared" si="150"/>
        <v>3147</v>
      </c>
      <c r="AX99" s="272">
        <f t="shared" si="150"/>
        <v>3171</v>
      </c>
      <c r="AY99" s="272">
        <f t="shared" ref="AY99:BJ99" si="151">SUM(AY96:AY98)</f>
        <v>3150</v>
      </c>
      <c r="AZ99" s="272">
        <f t="shared" si="151"/>
        <v>4000</v>
      </c>
      <c r="BA99" s="272">
        <f t="shared" si="151"/>
        <v>4900</v>
      </c>
      <c r="BB99" s="272">
        <f t="shared" si="151"/>
        <v>5200</v>
      </c>
      <c r="BC99" s="272">
        <f t="shared" si="151"/>
        <v>5200</v>
      </c>
      <c r="BD99" s="272">
        <f t="shared" si="151"/>
        <v>5200</v>
      </c>
      <c r="BE99" s="272">
        <f t="shared" si="151"/>
        <v>5200</v>
      </c>
      <c r="BF99" s="272">
        <f t="shared" si="151"/>
        <v>5200</v>
      </c>
      <c r="BG99" s="272">
        <f t="shared" si="151"/>
        <v>5200</v>
      </c>
      <c r="BH99" s="272">
        <f t="shared" si="151"/>
        <v>5200</v>
      </c>
      <c r="BI99" s="272">
        <f t="shared" si="151"/>
        <v>5200</v>
      </c>
      <c r="BJ99" s="272">
        <f t="shared" si="151"/>
        <v>5200</v>
      </c>
      <c r="BK99" s="21"/>
      <c r="BL99" s="91"/>
      <c r="BM99" s="23">
        <f t="shared" si="102"/>
        <v>93</v>
      </c>
    </row>
    <row r="100" spans="1:65" ht="12.75" hidden="1" customHeight="1" outlineLevel="2">
      <c r="A100" s="118"/>
      <c r="B100" s="125"/>
      <c r="C100" s="1"/>
      <c r="D100" s="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68"/>
      <c r="P100" s="11"/>
      <c r="Q100" s="11"/>
      <c r="R100" s="51"/>
      <c r="S100" s="182"/>
      <c r="T100" s="182"/>
      <c r="U100" s="182"/>
      <c r="V100" s="182"/>
      <c r="W100" s="182"/>
      <c r="X100" s="182"/>
      <c r="Y100" s="182"/>
      <c r="Z100" s="182"/>
      <c r="AA100" s="182"/>
      <c r="AB100" s="182"/>
      <c r="AC100" s="182"/>
      <c r="AD100" s="182"/>
      <c r="AE100" s="182"/>
      <c r="AF100" s="182"/>
      <c r="AG100" s="182"/>
      <c r="AH100" s="182"/>
      <c r="AI100" s="169"/>
      <c r="AJ100" s="169"/>
      <c r="AK100" s="169"/>
      <c r="AL100" s="169"/>
      <c r="AM100" s="169"/>
      <c r="AN100" s="169"/>
      <c r="AO100" s="169"/>
      <c r="AP100" s="169"/>
      <c r="AQ100" s="169"/>
      <c r="AR100" s="169"/>
      <c r="AS100" s="169"/>
      <c r="AT100" s="169"/>
      <c r="AU100" s="169"/>
      <c r="AV100" s="169"/>
      <c r="AW100" s="169"/>
      <c r="AX100" s="169"/>
      <c r="AY100" s="168"/>
      <c r="AZ100" s="201"/>
      <c r="BA100" s="201"/>
      <c r="BB100" s="201"/>
      <c r="BC100" s="201"/>
      <c r="BD100" s="201"/>
      <c r="BE100" s="201"/>
      <c r="BF100" s="201"/>
      <c r="BG100" s="201"/>
      <c r="BH100" s="201"/>
      <c r="BI100" s="201"/>
      <c r="BJ100" s="201"/>
      <c r="BK100" s="1"/>
      <c r="BL100" s="91"/>
      <c r="BM100" s="23">
        <f t="shared" si="102"/>
        <v>94</v>
      </c>
    </row>
    <row r="101" spans="1:65" ht="12.75" hidden="1" customHeight="1" outlineLevel="2">
      <c r="A101" s="118"/>
      <c r="B101" s="269" t="s">
        <v>334</v>
      </c>
      <c r="C101" s="1"/>
      <c r="D101" s="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68"/>
      <c r="P101" s="11"/>
      <c r="Q101" s="11"/>
      <c r="R101" s="51"/>
      <c r="S101" s="182"/>
      <c r="T101" s="182"/>
      <c r="U101" s="182"/>
      <c r="V101" s="182"/>
      <c r="W101" s="182"/>
      <c r="X101" s="182"/>
      <c r="Y101" s="182"/>
      <c r="Z101" s="182"/>
      <c r="AA101" s="182"/>
      <c r="AB101" s="182"/>
      <c r="AC101" s="182"/>
      <c r="AD101" s="182"/>
      <c r="AE101" s="182"/>
      <c r="AF101" s="182"/>
      <c r="AG101" s="182"/>
      <c r="AH101" s="182"/>
      <c r="AI101" s="169"/>
      <c r="AJ101" s="169"/>
      <c r="AK101" s="169"/>
      <c r="AL101" s="169"/>
      <c r="AM101" s="169"/>
      <c r="AN101" s="169"/>
      <c r="AO101" s="169"/>
      <c r="AP101" s="169"/>
      <c r="AQ101" s="169"/>
      <c r="AR101" s="169"/>
      <c r="AS101" s="169"/>
      <c r="AT101" s="169"/>
      <c r="AU101" s="169"/>
      <c r="AV101" s="169"/>
      <c r="AW101" s="169"/>
      <c r="AX101" s="169"/>
      <c r="AY101" s="201"/>
      <c r="AZ101" s="201"/>
      <c r="BA101" s="201"/>
      <c r="BB101" s="201"/>
      <c r="BC101" s="201"/>
      <c r="BD101" s="201"/>
      <c r="BE101" s="201"/>
      <c r="BF101" s="201"/>
      <c r="BG101" s="201"/>
      <c r="BH101" s="201"/>
      <c r="BI101" s="201"/>
      <c r="BJ101" s="201"/>
      <c r="BK101" s="1"/>
      <c r="BL101" s="91"/>
      <c r="BM101" s="23">
        <f t="shared" si="102"/>
        <v>95</v>
      </c>
    </row>
    <row r="102" spans="1:65" ht="12.75" hidden="1" customHeight="1" outlineLevel="2">
      <c r="A102" s="118"/>
      <c r="B102" s="280" t="s">
        <v>456</v>
      </c>
      <c r="C102" s="1"/>
      <c r="D102" s="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51"/>
      <c r="S102" s="182"/>
      <c r="T102" s="182"/>
      <c r="U102" s="182"/>
      <c r="V102" s="182"/>
      <c r="W102" s="182"/>
      <c r="X102" s="182"/>
      <c r="Y102" s="182"/>
      <c r="Z102" s="182"/>
      <c r="AA102" s="182"/>
      <c r="AB102" s="182"/>
      <c r="AC102" s="182"/>
      <c r="AD102" s="182"/>
      <c r="AE102" s="182"/>
      <c r="AF102" s="182"/>
      <c r="AG102" s="182"/>
      <c r="AH102" s="182"/>
      <c r="AI102" s="169"/>
      <c r="AJ102" s="169"/>
      <c r="AK102" s="169"/>
      <c r="AL102" s="169"/>
      <c r="AM102" s="169"/>
      <c r="AN102" s="169"/>
      <c r="AO102" s="169"/>
      <c r="AP102" s="169"/>
      <c r="AQ102" s="169"/>
      <c r="AR102" s="169"/>
      <c r="AS102" s="169"/>
      <c r="AT102" s="169"/>
      <c r="AU102" s="270"/>
      <c r="AV102" s="270"/>
      <c r="AW102" s="270">
        <v>0.6</v>
      </c>
      <c r="AX102" s="270">
        <v>0.6</v>
      </c>
      <c r="AY102" s="293">
        <v>0.65</v>
      </c>
      <c r="AZ102" s="293">
        <v>0.7</v>
      </c>
      <c r="BA102" s="293">
        <v>0.75</v>
      </c>
      <c r="BB102" s="293">
        <v>0.8</v>
      </c>
      <c r="BC102" s="293">
        <v>0.8</v>
      </c>
      <c r="BD102" s="293">
        <v>0.8</v>
      </c>
      <c r="BE102" s="293">
        <v>0.8</v>
      </c>
      <c r="BF102" s="293">
        <v>0.8</v>
      </c>
      <c r="BG102" s="293">
        <v>0.75</v>
      </c>
      <c r="BH102" s="293">
        <v>0.75</v>
      </c>
      <c r="BI102" s="293">
        <v>0.75</v>
      </c>
      <c r="BJ102" s="293">
        <v>0.75</v>
      </c>
      <c r="BK102" s="1"/>
      <c r="BL102" s="91"/>
      <c r="BM102" s="23">
        <f t="shared" si="102"/>
        <v>96</v>
      </c>
    </row>
    <row r="103" spans="1:65" ht="12.75" hidden="1" customHeight="1" outlineLevel="2">
      <c r="A103" s="118"/>
      <c r="B103" s="125" t="s">
        <v>454</v>
      </c>
      <c r="C103" s="1"/>
      <c r="D103" s="1"/>
      <c r="E103" s="11"/>
      <c r="F103" s="11"/>
      <c r="G103" s="11"/>
      <c r="H103" s="11"/>
      <c r="I103" s="11"/>
      <c r="J103" s="247"/>
      <c r="K103" s="247"/>
      <c r="L103" s="247"/>
      <c r="M103" s="247"/>
      <c r="N103" s="247">
        <f>SUM(INDEX($S103:$BK103,N$5):INDEX($S103:$BK103,N$6))</f>
        <v>3790.7999999999997</v>
      </c>
      <c r="O103" s="205">
        <f>SUM(INDEX($S103:$BK103,O$5):INDEX($S103:$BK103,O$6))</f>
        <v>15310</v>
      </c>
      <c r="P103" s="247">
        <f>SUM(INDEX($S103:$BK103,P$5):INDEX($S103:$BK103,P$6))</f>
        <v>18720</v>
      </c>
      <c r="Q103" s="247">
        <f>SUM(INDEX($S103:$BK103,Q$5):INDEX($S103:$BK103,Q$6))</f>
        <v>17550</v>
      </c>
      <c r="R103" s="51"/>
      <c r="S103" s="182"/>
      <c r="T103" s="182"/>
      <c r="U103" s="182"/>
      <c r="V103" s="182"/>
      <c r="W103" s="182"/>
      <c r="X103" s="182"/>
      <c r="Y103" s="182"/>
      <c r="Z103" s="182"/>
      <c r="AA103" s="182"/>
      <c r="AB103" s="182"/>
      <c r="AC103" s="182"/>
      <c r="AD103" s="182"/>
      <c r="AE103" s="182"/>
      <c r="AF103" s="182"/>
      <c r="AG103" s="182"/>
      <c r="AH103" s="182"/>
      <c r="AI103" s="247"/>
      <c r="AJ103" s="247"/>
      <c r="AK103" s="247"/>
      <c r="AL103" s="247"/>
      <c r="AM103" s="247"/>
      <c r="AN103" s="247"/>
      <c r="AO103" s="247"/>
      <c r="AP103" s="247"/>
      <c r="AQ103" s="247"/>
      <c r="AR103" s="247"/>
      <c r="AS103" s="247"/>
      <c r="AT103" s="247"/>
      <c r="AU103" s="247"/>
      <c r="AV103" s="247"/>
      <c r="AW103" s="247">
        <f>+AW102*AW105</f>
        <v>1888.1999999999998</v>
      </c>
      <c r="AX103" s="247">
        <f>+AX102*AX105</f>
        <v>1902.6</v>
      </c>
      <c r="AY103" s="247">
        <f t="shared" ref="AY103:BJ103" si="152">AY102*AY143/4</f>
        <v>2795</v>
      </c>
      <c r="AZ103" s="247">
        <f t="shared" si="152"/>
        <v>3447.5</v>
      </c>
      <c r="BA103" s="247">
        <f t="shared" si="152"/>
        <v>4387.5</v>
      </c>
      <c r="BB103" s="247">
        <f t="shared" si="152"/>
        <v>4680</v>
      </c>
      <c r="BC103" s="247">
        <f t="shared" si="152"/>
        <v>4680</v>
      </c>
      <c r="BD103" s="247">
        <f t="shared" si="152"/>
        <v>4680</v>
      </c>
      <c r="BE103" s="247">
        <f t="shared" si="152"/>
        <v>4680</v>
      </c>
      <c r="BF103" s="247">
        <f t="shared" si="152"/>
        <v>4680</v>
      </c>
      <c r="BG103" s="247">
        <f t="shared" si="152"/>
        <v>4387.5</v>
      </c>
      <c r="BH103" s="247">
        <f t="shared" si="152"/>
        <v>4387.5</v>
      </c>
      <c r="BI103" s="247">
        <f t="shared" si="152"/>
        <v>4387.5</v>
      </c>
      <c r="BJ103" s="247">
        <f t="shared" si="152"/>
        <v>4387.5</v>
      </c>
      <c r="BK103" s="1"/>
      <c r="BL103" s="91"/>
      <c r="BM103" s="23">
        <f t="shared" si="102"/>
        <v>97</v>
      </c>
    </row>
    <row r="104" spans="1:65" ht="12.75" hidden="1" customHeight="1" outlineLevel="2">
      <c r="A104" s="118"/>
      <c r="B104" s="125" t="s">
        <v>455</v>
      </c>
      <c r="C104" s="1"/>
      <c r="D104" s="1"/>
      <c r="E104" s="11"/>
      <c r="F104" s="11"/>
      <c r="G104" s="11"/>
      <c r="H104" s="11"/>
      <c r="I104" s="11"/>
      <c r="J104" s="247"/>
      <c r="K104" s="247"/>
      <c r="L104" s="247"/>
      <c r="M104" s="247"/>
      <c r="N104" s="247">
        <f>SUM(INDEX($S104:$BK104,N$5):INDEX($S104:$BK104,N$6))</f>
        <v>2527.2000000000003</v>
      </c>
      <c r="O104" s="205">
        <f>SUM(INDEX($S104:$BK104,O$5):INDEX($S104:$BK104,O$6))</f>
        <v>1940</v>
      </c>
      <c r="P104" s="247">
        <f>SUM(INDEX($S104:$BK104,P$5):INDEX($S104:$BK104,P$6))</f>
        <v>2080</v>
      </c>
      <c r="Q104" s="247">
        <f>SUM(INDEX($S104:$BK104,Q$5):INDEX($S104:$BK104,Q$6))</f>
        <v>3250</v>
      </c>
      <c r="R104" s="51"/>
      <c r="S104" s="182"/>
      <c r="T104" s="182"/>
      <c r="U104" s="182"/>
      <c r="V104" s="182"/>
      <c r="W104" s="182"/>
      <c r="X104" s="182"/>
      <c r="Y104" s="182"/>
      <c r="Z104" s="182"/>
      <c r="AA104" s="182"/>
      <c r="AB104" s="182"/>
      <c r="AC104" s="182"/>
      <c r="AD104" s="182"/>
      <c r="AE104" s="182"/>
      <c r="AF104" s="182"/>
      <c r="AG104" s="182"/>
      <c r="AH104" s="182"/>
      <c r="AI104" s="247"/>
      <c r="AJ104" s="247"/>
      <c r="AK104" s="247"/>
      <c r="AL104" s="247"/>
      <c r="AM104" s="247"/>
      <c r="AN104" s="247"/>
      <c r="AO104" s="247"/>
      <c r="AP104" s="247"/>
      <c r="AQ104" s="247"/>
      <c r="AR104" s="247"/>
      <c r="AS104" s="247"/>
      <c r="AT104" s="247"/>
      <c r="AU104" s="247"/>
      <c r="AV104" s="247"/>
      <c r="AW104" s="247">
        <f>+AW105-AW103</f>
        <v>1258.8000000000002</v>
      </c>
      <c r="AX104" s="247">
        <f>+AX105-AX103</f>
        <v>1268.4000000000001</v>
      </c>
      <c r="AY104" s="294">
        <f>+AY105-AY103</f>
        <v>355</v>
      </c>
      <c r="AZ104" s="294">
        <f t="shared" ref="AZ104:BJ104" si="153">+AZ105-AZ103</f>
        <v>552.5</v>
      </c>
      <c r="BA104" s="294">
        <f t="shared" si="153"/>
        <v>512.5</v>
      </c>
      <c r="BB104" s="294">
        <f t="shared" si="153"/>
        <v>520</v>
      </c>
      <c r="BC104" s="294">
        <f t="shared" si="153"/>
        <v>520</v>
      </c>
      <c r="BD104" s="294">
        <f t="shared" si="153"/>
        <v>520</v>
      </c>
      <c r="BE104" s="294">
        <f t="shared" si="153"/>
        <v>520</v>
      </c>
      <c r="BF104" s="294">
        <f t="shared" si="153"/>
        <v>520</v>
      </c>
      <c r="BG104" s="294">
        <f t="shared" si="153"/>
        <v>812.5</v>
      </c>
      <c r="BH104" s="294">
        <f t="shared" si="153"/>
        <v>812.5</v>
      </c>
      <c r="BI104" s="294">
        <f t="shared" si="153"/>
        <v>812.5</v>
      </c>
      <c r="BJ104" s="294">
        <f t="shared" si="153"/>
        <v>812.5</v>
      </c>
      <c r="BK104" s="1"/>
      <c r="BL104" s="91"/>
      <c r="BM104" s="23">
        <f t="shared" si="102"/>
        <v>98</v>
      </c>
    </row>
    <row r="105" spans="1:65" ht="12.75" hidden="1" customHeight="1" outlineLevel="2">
      <c r="A105" s="118"/>
      <c r="B105" s="281" t="s">
        <v>344</v>
      </c>
      <c r="C105" s="72"/>
      <c r="D105" s="72"/>
      <c r="E105" s="76"/>
      <c r="F105" s="76"/>
      <c r="G105" s="76"/>
      <c r="H105" s="187"/>
      <c r="I105" s="187"/>
      <c r="J105" s="272"/>
      <c r="K105" s="272"/>
      <c r="L105" s="272"/>
      <c r="M105" s="272"/>
      <c r="N105" s="272">
        <f>SUM(INDEX($S105:$BK105,N$5):INDEX($S105:$BK105,N$6))</f>
        <v>6318</v>
      </c>
      <c r="O105" s="272">
        <f>SUM(INDEX($S105:$BK105,O$5):INDEX($S105:$BK105,O$6))</f>
        <v>17250</v>
      </c>
      <c r="P105" s="272">
        <f>SUM(INDEX($S105:$BK105,P$5):INDEX($S105:$BK105,P$6))</f>
        <v>20800</v>
      </c>
      <c r="Q105" s="272">
        <f>SUM(INDEX($S105:$BK105,Q$5):INDEX($S105:$BK105,Q$6))</f>
        <v>20800</v>
      </c>
      <c r="R105" s="104"/>
      <c r="S105" s="187"/>
      <c r="T105" s="187"/>
      <c r="U105" s="187"/>
      <c r="V105" s="187"/>
      <c r="W105" s="187"/>
      <c r="X105" s="187"/>
      <c r="Y105" s="187"/>
      <c r="Z105" s="187"/>
      <c r="AA105" s="187"/>
      <c r="AB105" s="187"/>
      <c r="AC105" s="187"/>
      <c r="AD105" s="187"/>
      <c r="AE105" s="187"/>
      <c r="AF105" s="187"/>
      <c r="AG105" s="187"/>
      <c r="AH105" s="187"/>
      <c r="AI105" s="272"/>
      <c r="AJ105" s="272"/>
      <c r="AK105" s="272"/>
      <c r="AL105" s="272"/>
      <c r="AM105" s="272"/>
      <c r="AN105" s="272"/>
      <c r="AO105" s="272"/>
      <c r="AP105" s="272"/>
      <c r="AQ105" s="272"/>
      <c r="AR105" s="272"/>
      <c r="AS105" s="272"/>
      <c r="AT105" s="272"/>
      <c r="AU105" s="272"/>
      <c r="AV105" s="272"/>
      <c r="AW105" s="272">
        <f t="shared" ref="AW105:BJ105" si="154">AW99</f>
        <v>3147</v>
      </c>
      <c r="AX105" s="272">
        <f t="shared" si="154"/>
        <v>3171</v>
      </c>
      <c r="AY105" s="272">
        <f t="shared" si="154"/>
        <v>3150</v>
      </c>
      <c r="AZ105" s="272">
        <f t="shared" si="154"/>
        <v>4000</v>
      </c>
      <c r="BA105" s="272">
        <f t="shared" si="154"/>
        <v>4900</v>
      </c>
      <c r="BB105" s="272">
        <f t="shared" si="154"/>
        <v>5200</v>
      </c>
      <c r="BC105" s="272">
        <f t="shared" si="154"/>
        <v>5200</v>
      </c>
      <c r="BD105" s="272">
        <f t="shared" si="154"/>
        <v>5200</v>
      </c>
      <c r="BE105" s="272">
        <f t="shared" si="154"/>
        <v>5200</v>
      </c>
      <c r="BF105" s="272">
        <f t="shared" si="154"/>
        <v>5200</v>
      </c>
      <c r="BG105" s="272">
        <f t="shared" si="154"/>
        <v>5200</v>
      </c>
      <c r="BH105" s="272">
        <f t="shared" si="154"/>
        <v>5200</v>
      </c>
      <c r="BI105" s="272">
        <f t="shared" si="154"/>
        <v>5200</v>
      </c>
      <c r="BJ105" s="272">
        <f t="shared" si="154"/>
        <v>5200</v>
      </c>
      <c r="BK105" s="21"/>
      <c r="BL105" s="91"/>
      <c r="BM105" s="23">
        <f t="shared" si="102"/>
        <v>99</v>
      </c>
    </row>
    <row r="106" spans="1:65" ht="12.75" hidden="1" customHeight="1" outlineLevel="2">
      <c r="A106" s="118"/>
      <c r="B106" s="278"/>
      <c r="C106" s="1"/>
      <c r="D106" s="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68"/>
      <c r="P106" s="11"/>
      <c r="Q106" s="11"/>
      <c r="R106" s="51"/>
      <c r="S106" s="182"/>
      <c r="T106" s="182"/>
      <c r="U106" s="182"/>
      <c r="V106" s="182"/>
      <c r="W106" s="182"/>
      <c r="X106" s="182"/>
      <c r="Y106" s="182"/>
      <c r="Z106" s="182"/>
      <c r="AA106" s="182"/>
      <c r="AB106" s="182"/>
      <c r="AC106" s="182"/>
      <c r="AD106" s="182"/>
      <c r="AE106" s="182"/>
      <c r="AF106" s="182"/>
      <c r="AG106" s="182"/>
      <c r="AH106" s="182"/>
      <c r="AI106" s="169"/>
      <c r="AJ106" s="169"/>
      <c r="AK106" s="169"/>
      <c r="AL106" s="169"/>
      <c r="AM106" s="169"/>
      <c r="AN106" s="169"/>
      <c r="AO106" s="169"/>
      <c r="AP106" s="169"/>
      <c r="AQ106" s="169"/>
      <c r="AR106" s="169"/>
      <c r="AS106" s="169"/>
      <c r="AT106" s="169"/>
      <c r="AU106" s="169"/>
      <c r="AV106" s="169"/>
      <c r="AW106" s="169"/>
      <c r="AX106" s="169"/>
      <c r="AY106" s="201"/>
      <c r="AZ106" s="201"/>
      <c r="BA106" s="201"/>
      <c r="BB106" s="201"/>
      <c r="BC106" s="201"/>
      <c r="BD106" s="201"/>
      <c r="BE106" s="201"/>
      <c r="BF106" s="201"/>
      <c r="BG106" s="201"/>
      <c r="BH106" s="201"/>
      <c r="BI106" s="201"/>
      <c r="BJ106" s="201"/>
      <c r="BK106" s="1"/>
      <c r="BL106" s="91"/>
      <c r="BM106" s="23">
        <f t="shared" si="102"/>
        <v>100</v>
      </c>
    </row>
    <row r="107" spans="1:65" ht="12.75" hidden="1" customHeight="1" outlineLevel="2">
      <c r="A107" s="118"/>
      <c r="B107" s="269" t="s">
        <v>453</v>
      </c>
      <c r="C107" s="1"/>
      <c r="D107" s="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68"/>
      <c r="P107" s="11"/>
      <c r="Q107" s="11"/>
      <c r="R107" s="51"/>
      <c r="S107" s="182"/>
      <c r="T107" s="182"/>
      <c r="U107" s="182"/>
      <c r="V107" s="182"/>
      <c r="W107" s="182"/>
      <c r="X107" s="182"/>
      <c r="Y107" s="182"/>
      <c r="Z107" s="182"/>
      <c r="AA107" s="182"/>
      <c r="AB107" s="182"/>
      <c r="AC107" s="182"/>
      <c r="AD107" s="182"/>
      <c r="AE107" s="182"/>
      <c r="AF107" s="182"/>
      <c r="AG107" s="182"/>
      <c r="AH107" s="182"/>
      <c r="AI107" s="169"/>
      <c r="AJ107" s="169"/>
      <c r="AK107" s="169"/>
      <c r="AL107" s="169"/>
      <c r="AM107" s="169"/>
      <c r="AN107" s="169"/>
      <c r="AO107" s="169"/>
      <c r="AP107" s="169"/>
      <c r="AQ107" s="169"/>
      <c r="AR107" s="169"/>
      <c r="AS107" s="169"/>
      <c r="AT107" s="169"/>
      <c r="AU107" s="169"/>
      <c r="AV107" s="169"/>
      <c r="AW107" s="169"/>
      <c r="AX107" s="169"/>
      <c r="AY107" s="201"/>
      <c r="AZ107" s="201"/>
      <c r="BA107" s="201"/>
      <c r="BB107" s="201"/>
      <c r="BC107" s="201"/>
      <c r="BD107" s="201"/>
      <c r="BE107" s="201"/>
      <c r="BF107" s="201"/>
      <c r="BG107" s="201"/>
      <c r="BH107" s="201"/>
      <c r="BI107" s="201"/>
      <c r="BJ107" s="201"/>
      <c r="BK107" s="1"/>
      <c r="BL107" s="91"/>
      <c r="BM107" s="23">
        <f t="shared" si="102"/>
        <v>101</v>
      </c>
    </row>
    <row r="108" spans="1:65" ht="12.75" hidden="1" customHeight="1" outlineLevel="2">
      <c r="A108" s="118"/>
      <c r="B108" s="125" t="s">
        <v>457</v>
      </c>
      <c r="C108" s="1"/>
      <c r="D108" s="1"/>
      <c r="E108" s="11"/>
      <c r="F108" s="11"/>
      <c r="G108" s="11"/>
      <c r="H108" s="11"/>
      <c r="I108" s="11"/>
      <c r="J108" s="247"/>
      <c r="K108" s="247"/>
      <c r="L108" s="247"/>
      <c r="M108" s="247"/>
      <c r="N108" s="182">
        <f t="shared" ref="N108:Q110" si="155">+N113*1000/N103</f>
        <v>24.999999999999996</v>
      </c>
      <c r="O108" s="190">
        <f t="shared" si="155"/>
        <v>25</v>
      </c>
      <c r="P108" s="182">
        <f t="shared" si="155"/>
        <v>21.5</v>
      </c>
      <c r="Q108" s="182">
        <f t="shared" si="155"/>
        <v>20</v>
      </c>
      <c r="R108" s="51"/>
      <c r="S108" s="182"/>
      <c r="T108" s="182"/>
      <c r="U108" s="182"/>
      <c r="V108" s="182"/>
      <c r="W108" s="182"/>
      <c r="X108" s="182"/>
      <c r="Y108" s="182"/>
      <c r="Z108" s="182"/>
      <c r="AA108" s="182"/>
      <c r="AB108" s="182"/>
      <c r="AC108" s="182"/>
      <c r="AD108" s="182"/>
      <c r="AE108" s="182"/>
      <c r="AF108" s="182"/>
      <c r="AG108" s="182"/>
      <c r="AH108" s="182"/>
      <c r="AI108" s="247"/>
      <c r="AJ108" s="247"/>
      <c r="AK108" s="247"/>
      <c r="AL108" s="247"/>
      <c r="AM108" s="247"/>
      <c r="AN108" s="247"/>
      <c r="AO108" s="247"/>
      <c r="AP108" s="247"/>
      <c r="AQ108" s="247"/>
      <c r="AR108" s="247"/>
      <c r="AS108" s="247"/>
      <c r="AT108" s="247"/>
      <c r="AU108" s="180"/>
      <c r="AV108" s="180"/>
      <c r="AW108" s="180">
        <v>25</v>
      </c>
      <c r="AX108" s="180">
        <v>25</v>
      </c>
      <c r="AY108" s="202">
        <v>25</v>
      </c>
      <c r="AZ108" s="202">
        <v>25</v>
      </c>
      <c r="BA108" s="202">
        <v>25</v>
      </c>
      <c r="BB108" s="202">
        <v>25</v>
      </c>
      <c r="BC108" s="202">
        <v>23</v>
      </c>
      <c r="BD108" s="202">
        <v>22</v>
      </c>
      <c r="BE108" s="202">
        <v>21</v>
      </c>
      <c r="BF108" s="202">
        <v>20</v>
      </c>
      <c r="BG108" s="202">
        <f>BF108</f>
        <v>20</v>
      </c>
      <c r="BH108" s="202">
        <f t="shared" ref="BH108:BJ108" si="156">BG108</f>
        <v>20</v>
      </c>
      <c r="BI108" s="202">
        <f t="shared" si="156"/>
        <v>20</v>
      </c>
      <c r="BJ108" s="202">
        <f t="shared" si="156"/>
        <v>20</v>
      </c>
      <c r="BK108" s="1"/>
      <c r="BL108" s="91"/>
      <c r="BM108" s="23">
        <f t="shared" si="102"/>
        <v>102</v>
      </c>
    </row>
    <row r="109" spans="1:65" ht="12.75" hidden="1" customHeight="1" outlineLevel="2">
      <c r="A109" s="118"/>
      <c r="B109" s="125" t="s">
        <v>455</v>
      </c>
      <c r="C109" s="1"/>
      <c r="D109" s="1"/>
      <c r="E109" s="11"/>
      <c r="F109" s="11"/>
      <c r="G109" s="11"/>
      <c r="H109" s="11"/>
      <c r="I109" s="11"/>
      <c r="J109" s="247"/>
      <c r="K109" s="247"/>
      <c r="L109" s="247"/>
      <c r="M109" s="247"/>
      <c r="N109" s="182">
        <f t="shared" si="155"/>
        <v>32.739791073124401</v>
      </c>
      <c r="O109" s="190">
        <f t="shared" si="155"/>
        <v>29.880154639175259</v>
      </c>
      <c r="P109" s="182">
        <f t="shared" si="155"/>
        <v>16.25</v>
      </c>
      <c r="Q109" s="182">
        <f t="shared" si="155"/>
        <v>15</v>
      </c>
      <c r="R109" s="51"/>
      <c r="S109" s="182"/>
      <c r="T109" s="182"/>
      <c r="U109" s="182"/>
      <c r="V109" s="182"/>
      <c r="W109" s="182"/>
      <c r="X109" s="182"/>
      <c r="Y109" s="182"/>
      <c r="Z109" s="182"/>
      <c r="AA109" s="182"/>
      <c r="AB109" s="182"/>
      <c r="AC109" s="182"/>
      <c r="AD109" s="182"/>
      <c r="AE109" s="182"/>
      <c r="AF109" s="182"/>
      <c r="AG109" s="182"/>
      <c r="AH109" s="182"/>
      <c r="AI109" s="247"/>
      <c r="AJ109" s="247"/>
      <c r="AK109" s="247"/>
      <c r="AL109" s="247"/>
      <c r="AM109" s="247"/>
      <c r="AN109" s="247"/>
      <c r="AO109" s="247"/>
      <c r="AP109" s="247"/>
      <c r="AQ109" s="247"/>
      <c r="AR109" s="247"/>
      <c r="AS109" s="247"/>
      <c r="AT109" s="247"/>
      <c r="AU109" s="182"/>
      <c r="AV109" s="182"/>
      <c r="AW109" s="182">
        <f>(AW110*AW105-AW108*AW103)/AW104</f>
        <v>30.540991420400381</v>
      </c>
      <c r="AX109" s="182">
        <f>(AX110*AX105-AX108*AX103)/AX104</f>
        <v>34.921948912015125</v>
      </c>
      <c r="AY109" s="202">
        <v>35</v>
      </c>
      <c r="AZ109" s="202">
        <f>+AY109-3</f>
        <v>32</v>
      </c>
      <c r="BA109" s="202">
        <f>+AZ109-3</f>
        <v>29</v>
      </c>
      <c r="BB109" s="202">
        <f>+BA109-4</f>
        <v>25</v>
      </c>
      <c r="BC109" s="202">
        <v>20</v>
      </c>
      <c r="BD109" s="202">
        <v>15</v>
      </c>
      <c r="BE109" s="202">
        <f t="shared" ref="BE109:BJ109" si="157">BD109</f>
        <v>15</v>
      </c>
      <c r="BF109" s="202">
        <f t="shared" si="157"/>
        <v>15</v>
      </c>
      <c r="BG109" s="202">
        <f t="shared" si="157"/>
        <v>15</v>
      </c>
      <c r="BH109" s="202">
        <f t="shared" si="157"/>
        <v>15</v>
      </c>
      <c r="BI109" s="202">
        <f t="shared" si="157"/>
        <v>15</v>
      </c>
      <c r="BJ109" s="202">
        <f t="shared" si="157"/>
        <v>15</v>
      </c>
      <c r="BK109" s="1"/>
      <c r="BL109" s="91"/>
      <c r="BM109" s="23">
        <f t="shared" si="102"/>
        <v>103</v>
      </c>
    </row>
    <row r="110" spans="1:65" ht="12.75" hidden="1" customHeight="1" outlineLevel="2">
      <c r="A110" s="118"/>
      <c r="B110" s="281" t="s">
        <v>458</v>
      </c>
      <c r="C110" s="72"/>
      <c r="D110" s="72"/>
      <c r="E110" s="76"/>
      <c r="F110" s="76"/>
      <c r="G110" s="76"/>
      <c r="H110" s="187"/>
      <c r="I110" s="187"/>
      <c r="J110" s="272"/>
      <c r="K110" s="272"/>
      <c r="L110" s="272"/>
      <c r="M110" s="272"/>
      <c r="N110" s="216">
        <f t="shared" si="155"/>
        <v>42.082621082621081</v>
      </c>
      <c r="O110" s="216">
        <f t="shared" si="155"/>
        <v>25.548840579710149</v>
      </c>
      <c r="P110" s="216">
        <f t="shared" si="155"/>
        <v>20.975000000000001</v>
      </c>
      <c r="Q110" s="216">
        <f t="shared" si="155"/>
        <v>19.21875</v>
      </c>
      <c r="R110" s="104"/>
      <c r="S110" s="187"/>
      <c r="T110" s="187"/>
      <c r="U110" s="187"/>
      <c r="V110" s="187"/>
      <c r="W110" s="187"/>
      <c r="X110" s="187"/>
      <c r="Y110" s="187"/>
      <c r="Z110" s="187"/>
      <c r="AA110" s="187"/>
      <c r="AB110" s="187"/>
      <c r="AC110" s="187"/>
      <c r="AD110" s="187"/>
      <c r="AE110" s="187"/>
      <c r="AF110" s="187"/>
      <c r="AG110" s="187"/>
      <c r="AH110" s="187"/>
      <c r="AI110" s="272"/>
      <c r="AJ110" s="272"/>
      <c r="AK110" s="272"/>
      <c r="AL110" s="272"/>
      <c r="AM110" s="272"/>
      <c r="AN110" s="272"/>
      <c r="AO110" s="272"/>
      <c r="AP110" s="272"/>
      <c r="AQ110" s="272"/>
      <c r="AR110" s="272"/>
      <c r="AS110" s="272"/>
      <c r="AT110" s="272"/>
      <c r="AU110" s="216"/>
      <c r="AV110" s="216"/>
      <c r="AW110" s="216">
        <f>AW79</f>
        <v>27.216396568160153</v>
      </c>
      <c r="AX110" s="216">
        <f>AX79</f>
        <v>28.968779564806049</v>
      </c>
      <c r="AY110" s="216">
        <f t="shared" ref="AY110:BJ110" si="158">SUMPRODUCT(AY108:AY109,AY103:AY104)/AY105</f>
        <v>26.126984126984127</v>
      </c>
      <c r="AZ110" s="216">
        <f t="shared" si="158"/>
        <v>25.966875000000002</v>
      </c>
      <c r="BA110" s="216">
        <f t="shared" si="158"/>
        <v>25.418367346938776</v>
      </c>
      <c r="BB110" s="216">
        <f t="shared" si="158"/>
        <v>25</v>
      </c>
      <c r="BC110" s="216">
        <f t="shared" si="158"/>
        <v>22.7</v>
      </c>
      <c r="BD110" s="216">
        <f t="shared" si="158"/>
        <v>21.3</v>
      </c>
      <c r="BE110" s="216">
        <f t="shared" si="158"/>
        <v>20.399999999999999</v>
      </c>
      <c r="BF110" s="216">
        <f t="shared" si="158"/>
        <v>19.5</v>
      </c>
      <c r="BG110" s="216">
        <f t="shared" si="158"/>
        <v>19.21875</v>
      </c>
      <c r="BH110" s="216">
        <f t="shared" si="158"/>
        <v>19.21875</v>
      </c>
      <c r="BI110" s="216">
        <f t="shared" si="158"/>
        <v>19.21875</v>
      </c>
      <c r="BJ110" s="216">
        <f t="shared" si="158"/>
        <v>19.21875</v>
      </c>
      <c r="BK110" s="21"/>
      <c r="BL110" s="91"/>
      <c r="BM110" s="23">
        <f t="shared" si="102"/>
        <v>104</v>
      </c>
    </row>
    <row r="111" spans="1:65" ht="12.75" hidden="1" customHeight="1" outlineLevel="2">
      <c r="A111" s="118"/>
      <c r="B111" s="278"/>
      <c r="C111" s="51"/>
      <c r="D111" s="51"/>
      <c r="E111" s="21"/>
      <c r="F111" s="21"/>
      <c r="G111" s="21"/>
      <c r="H111" s="186"/>
      <c r="I111" s="186"/>
      <c r="J111" s="186"/>
      <c r="K111" s="186"/>
      <c r="L111" s="186"/>
      <c r="M111" s="186"/>
      <c r="N111" s="186"/>
      <c r="O111" s="186"/>
      <c r="P111" s="186"/>
      <c r="Q111" s="186"/>
      <c r="R111" s="104"/>
      <c r="S111" s="186"/>
      <c r="T111" s="186"/>
      <c r="U111" s="186"/>
      <c r="V111" s="186"/>
      <c r="W111" s="186"/>
      <c r="X111" s="186"/>
      <c r="Y111" s="186"/>
      <c r="Z111" s="186"/>
      <c r="AA111" s="186"/>
      <c r="AB111" s="186"/>
      <c r="AC111" s="186"/>
      <c r="AD111" s="186"/>
      <c r="AE111" s="186"/>
      <c r="AF111" s="186"/>
      <c r="AG111" s="186"/>
      <c r="AH111" s="186"/>
      <c r="AI111" s="279"/>
      <c r="AJ111" s="279"/>
      <c r="AK111" s="279"/>
      <c r="AL111" s="279"/>
      <c r="AM111" s="279"/>
      <c r="AN111" s="279"/>
      <c r="AO111" s="279"/>
      <c r="AP111" s="279"/>
      <c r="AQ111" s="279"/>
      <c r="AR111" s="279"/>
      <c r="AS111" s="279"/>
      <c r="AT111" s="279"/>
      <c r="AU111" s="279"/>
      <c r="AV111" s="279"/>
      <c r="AW111" s="279"/>
      <c r="AX111" s="279"/>
      <c r="AY111" s="279"/>
      <c r="AZ111" s="279"/>
      <c r="BA111" s="279"/>
      <c r="BB111" s="279"/>
      <c r="BC111" s="279"/>
      <c r="BD111" s="279"/>
      <c r="BE111" s="279"/>
      <c r="BF111" s="279"/>
      <c r="BG111" s="279"/>
      <c r="BH111" s="279"/>
      <c r="BI111" s="279"/>
      <c r="BJ111" s="279"/>
      <c r="BK111" s="21"/>
      <c r="BL111" s="91"/>
      <c r="BM111" s="23">
        <f t="shared" si="102"/>
        <v>105</v>
      </c>
    </row>
    <row r="112" spans="1:65" ht="12.75" hidden="1" customHeight="1" outlineLevel="2">
      <c r="A112" s="118"/>
      <c r="B112" s="269" t="s">
        <v>461</v>
      </c>
      <c r="C112" s="1"/>
      <c r="D112" s="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68"/>
      <c r="P112" s="11"/>
      <c r="Q112" s="11"/>
      <c r="R112" s="51"/>
      <c r="S112" s="182"/>
      <c r="T112" s="182"/>
      <c r="U112" s="182"/>
      <c r="V112" s="182"/>
      <c r="W112" s="182"/>
      <c r="X112" s="182"/>
      <c r="Y112" s="182"/>
      <c r="Z112" s="182"/>
      <c r="AA112" s="182"/>
      <c r="AB112" s="182"/>
      <c r="AC112" s="182"/>
      <c r="AD112" s="182"/>
      <c r="AE112" s="182"/>
      <c r="AF112" s="182"/>
      <c r="AG112" s="182"/>
      <c r="AH112" s="182"/>
      <c r="AI112" s="169"/>
      <c r="AJ112" s="169"/>
      <c r="AK112" s="169"/>
      <c r="AL112" s="169"/>
      <c r="AM112" s="169"/>
      <c r="AN112" s="169"/>
      <c r="AO112" s="169"/>
      <c r="AP112" s="169"/>
      <c r="AQ112" s="169"/>
      <c r="AR112" s="169"/>
      <c r="AS112" s="169"/>
      <c r="AT112" s="169"/>
      <c r="AU112" s="169"/>
      <c r="AV112" s="169"/>
      <c r="AW112" s="169"/>
      <c r="AX112" s="169"/>
      <c r="AY112" s="201"/>
      <c r="AZ112" s="201"/>
      <c r="BA112" s="201"/>
      <c r="BB112" s="201"/>
      <c r="BC112" s="201"/>
      <c r="BD112" s="201"/>
      <c r="BE112" s="201"/>
      <c r="BF112" s="201"/>
      <c r="BG112" s="201"/>
      <c r="BH112" s="201"/>
      <c r="BI112" s="201"/>
      <c r="BJ112" s="201"/>
      <c r="BK112" s="1"/>
      <c r="BL112" s="91"/>
      <c r="BM112" s="23">
        <f t="shared" si="102"/>
        <v>106</v>
      </c>
    </row>
    <row r="113" spans="1:65" ht="12.75" hidden="1" customHeight="1" outlineLevel="2">
      <c r="A113" s="118"/>
      <c r="B113" s="125" t="s">
        <v>457</v>
      </c>
      <c r="C113" s="1"/>
      <c r="D113" s="1"/>
      <c r="E113" s="11"/>
      <c r="F113" s="11"/>
      <c r="G113" s="11"/>
      <c r="H113" s="11"/>
      <c r="I113" s="11"/>
      <c r="J113" s="247"/>
      <c r="K113" s="247"/>
      <c r="L113" s="247"/>
      <c r="M113" s="247"/>
      <c r="N113" s="182">
        <f>SUM(INDEX($S113:$BK113,N$5):INDEX($S113:$BK113,N$6))</f>
        <v>94.769999999999982</v>
      </c>
      <c r="O113" s="190">
        <f>SUM(INDEX($S113:$BK113,O$5):INDEX($S113:$BK113,O$6))</f>
        <v>382.75</v>
      </c>
      <c r="P113" s="182">
        <f>SUM(INDEX($S113:$BK113,P$5):INDEX($S113:$BK113,P$6))</f>
        <v>402.48</v>
      </c>
      <c r="Q113" s="182">
        <f>SUM(INDEX($S113:$BK113,Q$5):INDEX($S113:$BK113,Q$6))</f>
        <v>351</v>
      </c>
      <c r="R113" s="51"/>
      <c r="S113" s="182"/>
      <c r="T113" s="182"/>
      <c r="U113" s="182"/>
      <c r="V113" s="182"/>
      <c r="W113" s="182"/>
      <c r="X113" s="182"/>
      <c r="Y113" s="182"/>
      <c r="Z113" s="182"/>
      <c r="AA113" s="182"/>
      <c r="AB113" s="182"/>
      <c r="AC113" s="182"/>
      <c r="AD113" s="182"/>
      <c r="AE113" s="182"/>
      <c r="AF113" s="182"/>
      <c r="AG113" s="182"/>
      <c r="AH113" s="182"/>
      <c r="AI113" s="247"/>
      <c r="AJ113" s="247"/>
      <c r="AK113" s="247"/>
      <c r="AL113" s="247"/>
      <c r="AM113" s="247"/>
      <c r="AN113" s="247"/>
      <c r="AO113" s="247"/>
      <c r="AP113" s="247"/>
      <c r="AQ113" s="247"/>
      <c r="AR113" s="247"/>
      <c r="AS113" s="247"/>
      <c r="AT113" s="247"/>
      <c r="AU113" s="190"/>
      <c r="AV113" s="190"/>
      <c r="AW113" s="190">
        <f t="shared" ref="AW113:BJ113" si="159">AW108*AW103/1000</f>
        <v>47.204999999999991</v>
      </c>
      <c r="AX113" s="190">
        <f t="shared" si="159"/>
        <v>47.564999999999998</v>
      </c>
      <c r="AY113" s="190">
        <f t="shared" si="159"/>
        <v>69.875</v>
      </c>
      <c r="AZ113" s="190">
        <f t="shared" si="159"/>
        <v>86.1875</v>
      </c>
      <c r="BA113" s="190">
        <f t="shared" si="159"/>
        <v>109.6875</v>
      </c>
      <c r="BB113" s="190">
        <f t="shared" si="159"/>
        <v>117</v>
      </c>
      <c r="BC113" s="190">
        <f t="shared" si="159"/>
        <v>107.64</v>
      </c>
      <c r="BD113" s="190">
        <f t="shared" si="159"/>
        <v>102.96</v>
      </c>
      <c r="BE113" s="190">
        <f t="shared" si="159"/>
        <v>98.28</v>
      </c>
      <c r="BF113" s="190">
        <f t="shared" si="159"/>
        <v>93.6</v>
      </c>
      <c r="BG113" s="190">
        <f t="shared" si="159"/>
        <v>87.75</v>
      </c>
      <c r="BH113" s="190">
        <f t="shared" si="159"/>
        <v>87.75</v>
      </c>
      <c r="BI113" s="190">
        <f t="shared" si="159"/>
        <v>87.75</v>
      </c>
      <c r="BJ113" s="190">
        <f t="shared" si="159"/>
        <v>87.75</v>
      </c>
      <c r="BK113" s="1"/>
      <c r="BL113" s="91"/>
      <c r="BM113" s="23">
        <f t="shared" si="102"/>
        <v>107</v>
      </c>
    </row>
    <row r="114" spans="1:65" ht="12.75" hidden="1" customHeight="1" outlineLevel="2">
      <c r="A114" s="118"/>
      <c r="B114" s="125" t="s">
        <v>455</v>
      </c>
      <c r="C114" s="1"/>
      <c r="D114" s="1"/>
      <c r="E114" s="11"/>
      <c r="F114" s="11"/>
      <c r="G114" s="11"/>
      <c r="H114" s="11"/>
      <c r="I114" s="11"/>
      <c r="J114" s="247"/>
      <c r="K114" s="247"/>
      <c r="L114" s="247"/>
      <c r="M114" s="247"/>
      <c r="N114" s="182">
        <f>SUM(INDEX($S114:$BK114,N$5):INDEX($S114:$BK114,N$6))</f>
        <v>82.74</v>
      </c>
      <c r="O114" s="190">
        <f>SUM(INDEX($S114:$BK114,O$5):INDEX($S114:$BK114,O$6))</f>
        <v>57.967500000000001</v>
      </c>
      <c r="P114" s="182">
        <f>SUM(INDEX($S114:$BK114,P$5):INDEX($S114:$BK114,P$6))</f>
        <v>33.799999999999997</v>
      </c>
      <c r="Q114" s="182">
        <f>SUM(INDEX($S114:$BK114,Q$5):INDEX($S114:$BK114,Q$6))</f>
        <v>48.75</v>
      </c>
      <c r="R114" s="51"/>
      <c r="S114" s="182"/>
      <c r="T114" s="182"/>
      <c r="U114" s="182"/>
      <c r="V114" s="182"/>
      <c r="W114" s="182"/>
      <c r="X114" s="182"/>
      <c r="Y114" s="182"/>
      <c r="Z114" s="182"/>
      <c r="AA114" s="182"/>
      <c r="AB114" s="182"/>
      <c r="AC114" s="182"/>
      <c r="AD114" s="182"/>
      <c r="AE114" s="182"/>
      <c r="AF114" s="182"/>
      <c r="AG114" s="182"/>
      <c r="AH114" s="182"/>
      <c r="AI114" s="247"/>
      <c r="AJ114" s="247"/>
      <c r="AK114" s="247"/>
      <c r="AL114" s="247"/>
      <c r="AM114" s="247"/>
      <c r="AN114" s="247"/>
      <c r="AO114" s="247"/>
      <c r="AP114" s="247"/>
      <c r="AQ114" s="247"/>
      <c r="AR114" s="247"/>
      <c r="AS114" s="247"/>
      <c r="AT114" s="247"/>
      <c r="AU114" s="190"/>
      <c r="AV114" s="190"/>
      <c r="AW114" s="190">
        <f t="shared" ref="AW114:BJ114" si="160">AW109*AW104/1000</f>
        <v>38.445000000000007</v>
      </c>
      <c r="AX114" s="190">
        <f t="shared" si="160"/>
        <v>44.294999999999987</v>
      </c>
      <c r="AY114" s="190">
        <f t="shared" si="160"/>
        <v>12.425000000000001</v>
      </c>
      <c r="AZ114" s="190">
        <f t="shared" si="160"/>
        <v>17.68</v>
      </c>
      <c r="BA114" s="190">
        <f t="shared" si="160"/>
        <v>14.862500000000001</v>
      </c>
      <c r="BB114" s="190">
        <f t="shared" si="160"/>
        <v>13</v>
      </c>
      <c r="BC114" s="190">
        <f t="shared" si="160"/>
        <v>10.4</v>
      </c>
      <c r="BD114" s="190">
        <f t="shared" si="160"/>
        <v>7.8</v>
      </c>
      <c r="BE114" s="190">
        <f t="shared" si="160"/>
        <v>7.8</v>
      </c>
      <c r="BF114" s="190">
        <f t="shared" si="160"/>
        <v>7.8</v>
      </c>
      <c r="BG114" s="190">
        <f t="shared" si="160"/>
        <v>12.1875</v>
      </c>
      <c r="BH114" s="190">
        <f t="shared" si="160"/>
        <v>12.1875</v>
      </c>
      <c r="BI114" s="190">
        <f t="shared" si="160"/>
        <v>12.1875</v>
      </c>
      <c r="BJ114" s="190">
        <f t="shared" si="160"/>
        <v>12.1875</v>
      </c>
      <c r="BK114" s="1"/>
      <c r="BL114" s="91"/>
      <c r="BM114" s="23">
        <f t="shared" si="102"/>
        <v>108</v>
      </c>
    </row>
    <row r="115" spans="1:65" ht="12.75" hidden="1" customHeight="1" outlineLevel="2">
      <c r="A115" s="118"/>
      <c r="B115" s="281" t="s">
        <v>461</v>
      </c>
      <c r="C115" s="72"/>
      <c r="D115" s="72"/>
      <c r="E115" s="76"/>
      <c r="F115" s="76"/>
      <c r="G115" s="76"/>
      <c r="H115" s="187"/>
      <c r="I115" s="187"/>
      <c r="J115" s="272"/>
      <c r="K115" s="272"/>
      <c r="L115" s="272"/>
      <c r="M115" s="272"/>
      <c r="N115" s="216">
        <f>SUM(INDEX($S115:$BK115,N$5):INDEX($S115:$BK115,N$6))</f>
        <v>265.87799999999999</v>
      </c>
      <c r="O115" s="216">
        <f>SUM(INDEX($S115:$BK115,O$5):INDEX($S115:$BK115,O$6))</f>
        <v>440.71750000000003</v>
      </c>
      <c r="P115" s="216">
        <f>SUM(INDEX($S115:$BK115,P$5):INDEX($S115:$BK115,P$6))</f>
        <v>436.28</v>
      </c>
      <c r="Q115" s="216">
        <f>SUM(INDEX($S115:$BK115,Q$5):INDEX($S115:$BK115,Q$6))</f>
        <v>399.75</v>
      </c>
      <c r="R115" s="104"/>
      <c r="S115" s="187"/>
      <c r="T115" s="187"/>
      <c r="U115" s="187"/>
      <c r="V115" s="187"/>
      <c r="W115" s="187"/>
      <c r="X115" s="187"/>
      <c r="Y115" s="187"/>
      <c r="Z115" s="187"/>
      <c r="AA115" s="187"/>
      <c r="AB115" s="187"/>
      <c r="AC115" s="187"/>
      <c r="AD115" s="187"/>
      <c r="AE115" s="187"/>
      <c r="AF115" s="187"/>
      <c r="AG115" s="187"/>
      <c r="AH115" s="187"/>
      <c r="AI115" s="272"/>
      <c r="AJ115" s="272"/>
      <c r="AK115" s="272"/>
      <c r="AL115" s="272"/>
      <c r="AM115" s="272"/>
      <c r="AN115" s="272"/>
      <c r="AO115" s="272"/>
      <c r="AP115" s="272"/>
      <c r="AQ115" s="272"/>
      <c r="AR115" s="272"/>
      <c r="AS115" s="272"/>
      <c r="AT115" s="272"/>
      <c r="AU115" s="216">
        <f>AU75</f>
        <v>28.203000000000003</v>
      </c>
      <c r="AV115" s="216">
        <f>AV75</f>
        <v>60.164999999999999</v>
      </c>
      <c r="AW115" s="216">
        <f>SUM(AW113:AW114)</f>
        <v>85.65</v>
      </c>
      <c r="AX115" s="216">
        <f>SUM(AX113:AX114)</f>
        <v>91.859999999999985</v>
      </c>
      <c r="AY115" s="216">
        <f t="shared" ref="AY115:BJ115" si="161">SUM(AY113:AY114)</f>
        <v>82.3</v>
      </c>
      <c r="AZ115" s="216">
        <f t="shared" si="161"/>
        <v>103.86750000000001</v>
      </c>
      <c r="BA115" s="216">
        <f t="shared" si="161"/>
        <v>124.55</v>
      </c>
      <c r="BB115" s="216">
        <f t="shared" si="161"/>
        <v>130</v>
      </c>
      <c r="BC115" s="216">
        <f t="shared" si="161"/>
        <v>118.04</v>
      </c>
      <c r="BD115" s="216">
        <f t="shared" si="161"/>
        <v>110.75999999999999</v>
      </c>
      <c r="BE115" s="216">
        <f t="shared" si="161"/>
        <v>106.08</v>
      </c>
      <c r="BF115" s="216">
        <f t="shared" si="161"/>
        <v>101.39999999999999</v>
      </c>
      <c r="BG115" s="216">
        <f t="shared" si="161"/>
        <v>99.9375</v>
      </c>
      <c r="BH115" s="216">
        <f t="shared" si="161"/>
        <v>99.9375</v>
      </c>
      <c r="BI115" s="216">
        <f t="shared" si="161"/>
        <v>99.9375</v>
      </c>
      <c r="BJ115" s="216">
        <f t="shared" si="161"/>
        <v>99.9375</v>
      </c>
      <c r="BK115" s="21"/>
      <c r="BL115" s="91"/>
      <c r="BM115" s="23">
        <f t="shared" si="102"/>
        <v>109</v>
      </c>
    </row>
    <row r="116" spans="1:65" ht="12.75" hidden="1" customHeight="1" outlineLevel="2">
      <c r="A116" s="118"/>
      <c r="B116" s="278"/>
      <c r="C116" s="51"/>
      <c r="D116" s="51"/>
      <c r="E116" s="21"/>
      <c r="F116" s="21"/>
      <c r="G116" s="21"/>
      <c r="H116" s="186"/>
      <c r="I116" s="186"/>
      <c r="J116" s="186"/>
      <c r="K116" s="186"/>
      <c r="L116" s="186"/>
      <c r="M116" s="186"/>
      <c r="N116" s="186"/>
      <c r="O116" s="186"/>
      <c r="P116" s="186"/>
      <c r="Q116" s="186"/>
      <c r="R116" s="104"/>
      <c r="S116" s="186"/>
      <c r="T116" s="186"/>
      <c r="U116" s="186"/>
      <c r="V116" s="186"/>
      <c r="W116" s="186"/>
      <c r="X116" s="186"/>
      <c r="Y116" s="186"/>
      <c r="Z116" s="186"/>
      <c r="AA116" s="186"/>
      <c r="AB116" s="186"/>
      <c r="AC116" s="186"/>
      <c r="AD116" s="186"/>
      <c r="AE116" s="186"/>
      <c r="AF116" s="186"/>
      <c r="AG116" s="186"/>
      <c r="AH116" s="186"/>
      <c r="AI116" s="279"/>
      <c r="AJ116" s="279"/>
      <c r="AK116" s="279"/>
      <c r="AL116" s="279"/>
      <c r="AM116" s="279"/>
      <c r="AN116" s="279"/>
      <c r="AO116" s="279"/>
      <c r="AP116" s="279"/>
      <c r="AQ116" s="279"/>
      <c r="AR116" s="279"/>
      <c r="AS116" s="279"/>
      <c r="AT116" s="279"/>
      <c r="AU116" s="279"/>
      <c r="AV116" s="279"/>
      <c r="AW116" s="279"/>
      <c r="AX116" s="279"/>
      <c r="AY116" s="279"/>
      <c r="AZ116" s="279"/>
      <c r="BA116" s="279"/>
      <c r="BB116" s="279"/>
      <c r="BC116" s="279"/>
      <c r="BD116" s="279"/>
      <c r="BE116" s="279"/>
      <c r="BF116" s="279"/>
      <c r="BG116" s="279"/>
      <c r="BH116" s="279"/>
      <c r="BI116" s="279"/>
      <c r="BJ116" s="279"/>
      <c r="BK116" s="21"/>
      <c r="BL116" s="91"/>
      <c r="BM116" s="23">
        <f t="shared" si="102"/>
        <v>110</v>
      </c>
    </row>
    <row r="117" spans="1:65" ht="12.75" hidden="1" customHeight="1" outlineLevel="2">
      <c r="A117" s="118"/>
      <c r="B117" s="269" t="s">
        <v>334</v>
      </c>
      <c r="C117" s="51"/>
      <c r="D117" s="51"/>
      <c r="E117" s="21"/>
      <c r="F117" s="21"/>
      <c r="G117" s="21"/>
      <c r="H117" s="186"/>
      <c r="I117" s="186"/>
      <c r="J117" s="186"/>
      <c r="K117" s="186"/>
      <c r="L117" s="186"/>
      <c r="M117" s="186"/>
      <c r="N117" s="186"/>
      <c r="O117" s="186"/>
      <c r="P117" s="186"/>
      <c r="Q117" s="186"/>
      <c r="R117" s="104"/>
      <c r="S117" s="186"/>
      <c r="T117" s="186"/>
      <c r="U117" s="186"/>
      <c r="V117" s="186"/>
      <c r="W117" s="186"/>
      <c r="X117" s="186"/>
      <c r="Y117" s="186"/>
      <c r="Z117" s="186"/>
      <c r="AA117" s="186"/>
      <c r="AB117" s="186"/>
      <c r="AC117" s="186"/>
      <c r="AD117" s="186"/>
      <c r="AE117" s="186"/>
      <c r="AF117" s="186"/>
      <c r="AG117" s="186"/>
      <c r="AH117" s="186"/>
      <c r="AI117" s="279"/>
      <c r="AJ117" s="279"/>
      <c r="AK117" s="279"/>
      <c r="AL117" s="279"/>
      <c r="AM117" s="279"/>
      <c r="AN117" s="279"/>
      <c r="AO117" s="279"/>
      <c r="AP117" s="279"/>
      <c r="AQ117" s="279"/>
      <c r="AR117" s="279"/>
      <c r="AS117" s="279"/>
      <c r="AT117" s="279"/>
      <c r="AU117" s="279"/>
      <c r="AV117" s="279"/>
      <c r="AW117" s="279"/>
      <c r="AX117" s="279"/>
      <c r="AY117" s="279"/>
      <c r="AZ117" s="279"/>
      <c r="BA117" s="279"/>
      <c r="BB117" s="279"/>
      <c r="BC117" s="279"/>
      <c r="BD117" s="279"/>
      <c r="BE117" s="279"/>
      <c r="BF117" s="279"/>
      <c r="BG117" s="279"/>
      <c r="BH117" s="279"/>
      <c r="BI117" s="279"/>
      <c r="BJ117" s="279"/>
      <c r="BK117" s="21"/>
      <c r="BL117" s="91"/>
      <c r="BM117" s="23">
        <f t="shared" si="102"/>
        <v>111</v>
      </c>
    </row>
    <row r="118" spans="1:65" ht="12.75" hidden="1" customHeight="1" outlineLevel="2">
      <c r="A118" s="118"/>
      <c r="B118" s="125" t="s">
        <v>462</v>
      </c>
      <c r="C118" s="51"/>
      <c r="D118" s="51"/>
      <c r="E118" s="21"/>
      <c r="F118" s="21"/>
      <c r="G118" s="21"/>
      <c r="H118" s="186"/>
      <c r="I118" s="186"/>
      <c r="J118" s="186"/>
      <c r="K118" s="295">
        <f>SUM(INDEX($S118:$BK118,K$5):INDEX($S118:$BK118,K$6))</f>
        <v>3049.8599999999997</v>
      </c>
      <c r="L118" s="295">
        <f>SUM(INDEX($S118:$BK118,L$5):INDEX($S118:$BK118,L$6))</f>
        <v>3014.3</v>
      </c>
      <c r="M118" s="295">
        <f>SUM(INDEX($S118:$BK118,M$5):INDEX($S118:$BK118,M$6))</f>
        <v>3890.66</v>
      </c>
      <c r="N118" s="295">
        <f>SUM(INDEX($S118:$BK118,N$5):INDEX($S118:$BK118,N$6))</f>
        <v>8298.0299999999988</v>
      </c>
      <c r="O118" s="295">
        <f>SUM(INDEX($S118:$BK118,O$5):INDEX($S118:$BK118,O$6))</f>
        <v>13450</v>
      </c>
      <c r="P118" s="295">
        <f>SUM(INDEX($S118:$BK118,P$5):INDEX($S118:$BK118,P$6))</f>
        <v>16800</v>
      </c>
      <c r="Q118" s="295">
        <f>SUM(INDEX($S118:$BK118,Q$5):INDEX($S118:$BK118,Q$6))</f>
        <v>16800</v>
      </c>
      <c r="R118" s="104"/>
      <c r="S118" s="186"/>
      <c r="T118" s="186"/>
      <c r="U118" s="186"/>
      <c r="V118" s="186"/>
      <c r="W118" s="186"/>
      <c r="X118" s="186"/>
      <c r="Y118" s="186"/>
      <c r="Z118" s="186"/>
      <c r="AA118" s="186"/>
      <c r="AB118" s="186"/>
      <c r="AC118" s="186"/>
      <c r="AD118" s="186"/>
      <c r="AE118" s="186"/>
      <c r="AF118" s="186"/>
      <c r="AG118" s="186"/>
      <c r="AH118" s="186"/>
      <c r="AI118" s="279">
        <f t="shared" ref="AI118:BJ118" si="162">AI96+AI98</f>
        <v>593.85</v>
      </c>
      <c r="AJ118" s="279">
        <f t="shared" si="162"/>
        <v>677.64</v>
      </c>
      <c r="AK118" s="279">
        <f t="shared" si="162"/>
        <v>919.05</v>
      </c>
      <c r="AL118" s="279">
        <f t="shared" si="162"/>
        <v>859.31999999999994</v>
      </c>
      <c r="AM118" s="279">
        <f t="shared" si="162"/>
        <v>804.56</v>
      </c>
      <c r="AN118" s="279">
        <f t="shared" si="162"/>
        <v>625.12</v>
      </c>
      <c r="AO118" s="279">
        <f t="shared" si="162"/>
        <v>770.24</v>
      </c>
      <c r="AP118" s="279">
        <f t="shared" si="162"/>
        <v>814.38</v>
      </c>
      <c r="AQ118" s="279">
        <f t="shared" si="162"/>
        <v>839.61</v>
      </c>
      <c r="AR118" s="279">
        <f t="shared" si="162"/>
        <v>817.34999999999991</v>
      </c>
      <c r="AS118" s="279">
        <f t="shared" si="162"/>
        <v>1075.95</v>
      </c>
      <c r="AT118" s="279">
        <f t="shared" si="162"/>
        <v>1157.75</v>
      </c>
      <c r="AU118" s="279">
        <f t="shared" si="162"/>
        <v>1728.06</v>
      </c>
      <c r="AV118" s="279">
        <f t="shared" si="162"/>
        <v>2063.1</v>
      </c>
      <c r="AW118" s="279">
        <f t="shared" si="162"/>
        <v>2217.48</v>
      </c>
      <c r="AX118" s="279">
        <f t="shared" si="162"/>
        <v>2289.39</v>
      </c>
      <c r="AY118" s="279">
        <f t="shared" si="162"/>
        <v>2250</v>
      </c>
      <c r="AZ118" s="279">
        <f t="shared" si="162"/>
        <v>3100</v>
      </c>
      <c r="BA118" s="279">
        <f t="shared" si="162"/>
        <v>3900</v>
      </c>
      <c r="BB118" s="279">
        <f t="shared" si="162"/>
        <v>4200</v>
      </c>
      <c r="BC118" s="279">
        <f t="shared" si="162"/>
        <v>4200</v>
      </c>
      <c r="BD118" s="279">
        <f t="shared" si="162"/>
        <v>4200</v>
      </c>
      <c r="BE118" s="279">
        <f t="shared" si="162"/>
        <v>4200</v>
      </c>
      <c r="BF118" s="279">
        <f t="shared" si="162"/>
        <v>4200</v>
      </c>
      <c r="BG118" s="279">
        <f t="shared" si="162"/>
        <v>4200</v>
      </c>
      <c r="BH118" s="279">
        <f t="shared" si="162"/>
        <v>4200</v>
      </c>
      <c r="BI118" s="279">
        <f t="shared" si="162"/>
        <v>4200</v>
      </c>
      <c r="BJ118" s="279">
        <f t="shared" si="162"/>
        <v>4200</v>
      </c>
      <c r="BK118" s="21"/>
      <c r="BL118" s="91"/>
      <c r="BM118" s="23">
        <f t="shared" si="102"/>
        <v>112</v>
      </c>
    </row>
    <row r="119" spans="1:65" ht="12.75" hidden="1" customHeight="1" outlineLevel="2">
      <c r="A119" s="118"/>
      <c r="B119" s="125" t="s">
        <v>459</v>
      </c>
      <c r="C119" s="51"/>
      <c r="D119" s="51"/>
      <c r="E119" s="21"/>
      <c r="F119" s="21"/>
      <c r="G119" s="21"/>
      <c r="H119" s="186"/>
      <c r="I119" s="186"/>
      <c r="J119" s="186"/>
      <c r="K119" s="295">
        <f>SUM(INDEX($S119:$BK119,K$5):INDEX($S119:$BK119,K$6))</f>
        <v>3686.1400000000003</v>
      </c>
      <c r="L119" s="295">
        <f>SUM(INDEX($S119:$BK119,L$5):INDEX($S119:$BK119,L$6))</f>
        <v>3066.7</v>
      </c>
      <c r="M119" s="295">
        <f>SUM(INDEX($S119:$BK119,M$5):INDEX($S119:$BK119,M$6))</f>
        <v>2551.34</v>
      </c>
      <c r="N119" s="295">
        <f>SUM(INDEX($S119:$BK119,N$5):INDEX($S119:$BK119,N$6))</f>
        <v>3296.9700000000003</v>
      </c>
      <c r="O119" s="295">
        <f>SUM(INDEX($S119:$BK119,O$5):INDEX($S119:$BK119,O$6))</f>
        <v>3800</v>
      </c>
      <c r="P119" s="295">
        <f>SUM(INDEX($S119:$BK119,P$5):INDEX($S119:$BK119,P$6))</f>
        <v>4000</v>
      </c>
      <c r="Q119" s="295">
        <f>SUM(INDEX($S119:$BK119,Q$5):INDEX($S119:$BK119,Q$6))</f>
        <v>4000</v>
      </c>
      <c r="R119" s="104"/>
      <c r="S119" s="186"/>
      <c r="T119" s="186"/>
      <c r="U119" s="186"/>
      <c r="V119" s="186"/>
      <c r="W119" s="186"/>
      <c r="X119" s="186"/>
      <c r="Y119" s="186"/>
      <c r="Z119" s="186"/>
      <c r="AA119" s="186"/>
      <c r="AB119" s="186"/>
      <c r="AC119" s="186"/>
      <c r="AD119" s="186"/>
      <c r="AE119" s="186"/>
      <c r="AF119" s="186"/>
      <c r="AG119" s="186"/>
      <c r="AH119" s="186"/>
      <c r="AI119" s="279">
        <f t="shared" ref="AI119:BJ119" si="163">AI97</f>
        <v>741.15</v>
      </c>
      <c r="AJ119" s="279">
        <f t="shared" si="163"/>
        <v>830.36</v>
      </c>
      <c r="AK119" s="279">
        <f t="shared" si="163"/>
        <v>975.95</v>
      </c>
      <c r="AL119" s="279">
        <f t="shared" si="163"/>
        <v>1138.68</v>
      </c>
      <c r="AM119" s="279">
        <f t="shared" si="163"/>
        <v>883.44</v>
      </c>
      <c r="AN119" s="279">
        <f t="shared" si="163"/>
        <v>598.88</v>
      </c>
      <c r="AO119" s="279">
        <f t="shared" si="163"/>
        <v>845.76</v>
      </c>
      <c r="AP119" s="279">
        <f t="shared" si="163"/>
        <v>738.62</v>
      </c>
      <c r="AQ119" s="279">
        <f t="shared" si="163"/>
        <v>571.39</v>
      </c>
      <c r="AR119" s="279">
        <f t="shared" si="163"/>
        <v>515.65000000000009</v>
      </c>
      <c r="AS119" s="279">
        <f t="shared" si="163"/>
        <v>541.04999999999995</v>
      </c>
      <c r="AT119" s="279">
        <f t="shared" si="163"/>
        <v>923.25</v>
      </c>
      <c r="AU119" s="279">
        <f t="shared" si="163"/>
        <v>803.94</v>
      </c>
      <c r="AV119" s="279">
        <f t="shared" si="163"/>
        <v>681.90000000000009</v>
      </c>
      <c r="AW119" s="279">
        <f t="shared" si="163"/>
        <v>929.52</v>
      </c>
      <c r="AX119" s="279">
        <f t="shared" si="163"/>
        <v>881.61000000000013</v>
      </c>
      <c r="AY119" s="279">
        <f t="shared" si="163"/>
        <v>900</v>
      </c>
      <c r="AZ119" s="279">
        <f t="shared" si="163"/>
        <v>900</v>
      </c>
      <c r="BA119" s="279">
        <f t="shared" si="163"/>
        <v>1000</v>
      </c>
      <c r="BB119" s="279">
        <f t="shared" si="163"/>
        <v>1000</v>
      </c>
      <c r="BC119" s="279">
        <f t="shared" si="163"/>
        <v>1000</v>
      </c>
      <c r="BD119" s="279">
        <f t="shared" si="163"/>
        <v>1000</v>
      </c>
      <c r="BE119" s="279">
        <f t="shared" si="163"/>
        <v>1000</v>
      </c>
      <c r="BF119" s="279">
        <f t="shared" si="163"/>
        <v>1000</v>
      </c>
      <c r="BG119" s="279">
        <f t="shared" si="163"/>
        <v>1000</v>
      </c>
      <c r="BH119" s="279">
        <f t="shared" si="163"/>
        <v>1000</v>
      </c>
      <c r="BI119" s="279">
        <f t="shared" si="163"/>
        <v>1000</v>
      </c>
      <c r="BJ119" s="279">
        <f t="shared" si="163"/>
        <v>1000</v>
      </c>
      <c r="BK119" s="21"/>
      <c r="BL119" s="91"/>
      <c r="BM119" s="23">
        <f t="shared" si="102"/>
        <v>113</v>
      </c>
    </row>
    <row r="120" spans="1:65" ht="12.75" hidden="1" customHeight="1" outlineLevel="2">
      <c r="A120" s="118"/>
      <c r="B120" s="281" t="s">
        <v>344</v>
      </c>
      <c r="C120" s="72"/>
      <c r="D120" s="72"/>
      <c r="E120" s="76"/>
      <c r="F120" s="76"/>
      <c r="G120" s="76"/>
      <c r="H120" s="187"/>
      <c r="I120" s="187"/>
      <c r="J120" s="272"/>
      <c r="K120" s="296">
        <f>SUM(INDEX($S120:$BK120,K$5):INDEX($S120:$BK120,K$6))</f>
        <v>6736</v>
      </c>
      <c r="L120" s="296">
        <f>SUM(INDEX($S120:$BK120,L$5):INDEX($S120:$BK120,L$6))</f>
        <v>6081</v>
      </c>
      <c r="M120" s="296">
        <f>SUM(INDEX($S120:$BK120,M$5):INDEX($S120:$BK120,M$6))</f>
        <v>6442</v>
      </c>
      <c r="N120" s="296">
        <f>SUM(INDEX($S120:$BK120,N$5):INDEX($S120:$BK120,N$6))</f>
        <v>11595</v>
      </c>
      <c r="O120" s="296">
        <f>SUM(INDEX($S120:$BK120,O$5):INDEX($S120:$BK120,O$6))</f>
        <v>17250</v>
      </c>
      <c r="P120" s="296">
        <f>SUM(INDEX($S120:$BK120,P$5):INDEX($S120:$BK120,P$6))</f>
        <v>20800</v>
      </c>
      <c r="Q120" s="296">
        <f>SUM(INDEX($S120:$BK120,Q$5):INDEX($S120:$BK120,Q$6))</f>
        <v>20800</v>
      </c>
      <c r="R120" s="104"/>
      <c r="S120" s="187"/>
      <c r="T120" s="187"/>
      <c r="U120" s="187"/>
      <c r="V120" s="187"/>
      <c r="W120" s="187"/>
      <c r="X120" s="187"/>
      <c r="Y120" s="187"/>
      <c r="Z120" s="187"/>
      <c r="AA120" s="187"/>
      <c r="AB120" s="187"/>
      <c r="AC120" s="187"/>
      <c r="AD120" s="187"/>
      <c r="AE120" s="187"/>
      <c r="AF120" s="187"/>
      <c r="AG120" s="187"/>
      <c r="AH120" s="187"/>
      <c r="AI120" s="272">
        <f>SUM(AI118:AI119)</f>
        <v>1335</v>
      </c>
      <c r="AJ120" s="272">
        <f t="shared" ref="AJ120:BJ120" si="164">SUM(AJ118:AJ119)</f>
        <v>1508</v>
      </c>
      <c r="AK120" s="272">
        <f t="shared" si="164"/>
        <v>1895</v>
      </c>
      <c r="AL120" s="272">
        <f t="shared" si="164"/>
        <v>1998</v>
      </c>
      <c r="AM120" s="272">
        <f t="shared" si="164"/>
        <v>1688</v>
      </c>
      <c r="AN120" s="272">
        <f t="shared" si="164"/>
        <v>1224</v>
      </c>
      <c r="AO120" s="272">
        <f t="shared" si="164"/>
        <v>1616</v>
      </c>
      <c r="AP120" s="272">
        <f t="shared" si="164"/>
        <v>1553</v>
      </c>
      <c r="AQ120" s="272">
        <f t="shared" si="164"/>
        <v>1411</v>
      </c>
      <c r="AR120" s="272">
        <f t="shared" si="164"/>
        <v>1333</v>
      </c>
      <c r="AS120" s="272">
        <f t="shared" si="164"/>
        <v>1617</v>
      </c>
      <c r="AT120" s="272">
        <f t="shared" si="164"/>
        <v>2081</v>
      </c>
      <c r="AU120" s="272">
        <f t="shared" si="164"/>
        <v>2532</v>
      </c>
      <c r="AV120" s="272">
        <f t="shared" si="164"/>
        <v>2745</v>
      </c>
      <c r="AW120" s="272">
        <f t="shared" si="164"/>
        <v>3147</v>
      </c>
      <c r="AX120" s="272">
        <f t="shared" si="164"/>
        <v>3171</v>
      </c>
      <c r="AY120" s="272">
        <f t="shared" si="164"/>
        <v>3150</v>
      </c>
      <c r="AZ120" s="272">
        <f t="shared" si="164"/>
        <v>4000</v>
      </c>
      <c r="BA120" s="272">
        <f t="shared" si="164"/>
        <v>4900</v>
      </c>
      <c r="BB120" s="272">
        <f t="shared" si="164"/>
        <v>5200</v>
      </c>
      <c r="BC120" s="272">
        <f t="shared" si="164"/>
        <v>5200</v>
      </c>
      <c r="BD120" s="272">
        <f t="shared" si="164"/>
        <v>5200</v>
      </c>
      <c r="BE120" s="272">
        <f t="shared" si="164"/>
        <v>5200</v>
      </c>
      <c r="BF120" s="272">
        <f t="shared" si="164"/>
        <v>5200</v>
      </c>
      <c r="BG120" s="272">
        <f t="shared" si="164"/>
        <v>5200</v>
      </c>
      <c r="BH120" s="272">
        <f t="shared" si="164"/>
        <v>5200</v>
      </c>
      <c r="BI120" s="272">
        <f t="shared" si="164"/>
        <v>5200</v>
      </c>
      <c r="BJ120" s="272">
        <f t="shared" si="164"/>
        <v>5200</v>
      </c>
      <c r="BK120" s="21"/>
      <c r="BL120" s="91"/>
      <c r="BM120" s="23">
        <f t="shared" si="102"/>
        <v>114</v>
      </c>
    </row>
    <row r="121" spans="1:65" ht="12.75" hidden="1" customHeight="1" outlineLevel="2">
      <c r="A121" s="118"/>
      <c r="B121" s="278"/>
      <c r="C121" s="51"/>
      <c r="D121" s="51"/>
      <c r="E121" s="21"/>
      <c r="F121" s="21"/>
      <c r="G121" s="21"/>
      <c r="H121" s="186"/>
      <c r="I121" s="186"/>
      <c r="J121" s="186"/>
      <c r="K121" s="186"/>
      <c r="L121" s="186"/>
      <c r="M121" s="186"/>
      <c r="N121" s="186"/>
      <c r="O121" s="186"/>
      <c r="P121" s="186"/>
      <c r="Q121" s="186"/>
      <c r="R121" s="104"/>
      <c r="S121" s="186"/>
      <c r="T121" s="186"/>
      <c r="U121" s="186"/>
      <c r="V121" s="186"/>
      <c r="W121" s="186"/>
      <c r="X121" s="186"/>
      <c r="Y121" s="186"/>
      <c r="Z121" s="186"/>
      <c r="AA121" s="186"/>
      <c r="AB121" s="186"/>
      <c r="AC121" s="186"/>
      <c r="AD121" s="186"/>
      <c r="AE121" s="186"/>
      <c r="AF121" s="186"/>
      <c r="AG121" s="186"/>
      <c r="AH121" s="186"/>
      <c r="AI121" s="279"/>
      <c r="AJ121" s="279"/>
      <c r="AK121" s="279"/>
      <c r="AL121" s="279"/>
      <c r="AM121" s="279"/>
      <c r="AN121" s="279"/>
      <c r="AO121" s="279"/>
      <c r="AP121" s="279"/>
      <c r="AQ121" s="279"/>
      <c r="AR121" s="279"/>
      <c r="AS121" s="279"/>
      <c r="AT121" s="279"/>
      <c r="AU121" s="279"/>
      <c r="AV121" s="279"/>
      <c r="AW121" s="279"/>
      <c r="AX121" s="279"/>
      <c r="AY121" s="279"/>
      <c r="AZ121" s="279"/>
      <c r="BA121" s="279"/>
      <c r="BB121" s="279"/>
      <c r="BC121" s="279"/>
      <c r="BD121" s="279"/>
      <c r="BE121" s="279"/>
      <c r="BF121" s="279"/>
      <c r="BG121" s="279"/>
      <c r="BH121" s="279"/>
      <c r="BI121" s="279"/>
      <c r="BJ121" s="279"/>
      <c r="BK121" s="21"/>
      <c r="BL121" s="91"/>
      <c r="BM121" s="23">
        <f t="shared" si="102"/>
        <v>115</v>
      </c>
    </row>
    <row r="122" spans="1:65" ht="12.75" hidden="1" customHeight="1" outlineLevel="2">
      <c r="A122" s="118"/>
      <c r="B122" s="269" t="s">
        <v>465</v>
      </c>
      <c r="C122" s="51"/>
      <c r="D122" s="51"/>
      <c r="E122" s="21"/>
      <c r="F122" s="21"/>
      <c r="G122" s="21"/>
      <c r="H122" s="186"/>
      <c r="I122" s="186"/>
      <c r="J122" s="186"/>
      <c r="K122" s="186"/>
      <c r="L122" s="186"/>
      <c r="M122" s="186"/>
      <c r="N122" s="186"/>
      <c r="O122" s="186"/>
      <c r="P122" s="186"/>
      <c r="Q122" s="186"/>
      <c r="R122" s="104"/>
      <c r="S122" s="186"/>
      <c r="T122" s="186"/>
      <c r="U122" s="186"/>
      <c r="V122" s="186"/>
      <c r="W122" s="186"/>
      <c r="X122" s="186"/>
      <c r="Y122" s="186"/>
      <c r="Z122" s="186"/>
      <c r="AA122" s="186"/>
      <c r="AB122" s="186"/>
      <c r="AC122" s="186"/>
      <c r="AD122" s="186"/>
      <c r="AE122" s="186"/>
      <c r="AF122" s="186"/>
      <c r="AG122" s="186"/>
      <c r="AH122" s="186"/>
      <c r="AI122" s="279"/>
      <c r="AJ122" s="279"/>
      <c r="AK122" s="279"/>
      <c r="AL122" s="279"/>
      <c r="AM122" s="279"/>
      <c r="AN122" s="279"/>
      <c r="AO122" s="279"/>
      <c r="AP122" s="279"/>
      <c r="AQ122" s="279"/>
      <c r="AR122" s="279"/>
      <c r="AS122" s="279"/>
      <c r="AT122" s="279"/>
      <c r="AU122" s="279"/>
      <c r="AV122" s="279"/>
      <c r="AW122" s="279"/>
      <c r="AX122" s="279"/>
      <c r="AY122" s="279"/>
      <c r="AZ122" s="279"/>
      <c r="BA122" s="279"/>
      <c r="BB122" s="279"/>
      <c r="BC122" s="279"/>
      <c r="BD122" s="279"/>
      <c r="BE122" s="279"/>
      <c r="BF122" s="279"/>
      <c r="BG122" s="279"/>
      <c r="BH122" s="279"/>
      <c r="BI122" s="279"/>
      <c r="BJ122" s="279"/>
      <c r="BK122" s="21"/>
      <c r="BL122" s="91"/>
      <c r="BM122" s="23">
        <f t="shared" si="102"/>
        <v>116</v>
      </c>
    </row>
    <row r="123" spans="1:65" ht="12.75" hidden="1" customHeight="1" outlineLevel="2">
      <c r="A123" s="118"/>
      <c r="B123" s="125" t="s">
        <v>466</v>
      </c>
      <c r="C123" s="51"/>
      <c r="D123" s="51"/>
      <c r="E123" s="21"/>
      <c r="F123" s="21"/>
      <c r="G123" s="21"/>
      <c r="H123" s="186"/>
      <c r="I123" s="186"/>
      <c r="J123" s="182"/>
      <c r="K123" s="182">
        <f>SUM(INDEX($S123:$BK123,K$5):INDEX($S123:$BK123,K$6))</f>
        <v>101.03999999999999</v>
      </c>
      <c r="L123" s="182">
        <f>SUM(INDEX($S123:$BK123,L$5):INDEX($S123:$BK123,L$6))</f>
        <v>91.215000000000003</v>
      </c>
      <c r="M123" s="182">
        <f>SUM(INDEX($S123:$BK123,M$5):INDEX($S123:$BK123,M$6))</f>
        <v>96.63</v>
      </c>
      <c r="N123" s="182">
        <f>SUM(INDEX($S123:$BK123,N$5):INDEX($S123:$BK123,N$6))</f>
        <v>173.92500000000001</v>
      </c>
      <c r="O123" s="190">
        <f>SUM(INDEX($S123:$BK123,O$5):INDEX($S123:$BK123,O$6))</f>
        <v>258.75</v>
      </c>
      <c r="P123" s="182">
        <f>SUM(INDEX($S123:$BK123,P$5):INDEX($S123:$BK123,P$6))</f>
        <v>312</v>
      </c>
      <c r="Q123" s="182">
        <f>SUM(INDEX($S123:$BK123,Q$5):INDEX($S123:$BK123,Q$6))</f>
        <v>312</v>
      </c>
      <c r="R123" s="104"/>
      <c r="S123" s="186"/>
      <c r="T123" s="186"/>
      <c r="U123" s="186"/>
      <c r="V123" s="186"/>
      <c r="W123" s="186"/>
      <c r="X123" s="186"/>
      <c r="Y123" s="186"/>
      <c r="Z123" s="186"/>
      <c r="AA123" s="186"/>
      <c r="AB123" s="186"/>
      <c r="AC123" s="186"/>
      <c r="AD123" s="186"/>
      <c r="AE123" s="186"/>
      <c r="AF123" s="186"/>
      <c r="AG123" s="186"/>
      <c r="AH123" s="186"/>
      <c r="AI123" s="229">
        <f>15*AI120/1000</f>
        <v>20.024999999999999</v>
      </c>
      <c r="AJ123" s="229">
        <f>15*AJ120/1000</f>
        <v>22.62</v>
      </c>
      <c r="AK123" s="229">
        <f t="shared" ref="AK123:BJ123" si="165">15*AK120/1000</f>
        <v>28.425000000000001</v>
      </c>
      <c r="AL123" s="229">
        <f t="shared" si="165"/>
        <v>29.97</v>
      </c>
      <c r="AM123" s="229">
        <f t="shared" si="165"/>
        <v>25.32</v>
      </c>
      <c r="AN123" s="229">
        <f t="shared" si="165"/>
        <v>18.36</v>
      </c>
      <c r="AO123" s="229">
        <f t="shared" si="165"/>
        <v>24.24</v>
      </c>
      <c r="AP123" s="229">
        <f t="shared" si="165"/>
        <v>23.295000000000002</v>
      </c>
      <c r="AQ123" s="229">
        <f t="shared" si="165"/>
        <v>21.164999999999999</v>
      </c>
      <c r="AR123" s="229">
        <f t="shared" si="165"/>
        <v>19.995000000000001</v>
      </c>
      <c r="AS123" s="229">
        <f t="shared" si="165"/>
        <v>24.254999999999999</v>
      </c>
      <c r="AT123" s="229">
        <f t="shared" si="165"/>
        <v>31.215</v>
      </c>
      <c r="AU123" s="229">
        <f t="shared" si="165"/>
        <v>37.979999999999997</v>
      </c>
      <c r="AV123" s="229">
        <f t="shared" si="165"/>
        <v>41.174999999999997</v>
      </c>
      <c r="AW123" s="229">
        <f t="shared" si="165"/>
        <v>47.204999999999998</v>
      </c>
      <c r="AX123" s="229">
        <f t="shared" si="165"/>
        <v>47.564999999999998</v>
      </c>
      <c r="AY123" s="229">
        <f t="shared" si="165"/>
        <v>47.25</v>
      </c>
      <c r="AZ123" s="229">
        <f t="shared" si="165"/>
        <v>60</v>
      </c>
      <c r="BA123" s="229">
        <f t="shared" si="165"/>
        <v>73.5</v>
      </c>
      <c r="BB123" s="229">
        <f t="shared" si="165"/>
        <v>78</v>
      </c>
      <c r="BC123" s="229">
        <f t="shared" si="165"/>
        <v>78</v>
      </c>
      <c r="BD123" s="229">
        <f t="shared" si="165"/>
        <v>78</v>
      </c>
      <c r="BE123" s="229">
        <f t="shared" si="165"/>
        <v>78</v>
      </c>
      <c r="BF123" s="229">
        <f t="shared" si="165"/>
        <v>78</v>
      </c>
      <c r="BG123" s="229">
        <f t="shared" si="165"/>
        <v>78</v>
      </c>
      <c r="BH123" s="229">
        <f t="shared" si="165"/>
        <v>78</v>
      </c>
      <c r="BI123" s="229">
        <f t="shared" si="165"/>
        <v>78</v>
      </c>
      <c r="BJ123" s="229">
        <f t="shared" si="165"/>
        <v>78</v>
      </c>
      <c r="BK123" s="21"/>
      <c r="BL123" s="91"/>
      <c r="BM123" s="23">
        <f t="shared" si="102"/>
        <v>117</v>
      </c>
    </row>
    <row r="124" spans="1:65" ht="12.75" hidden="1" customHeight="1" outlineLevel="2">
      <c r="A124" s="118"/>
      <c r="B124" s="125" t="s">
        <v>467</v>
      </c>
      <c r="C124" s="51"/>
      <c r="D124" s="51"/>
      <c r="E124" s="21"/>
      <c r="F124" s="21"/>
      <c r="G124" s="21"/>
      <c r="H124" s="186"/>
      <c r="I124" s="186"/>
      <c r="J124" s="186"/>
      <c r="K124" s="186">
        <f>SUM(INDEX($S124:$BK124,K$5):INDEX($S124:$BK124,K$6))</f>
        <v>221.16840000000002</v>
      </c>
      <c r="L124" s="186">
        <f>SUM(INDEX($S124:$BK124,L$5):INDEX($S124:$BK124,L$6))</f>
        <v>184.00200000000001</v>
      </c>
      <c r="M124" s="186">
        <f>SUM(INDEX($S124:$BK124,M$5):INDEX($S124:$BK124,M$6))</f>
        <v>153.0804</v>
      </c>
      <c r="N124" s="186">
        <f>SUM(INDEX($S124:$BK124,N$5):INDEX($S124:$BK124,N$6))</f>
        <v>197.81820000000002</v>
      </c>
      <c r="O124" s="186">
        <f>SUM(INDEX($S124:$BK124,O$5):INDEX($S124:$BK124,O$6))</f>
        <v>228</v>
      </c>
      <c r="P124" s="186">
        <f>SUM(INDEX($S124:$BK124,P$5):INDEX($S124:$BK124,P$6))</f>
        <v>240</v>
      </c>
      <c r="Q124" s="186">
        <f>SUM(INDEX($S124:$BK124,Q$5):INDEX($S124:$BK124,Q$6))</f>
        <v>240</v>
      </c>
      <c r="R124" s="104"/>
      <c r="S124" s="186"/>
      <c r="T124" s="186"/>
      <c r="U124" s="186"/>
      <c r="V124" s="186"/>
      <c r="W124" s="186"/>
      <c r="X124" s="186"/>
      <c r="Y124" s="186"/>
      <c r="Z124" s="186"/>
      <c r="AA124" s="186"/>
      <c r="AB124" s="186"/>
      <c r="AC124" s="186"/>
      <c r="AD124" s="186"/>
      <c r="AE124" s="186"/>
      <c r="AF124" s="186"/>
      <c r="AG124" s="186"/>
      <c r="AH124" s="186"/>
      <c r="AI124" s="191">
        <f>60*AI119/1000</f>
        <v>44.469000000000001</v>
      </c>
      <c r="AJ124" s="191">
        <f>60*AJ119/1000</f>
        <v>49.821599999999997</v>
      </c>
      <c r="AK124" s="191">
        <f t="shared" ref="AK124:BJ124" si="166">60*AK119/1000</f>
        <v>58.557000000000002</v>
      </c>
      <c r="AL124" s="191">
        <f t="shared" si="166"/>
        <v>68.320800000000006</v>
      </c>
      <c r="AM124" s="191">
        <f t="shared" si="166"/>
        <v>53.006399999999999</v>
      </c>
      <c r="AN124" s="191">
        <f t="shared" si="166"/>
        <v>35.9328</v>
      </c>
      <c r="AO124" s="191">
        <f t="shared" si="166"/>
        <v>50.745599999999996</v>
      </c>
      <c r="AP124" s="191">
        <f t="shared" si="166"/>
        <v>44.3172</v>
      </c>
      <c r="AQ124" s="191">
        <f t="shared" si="166"/>
        <v>34.2834</v>
      </c>
      <c r="AR124" s="191">
        <f t="shared" si="166"/>
        <v>30.939000000000007</v>
      </c>
      <c r="AS124" s="191">
        <f t="shared" si="166"/>
        <v>32.462999999999994</v>
      </c>
      <c r="AT124" s="191">
        <f t="shared" si="166"/>
        <v>55.395000000000003</v>
      </c>
      <c r="AU124" s="191">
        <f t="shared" si="166"/>
        <v>48.236400000000003</v>
      </c>
      <c r="AV124" s="191">
        <f t="shared" si="166"/>
        <v>40.914000000000009</v>
      </c>
      <c r="AW124" s="191">
        <f t="shared" si="166"/>
        <v>55.7712</v>
      </c>
      <c r="AX124" s="191">
        <f t="shared" si="166"/>
        <v>52.896600000000007</v>
      </c>
      <c r="AY124" s="191">
        <f t="shared" si="166"/>
        <v>54</v>
      </c>
      <c r="AZ124" s="191">
        <f t="shared" si="166"/>
        <v>54</v>
      </c>
      <c r="BA124" s="191">
        <f t="shared" si="166"/>
        <v>60</v>
      </c>
      <c r="BB124" s="191">
        <f t="shared" si="166"/>
        <v>60</v>
      </c>
      <c r="BC124" s="191">
        <f t="shared" si="166"/>
        <v>60</v>
      </c>
      <c r="BD124" s="191">
        <f t="shared" si="166"/>
        <v>60</v>
      </c>
      <c r="BE124" s="191">
        <f t="shared" si="166"/>
        <v>60</v>
      </c>
      <c r="BF124" s="191">
        <f t="shared" si="166"/>
        <v>60</v>
      </c>
      <c r="BG124" s="191">
        <f t="shared" si="166"/>
        <v>60</v>
      </c>
      <c r="BH124" s="191">
        <f t="shared" si="166"/>
        <v>60</v>
      </c>
      <c r="BI124" s="191">
        <f t="shared" si="166"/>
        <v>60</v>
      </c>
      <c r="BJ124" s="191">
        <f t="shared" si="166"/>
        <v>60</v>
      </c>
      <c r="BK124" s="21"/>
      <c r="BL124" s="91"/>
      <c r="BM124" s="23">
        <f t="shared" si="102"/>
        <v>118</v>
      </c>
    </row>
    <row r="125" spans="1:65" ht="12.75" hidden="1" customHeight="1" outlineLevel="2">
      <c r="A125" s="118"/>
      <c r="B125" s="125" t="s">
        <v>407</v>
      </c>
      <c r="C125" s="51"/>
      <c r="D125" s="51"/>
      <c r="E125" s="21"/>
      <c r="F125" s="21"/>
      <c r="G125" s="21"/>
      <c r="H125" s="186"/>
      <c r="I125" s="186"/>
      <c r="J125" s="186"/>
      <c r="K125" s="186">
        <f>SUM(INDEX($S125:$BK125,K$5):INDEX($S125:$BK125,K$6))</f>
        <v>32.6</v>
      </c>
      <c r="L125" s="186">
        <f>SUM(INDEX($S125:$BK125,L$5):INDEX($S125:$BK125,L$6))</f>
        <v>47.2</v>
      </c>
      <c r="M125" s="186">
        <f>SUM(INDEX($S125:$BK125,M$5):INDEX($S125:$BK125,M$6))</f>
        <v>50.151000000000003</v>
      </c>
      <c r="N125" s="186">
        <f>SUM(INDEX($S125:$BK125,N$5):INDEX($S125:$BK125,N$6))</f>
        <v>68.300000000000011</v>
      </c>
      <c r="O125" s="186">
        <f>SUM(INDEX($S125:$BK125,O$5):INDEX($S125:$BK125,O$6))</f>
        <v>69.891999999999996</v>
      </c>
      <c r="P125" s="186">
        <f>SUM(INDEX($S125:$BK125,P$5):INDEX($S125:$BK125,P$6))</f>
        <v>69.891999999999996</v>
      </c>
      <c r="Q125" s="186">
        <f>SUM(INDEX($S125:$BK125,Q$5):INDEX($S125:$BK125,Q$6))</f>
        <v>69.891999999999996</v>
      </c>
      <c r="R125" s="104"/>
      <c r="S125" s="186"/>
      <c r="T125" s="186"/>
      <c r="U125" s="186"/>
      <c r="V125" s="186"/>
      <c r="W125" s="186"/>
      <c r="X125" s="186"/>
      <c r="Y125" s="186"/>
      <c r="Z125" s="186"/>
      <c r="AA125" s="186"/>
      <c r="AB125" s="186"/>
      <c r="AC125" s="186"/>
      <c r="AD125" s="186"/>
      <c r="AE125" s="186"/>
      <c r="AF125" s="186"/>
      <c r="AG125" s="186"/>
      <c r="AH125" s="186"/>
      <c r="AI125" s="191">
        <f>AI367</f>
        <v>7.1</v>
      </c>
      <c r="AJ125" s="191">
        <f>AJ367</f>
        <v>8.1999999999999993</v>
      </c>
      <c r="AK125" s="191">
        <f t="shared" ref="AK125:BB125" si="167">AK367</f>
        <v>8.1</v>
      </c>
      <c r="AL125" s="191">
        <f t="shared" si="167"/>
        <v>9.2000000000000011</v>
      </c>
      <c r="AM125" s="191">
        <f t="shared" si="167"/>
        <v>10</v>
      </c>
      <c r="AN125" s="191">
        <f t="shared" si="167"/>
        <v>11.7</v>
      </c>
      <c r="AO125" s="191">
        <f t="shared" si="167"/>
        <v>13.2</v>
      </c>
      <c r="AP125" s="191">
        <f t="shared" si="167"/>
        <v>12.3</v>
      </c>
      <c r="AQ125" s="191">
        <f t="shared" si="167"/>
        <v>12.9</v>
      </c>
      <c r="AR125" s="191">
        <f t="shared" si="167"/>
        <v>12.2</v>
      </c>
      <c r="AS125" s="191">
        <f t="shared" si="167"/>
        <v>12.6</v>
      </c>
      <c r="AT125" s="191">
        <f t="shared" si="167"/>
        <v>12.451000000000001</v>
      </c>
      <c r="AU125" s="191">
        <f t="shared" si="167"/>
        <v>15.4</v>
      </c>
      <c r="AV125" s="191">
        <f t="shared" si="167"/>
        <v>15.8</v>
      </c>
      <c r="AW125" s="191">
        <f t="shared" si="167"/>
        <v>16.7</v>
      </c>
      <c r="AX125" s="191">
        <f t="shared" si="167"/>
        <v>20.399999999999999</v>
      </c>
      <c r="AY125" s="191">
        <f t="shared" si="167"/>
        <v>17.472999999999999</v>
      </c>
      <c r="AZ125" s="191">
        <f t="shared" si="167"/>
        <v>17.472999999999999</v>
      </c>
      <c r="BA125" s="191">
        <f t="shared" si="167"/>
        <v>17.472999999999999</v>
      </c>
      <c r="BB125" s="191">
        <f t="shared" si="167"/>
        <v>17.472999999999999</v>
      </c>
      <c r="BC125" s="244">
        <f t="shared" ref="BC125:BJ125" si="168">BB125</f>
        <v>17.472999999999999</v>
      </c>
      <c r="BD125" s="244">
        <f t="shared" si="168"/>
        <v>17.472999999999999</v>
      </c>
      <c r="BE125" s="244">
        <f t="shared" si="168"/>
        <v>17.472999999999999</v>
      </c>
      <c r="BF125" s="244">
        <f t="shared" si="168"/>
        <v>17.472999999999999</v>
      </c>
      <c r="BG125" s="244">
        <f t="shared" si="168"/>
        <v>17.472999999999999</v>
      </c>
      <c r="BH125" s="244">
        <f t="shared" si="168"/>
        <v>17.472999999999999</v>
      </c>
      <c r="BI125" s="244">
        <f t="shared" si="168"/>
        <v>17.472999999999999</v>
      </c>
      <c r="BJ125" s="244">
        <f t="shared" si="168"/>
        <v>17.472999999999999</v>
      </c>
      <c r="BK125" s="21"/>
      <c r="BL125" s="91"/>
      <c r="BM125" s="23">
        <f t="shared" si="102"/>
        <v>119</v>
      </c>
    </row>
    <row r="126" spans="1:65" ht="12.75" hidden="1" customHeight="1" outlineLevel="2">
      <c r="A126" s="118"/>
      <c r="B126" s="125" t="s">
        <v>47</v>
      </c>
      <c r="C126" s="51"/>
      <c r="D126" s="51"/>
      <c r="E126" s="21"/>
      <c r="F126" s="21"/>
      <c r="G126" s="21"/>
      <c r="H126" s="186"/>
      <c r="I126" s="186"/>
      <c r="J126" s="186"/>
      <c r="K126" s="186">
        <f>SUM(INDEX($S126:$BK126,K$5):INDEX($S126:$BK126,K$6))</f>
        <v>51.824600000000004</v>
      </c>
      <c r="L126" s="186">
        <f>SUM(INDEX($S126:$BK126,L$5):INDEX($S126:$BK126,L$6))</f>
        <v>19.090999999999987</v>
      </c>
      <c r="M126" s="186">
        <f>SUM(INDEX($S126:$BK126,M$5):INDEX($S126:$BK126,M$6))</f>
        <v>27.580160543224622</v>
      </c>
      <c r="N126" s="186">
        <f>SUM(INDEX($S126:$BK126,N$5):INDEX($S126:$BK126,N$6))</f>
        <v>131.14680000000004</v>
      </c>
      <c r="O126" s="186">
        <f>SUM(INDEX($S126:$BK126,O$5):INDEX($S126:$BK126,O$6))</f>
        <v>213</v>
      </c>
      <c r="P126" s="186">
        <f>SUM(INDEX($S126:$BK126,P$5):INDEX($S126:$BK126,P$6))</f>
        <v>240</v>
      </c>
      <c r="Q126" s="186">
        <f>SUM(INDEX($S126:$BK126,Q$5):INDEX($S126:$BK126,Q$6))</f>
        <v>240</v>
      </c>
      <c r="R126" s="104"/>
      <c r="S126" s="186"/>
      <c r="T126" s="186"/>
      <c r="U126" s="186"/>
      <c r="V126" s="186"/>
      <c r="W126" s="186"/>
      <c r="X126" s="186"/>
      <c r="Y126" s="186"/>
      <c r="Z126" s="186"/>
      <c r="AA126" s="186"/>
      <c r="AB126" s="186"/>
      <c r="AC126" s="186"/>
      <c r="AD126" s="186"/>
      <c r="AE126" s="186"/>
      <c r="AF126" s="186"/>
      <c r="AG126" s="186"/>
      <c r="AH126" s="186"/>
      <c r="AI126" s="191">
        <f>+AI127-AI124-AI123-AI125</f>
        <v>17.362000000000002</v>
      </c>
      <c r="AJ126" s="191">
        <f>+AJ127-AJ124-AJ123-AJ125</f>
        <v>11.62939999999999</v>
      </c>
      <c r="AK126" s="191">
        <f t="shared" ref="AK126:AX126" si="169">+AK127-AK124-AK123-AK125</f>
        <v>14.700000000000008</v>
      </c>
      <c r="AL126" s="191">
        <f t="shared" si="169"/>
        <v>8.133200000000004</v>
      </c>
      <c r="AM126" s="191">
        <f t="shared" si="169"/>
        <v>8.2315999999999931</v>
      </c>
      <c r="AN126" s="191">
        <f t="shared" si="169"/>
        <v>11.6052</v>
      </c>
      <c r="AO126" s="191">
        <f t="shared" si="169"/>
        <v>-2.7195999999999998</v>
      </c>
      <c r="AP126" s="191">
        <f t="shared" si="169"/>
        <v>1.9737999999999936</v>
      </c>
      <c r="AQ126" s="191">
        <f t="shared" si="169"/>
        <v>4.665599999999996</v>
      </c>
      <c r="AR126" s="191">
        <f t="shared" si="169"/>
        <v>7.786999999999999</v>
      </c>
      <c r="AS126" s="191">
        <f t="shared" si="169"/>
        <v>14.691325249106987</v>
      </c>
      <c r="AT126" s="191">
        <f t="shared" si="169"/>
        <v>0.43623529411764039</v>
      </c>
      <c r="AU126" s="191">
        <f t="shared" si="169"/>
        <v>27.663600000000002</v>
      </c>
      <c r="AV126" s="191">
        <f t="shared" si="169"/>
        <v>32.520999999999987</v>
      </c>
      <c r="AW126" s="191">
        <f t="shared" si="169"/>
        <v>31.787800000000065</v>
      </c>
      <c r="AX126" s="191">
        <f t="shared" si="169"/>
        <v>39.174399999999999</v>
      </c>
      <c r="AY126" s="282">
        <v>48</v>
      </c>
      <c r="AZ126" s="282">
        <v>50</v>
      </c>
      <c r="BA126" s="282">
        <v>55</v>
      </c>
      <c r="BB126" s="282">
        <v>60</v>
      </c>
      <c r="BC126" s="282">
        <f t="shared" ref="BC126:BJ126" si="170">BB126</f>
        <v>60</v>
      </c>
      <c r="BD126" s="282">
        <f t="shared" si="170"/>
        <v>60</v>
      </c>
      <c r="BE126" s="282">
        <f t="shared" si="170"/>
        <v>60</v>
      </c>
      <c r="BF126" s="282">
        <f t="shared" si="170"/>
        <v>60</v>
      </c>
      <c r="BG126" s="282">
        <f t="shared" si="170"/>
        <v>60</v>
      </c>
      <c r="BH126" s="282">
        <f t="shared" si="170"/>
        <v>60</v>
      </c>
      <c r="BI126" s="282">
        <f t="shared" si="170"/>
        <v>60</v>
      </c>
      <c r="BJ126" s="282">
        <f t="shared" si="170"/>
        <v>60</v>
      </c>
      <c r="BK126" s="21"/>
      <c r="BL126" s="91"/>
      <c r="BM126" s="23">
        <f t="shared" si="102"/>
        <v>120</v>
      </c>
    </row>
    <row r="127" spans="1:65" ht="12.75" hidden="1" customHeight="1" outlineLevel="2">
      <c r="A127" s="118"/>
      <c r="B127" s="281" t="s">
        <v>464</v>
      </c>
      <c r="C127" s="72"/>
      <c r="D127" s="72"/>
      <c r="E127" s="76"/>
      <c r="F127" s="76"/>
      <c r="G127" s="76"/>
      <c r="H127" s="187"/>
      <c r="I127" s="187"/>
      <c r="J127" s="216"/>
      <c r="K127" s="216">
        <f t="shared" ref="K127:Q127" si="171">K74</f>
        <v>406.63299999999998</v>
      </c>
      <c r="L127" s="216">
        <f t="shared" si="171"/>
        <v>341.50800000000004</v>
      </c>
      <c r="M127" s="216">
        <f t="shared" si="171"/>
        <v>327.44156054322457</v>
      </c>
      <c r="N127" s="216">
        <f t="shared" si="171"/>
        <v>571.19000000000005</v>
      </c>
      <c r="O127" s="216">
        <f t="shared" si="171"/>
        <v>763.40705000000003</v>
      </c>
      <c r="P127" s="216">
        <f t="shared" si="171"/>
        <v>861.89200000000005</v>
      </c>
      <c r="Q127" s="216">
        <f t="shared" si="171"/>
        <v>861.89200000000005</v>
      </c>
      <c r="R127" s="104"/>
      <c r="S127" s="187"/>
      <c r="T127" s="187"/>
      <c r="U127" s="187"/>
      <c r="V127" s="187"/>
      <c r="W127" s="187"/>
      <c r="X127" s="187"/>
      <c r="Y127" s="187"/>
      <c r="Z127" s="187"/>
      <c r="AA127" s="187"/>
      <c r="AB127" s="187"/>
      <c r="AC127" s="187"/>
      <c r="AD127" s="187"/>
      <c r="AE127" s="187"/>
      <c r="AF127" s="187"/>
      <c r="AG127" s="187"/>
      <c r="AH127" s="187"/>
      <c r="AI127" s="216">
        <f t="shared" ref="AI127:AX127" si="172">AI74</f>
        <v>88.956000000000003</v>
      </c>
      <c r="AJ127" s="216">
        <f t="shared" si="172"/>
        <v>92.270999999999987</v>
      </c>
      <c r="AK127" s="216">
        <f t="shared" si="172"/>
        <v>109.78200000000001</v>
      </c>
      <c r="AL127" s="216">
        <f t="shared" si="172"/>
        <v>115.62400000000001</v>
      </c>
      <c r="AM127" s="216">
        <f t="shared" si="172"/>
        <v>96.557999999999993</v>
      </c>
      <c r="AN127" s="216">
        <f t="shared" si="172"/>
        <v>77.597999999999999</v>
      </c>
      <c r="AO127" s="216">
        <f t="shared" si="172"/>
        <v>85.465999999999994</v>
      </c>
      <c r="AP127" s="216">
        <f t="shared" si="172"/>
        <v>81.885999999999996</v>
      </c>
      <c r="AQ127" s="216">
        <f t="shared" si="172"/>
        <v>73.013999999999996</v>
      </c>
      <c r="AR127" s="216">
        <f t="shared" si="172"/>
        <v>70.921000000000006</v>
      </c>
      <c r="AS127" s="216">
        <f t="shared" si="172"/>
        <v>84.009325249106979</v>
      </c>
      <c r="AT127" s="216">
        <f t="shared" si="172"/>
        <v>99.497235294117644</v>
      </c>
      <c r="AU127" s="216">
        <f t="shared" si="172"/>
        <v>129.28</v>
      </c>
      <c r="AV127" s="216">
        <f t="shared" si="172"/>
        <v>130.41</v>
      </c>
      <c r="AW127" s="216">
        <f t="shared" si="172"/>
        <v>151.46400000000006</v>
      </c>
      <c r="AX127" s="216">
        <f t="shared" si="172"/>
        <v>160.036</v>
      </c>
      <c r="AY127" s="216">
        <f>SUM(AY123:AY126)</f>
        <v>166.72300000000001</v>
      </c>
      <c r="AZ127" s="216">
        <f t="shared" ref="AZ127:BJ127" si="173">SUM(AZ123:AZ126)</f>
        <v>181.47300000000001</v>
      </c>
      <c r="BA127" s="216">
        <f t="shared" si="173"/>
        <v>205.97300000000001</v>
      </c>
      <c r="BB127" s="216">
        <f t="shared" si="173"/>
        <v>215.47300000000001</v>
      </c>
      <c r="BC127" s="216">
        <f t="shared" si="173"/>
        <v>215.47300000000001</v>
      </c>
      <c r="BD127" s="216">
        <f t="shared" si="173"/>
        <v>215.47300000000001</v>
      </c>
      <c r="BE127" s="216">
        <f t="shared" si="173"/>
        <v>215.47300000000001</v>
      </c>
      <c r="BF127" s="216">
        <f t="shared" si="173"/>
        <v>215.47300000000001</v>
      </c>
      <c r="BG127" s="216">
        <f t="shared" si="173"/>
        <v>215.47300000000001</v>
      </c>
      <c r="BH127" s="216">
        <f t="shared" si="173"/>
        <v>215.47300000000001</v>
      </c>
      <c r="BI127" s="216">
        <f t="shared" si="173"/>
        <v>215.47300000000001</v>
      </c>
      <c r="BJ127" s="216">
        <f t="shared" si="173"/>
        <v>215.47300000000001</v>
      </c>
      <c r="BK127" s="21"/>
      <c r="BL127" s="91"/>
      <c r="BM127" s="23">
        <f t="shared" si="102"/>
        <v>121</v>
      </c>
    </row>
    <row r="128" spans="1:65" ht="12.75" hidden="1" customHeight="1" outlineLevel="2">
      <c r="A128" s="118"/>
      <c r="B128" s="280" t="s">
        <v>463</v>
      </c>
      <c r="C128" s="51"/>
      <c r="D128" s="51"/>
      <c r="E128" s="21"/>
      <c r="F128" s="21"/>
      <c r="G128" s="21"/>
      <c r="H128" s="186"/>
      <c r="I128" s="186"/>
      <c r="J128" s="186"/>
      <c r="K128" s="186"/>
      <c r="L128" s="186"/>
      <c r="M128" s="186"/>
      <c r="N128" s="186"/>
      <c r="O128" s="186"/>
      <c r="P128" s="186"/>
      <c r="Q128" s="186"/>
      <c r="R128" s="104"/>
      <c r="S128" s="186"/>
      <c r="T128" s="186"/>
      <c r="U128" s="186"/>
      <c r="V128" s="186"/>
      <c r="W128" s="186"/>
      <c r="X128" s="186"/>
      <c r="Y128" s="186"/>
      <c r="Z128" s="186"/>
      <c r="AA128" s="186"/>
      <c r="AB128" s="186"/>
      <c r="AC128" s="186"/>
      <c r="AD128" s="186"/>
      <c r="AE128" s="186"/>
      <c r="AF128" s="186"/>
      <c r="AG128" s="186"/>
      <c r="AH128" s="186"/>
      <c r="AI128" s="191">
        <f>AI127/AI120*1000</f>
        <v>66.633707865168546</v>
      </c>
      <c r="AJ128" s="191">
        <f t="shared" ref="AJ128:BJ128" si="174">AJ127/AJ120*1000</f>
        <v>61.187665782493355</v>
      </c>
      <c r="AK128" s="191">
        <f t="shared" si="174"/>
        <v>57.932453825857522</v>
      </c>
      <c r="AL128" s="191">
        <f t="shared" si="174"/>
        <v>57.869869869869873</v>
      </c>
      <c r="AM128" s="191">
        <f t="shared" si="174"/>
        <v>57.202606635071092</v>
      </c>
      <c r="AN128" s="191">
        <f t="shared" si="174"/>
        <v>63.39705882352942</v>
      </c>
      <c r="AO128" s="191">
        <f t="shared" si="174"/>
        <v>52.887376237623762</v>
      </c>
      <c r="AP128" s="191">
        <f t="shared" si="174"/>
        <v>52.727623953638115</v>
      </c>
      <c r="AQ128" s="191">
        <f t="shared" si="174"/>
        <v>51.746279234585401</v>
      </c>
      <c r="AR128" s="191">
        <f t="shared" si="174"/>
        <v>53.204051012753197</v>
      </c>
      <c r="AS128" s="191">
        <f t="shared" si="174"/>
        <v>51.953818954302399</v>
      </c>
      <c r="AT128" s="191">
        <f t="shared" si="174"/>
        <v>47.812222630522655</v>
      </c>
      <c r="AU128" s="191">
        <f t="shared" si="174"/>
        <v>51.058451816745652</v>
      </c>
      <c r="AV128" s="191">
        <f t="shared" si="174"/>
        <v>47.508196721311471</v>
      </c>
      <c r="AW128" s="191">
        <f t="shared" si="174"/>
        <v>48.129647283126808</v>
      </c>
      <c r="AX128" s="191">
        <f t="shared" si="174"/>
        <v>50.468621885840427</v>
      </c>
      <c r="AY128" s="191">
        <f t="shared" si="174"/>
        <v>52.927936507936515</v>
      </c>
      <c r="AZ128" s="191">
        <f t="shared" si="174"/>
        <v>45.368250000000003</v>
      </c>
      <c r="BA128" s="191">
        <f t="shared" si="174"/>
        <v>42.035306122448986</v>
      </c>
      <c r="BB128" s="191">
        <f t="shared" si="174"/>
        <v>41.437115384615382</v>
      </c>
      <c r="BC128" s="191">
        <f t="shared" si="174"/>
        <v>41.437115384615382</v>
      </c>
      <c r="BD128" s="191">
        <f t="shared" si="174"/>
        <v>41.437115384615382</v>
      </c>
      <c r="BE128" s="191">
        <f t="shared" si="174"/>
        <v>41.437115384615382</v>
      </c>
      <c r="BF128" s="191">
        <f t="shared" si="174"/>
        <v>41.437115384615382</v>
      </c>
      <c r="BG128" s="191">
        <f t="shared" si="174"/>
        <v>41.437115384615382</v>
      </c>
      <c r="BH128" s="191">
        <f t="shared" si="174"/>
        <v>41.437115384615382</v>
      </c>
      <c r="BI128" s="191">
        <f t="shared" si="174"/>
        <v>41.437115384615382</v>
      </c>
      <c r="BJ128" s="191">
        <f t="shared" si="174"/>
        <v>41.437115384615382</v>
      </c>
      <c r="BK128" s="21"/>
      <c r="BL128" s="91"/>
      <c r="BM128" s="23">
        <f t="shared" si="102"/>
        <v>122</v>
      </c>
    </row>
    <row r="129" spans="1:71" ht="12.75" hidden="1" customHeight="1" outlineLevel="2">
      <c r="A129" s="118"/>
      <c r="B129" s="269"/>
      <c r="C129" s="1"/>
      <c r="D129" s="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68"/>
      <c r="P129" s="11"/>
      <c r="Q129" s="11"/>
      <c r="R129" s="51"/>
      <c r="S129" s="182"/>
      <c r="T129" s="182"/>
      <c r="U129" s="182"/>
      <c r="V129" s="182"/>
      <c r="W129" s="182"/>
      <c r="X129" s="182"/>
      <c r="Y129" s="182"/>
      <c r="Z129" s="182"/>
      <c r="AA129" s="182"/>
      <c r="AB129" s="182"/>
      <c r="AC129" s="182"/>
      <c r="AD129" s="182"/>
      <c r="AE129" s="182"/>
      <c r="AF129" s="182"/>
      <c r="AG129" s="182"/>
      <c r="AH129" s="182"/>
      <c r="AI129" s="182"/>
      <c r="AJ129" s="182"/>
      <c r="AK129" s="182"/>
      <c r="AL129" s="182"/>
      <c r="AM129" s="182"/>
      <c r="AN129" s="182"/>
      <c r="AO129" s="182"/>
      <c r="AP129" s="182"/>
      <c r="AQ129" s="182"/>
      <c r="AR129" s="182"/>
      <c r="AS129" s="182"/>
      <c r="AT129" s="182"/>
      <c r="AU129" s="182"/>
      <c r="AV129" s="182"/>
      <c r="AW129" s="182"/>
      <c r="AX129" s="182"/>
      <c r="AY129" s="185"/>
      <c r="AZ129" s="185"/>
      <c r="BA129" s="185"/>
      <c r="BB129" s="185"/>
      <c r="BC129" s="185"/>
      <c r="BD129" s="185"/>
      <c r="BE129" s="185"/>
      <c r="BF129" s="185"/>
      <c r="BG129" s="185"/>
      <c r="BH129" s="185"/>
      <c r="BI129" s="185"/>
      <c r="BJ129" s="185"/>
      <c r="BK129" s="1"/>
      <c r="BL129" s="91"/>
      <c r="BM129" s="23">
        <f t="shared" si="102"/>
        <v>123</v>
      </c>
    </row>
    <row r="130" spans="1:71" ht="12.75" customHeight="1" outlineLevel="1" collapsed="1">
      <c r="A130" s="118"/>
      <c r="B130" s="297" t="s">
        <v>416</v>
      </c>
      <c r="C130" s="1"/>
      <c r="D130" s="1"/>
      <c r="E130" s="1"/>
      <c r="F130" s="11"/>
      <c r="G130" s="11"/>
      <c r="H130" s="11"/>
      <c r="I130" s="11"/>
      <c r="J130" s="11"/>
      <c r="K130" s="11"/>
      <c r="L130" s="11"/>
      <c r="M130" s="182"/>
      <c r="N130" s="182"/>
      <c r="O130" s="182"/>
      <c r="P130" s="182"/>
      <c r="Q130" s="182"/>
      <c r="R130" s="51"/>
      <c r="S130" s="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82"/>
      <c r="BB130" s="11"/>
      <c r="BC130" s="11"/>
      <c r="BD130" s="11"/>
      <c r="BE130" s="11"/>
      <c r="BF130" s="11"/>
      <c r="BG130" s="11"/>
      <c r="BH130" s="11"/>
      <c r="BI130" s="11"/>
      <c r="BJ130" s="11"/>
      <c r="BK130" s="1"/>
      <c r="BL130" s="91"/>
      <c r="BM130" s="23">
        <f t="shared" si="102"/>
        <v>124</v>
      </c>
    </row>
    <row r="131" spans="1:71" ht="12.75" hidden="1" customHeight="1" outlineLevel="2">
      <c r="A131" s="118"/>
      <c r="B131" s="213" t="s">
        <v>390</v>
      </c>
      <c r="C131" s="1"/>
      <c r="D131" s="1"/>
      <c r="E131" s="1"/>
      <c r="F131" s="11"/>
      <c r="G131" s="11"/>
      <c r="H131" s="11"/>
      <c r="I131" s="170"/>
      <c r="J131" s="170"/>
      <c r="K131" s="214"/>
      <c r="L131" s="214"/>
      <c r="M131" s="105">
        <f t="shared" ref="M131:Q143" ca="1" si="175">AVERAGEIF($S$4:$BK$4,M$4,$S131:$AX131)</f>
        <v>3400</v>
      </c>
      <c r="N131" s="105">
        <f t="shared" ca="1" si="175"/>
        <v>3400</v>
      </c>
      <c r="O131" s="105">
        <f t="shared" ca="1" si="175"/>
        <v>3400</v>
      </c>
      <c r="P131" s="105">
        <f t="shared" ca="1" si="175"/>
        <v>3400</v>
      </c>
      <c r="Q131" s="105">
        <f t="shared" ca="1" si="175"/>
        <v>3400</v>
      </c>
      <c r="R131" s="51"/>
      <c r="S131" s="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70"/>
      <c r="AR131" s="196">
        <v>3400</v>
      </c>
      <c r="AS131" s="196">
        <v>3400</v>
      </c>
      <c r="AT131" s="196">
        <v>3400</v>
      </c>
      <c r="AU131" s="196">
        <v>3400</v>
      </c>
      <c r="AV131" s="196">
        <v>3400</v>
      </c>
      <c r="AW131" s="196">
        <v>3400</v>
      </c>
      <c r="AX131" s="196">
        <v>3400</v>
      </c>
      <c r="AY131" s="196">
        <f t="shared" ref="AY131:BF131" si="176">AX131</f>
        <v>3400</v>
      </c>
      <c r="AZ131" s="196">
        <f t="shared" si="176"/>
        <v>3400</v>
      </c>
      <c r="BA131" s="196">
        <f t="shared" si="176"/>
        <v>3400</v>
      </c>
      <c r="BB131" s="196">
        <f t="shared" si="176"/>
        <v>3400</v>
      </c>
      <c r="BC131" s="196">
        <f t="shared" si="176"/>
        <v>3400</v>
      </c>
      <c r="BD131" s="196">
        <f t="shared" si="176"/>
        <v>3400</v>
      </c>
      <c r="BE131" s="196">
        <f t="shared" si="176"/>
        <v>3400</v>
      </c>
      <c r="BF131" s="196">
        <f t="shared" si="176"/>
        <v>3400</v>
      </c>
      <c r="BG131" s="196">
        <f t="shared" ref="BG131:BJ134" si="177">BF131</f>
        <v>3400</v>
      </c>
      <c r="BH131" s="196">
        <f t="shared" si="177"/>
        <v>3400</v>
      </c>
      <c r="BI131" s="196">
        <f t="shared" si="177"/>
        <v>3400</v>
      </c>
      <c r="BJ131" s="196">
        <f t="shared" si="177"/>
        <v>3400</v>
      </c>
      <c r="BK131" s="1"/>
      <c r="BL131" s="91"/>
      <c r="BM131" s="23">
        <f t="shared" si="102"/>
        <v>125</v>
      </c>
    </row>
    <row r="132" spans="1:71" ht="12.75" hidden="1" customHeight="1" outlineLevel="2">
      <c r="A132" s="118"/>
      <c r="B132" s="213" t="s">
        <v>392</v>
      </c>
      <c r="C132" s="1"/>
      <c r="D132" s="1"/>
      <c r="E132" s="1"/>
      <c r="F132" s="11"/>
      <c r="G132" s="11"/>
      <c r="H132" s="11"/>
      <c r="I132" s="170"/>
      <c r="J132" s="170"/>
      <c r="K132" s="214"/>
      <c r="L132" s="214"/>
      <c r="M132" s="105">
        <f t="shared" ca="1" si="175"/>
        <v>1700</v>
      </c>
      <c r="N132" s="105">
        <f t="shared" ca="1" si="175"/>
        <v>1700</v>
      </c>
      <c r="O132" s="105">
        <f t="shared" ca="1" si="175"/>
        <v>1700</v>
      </c>
      <c r="P132" s="105">
        <f t="shared" ca="1" si="175"/>
        <v>1700</v>
      </c>
      <c r="Q132" s="105">
        <f t="shared" ca="1" si="175"/>
        <v>1700</v>
      </c>
      <c r="R132" s="51"/>
      <c r="S132" s="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70"/>
      <c r="AR132" s="196">
        <v>1700</v>
      </c>
      <c r="AS132" s="196">
        <v>1700</v>
      </c>
      <c r="AT132" s="196">
        <v>1700</v>
      </c>
      <c r="AU132" s="196">
        <v>1700</v>
      </c>
      <c r="AV132" s="196">
        <v>1700</v>
      </c>
      <c r="AW132" s="196">
        <v>1700</v>
      </c>
      <c r="AX132" s="196">
        <v>1700</v>
      </c>
      <c r="AY132" s="196">
        <f t="shared" ref="AY132:BF132" si="178">AX132</f>
        <v>1700</v>
      </c>
      <c r="AZ132" s="196">
        <f t="shared" si="178"/>
        <v>1700</v>
      </c>
      <c r="BA132" s="196">
        <f t="shared" si="178"/>
        <v>1700</v>
      </c>
      <c r="BB132" s="196">
        <f t="shared" si="178"/>
        <v>1700</v>
      </c>
      <c r="BC132" s="196">
        <f t="shared" si="178"/>
        <v>1700</v>
      </c>
      <c r="BD132" s="196">
        <f t="shared" si="178"/>
        <v>1700</v>
      </c>
      <c r="BE132" s="196">
        <f t="shared" si="178"/>
        <v>1700</v>
      </c>
      <c r="BF132" s="196">
        <f t="shared" si="178"/>
        <v>1700</v>
      </c>
      <c r="BG132" s="196">
        <f t="shared" si="177"/>
        <v>1700</v>
      </c>
      <c r="BH132" s="196">
        <f t="shared" si="177"/>
        <v>1700</v>
      </c>
      <c r="BI132" s="196">
        <f t="shared" si="177"/>
        <v>1700</v>
      </c>
      <c r="BJ132" s="196">
        <f t="shared" si="177"/>
        <v>1700</v>
      </c>
      <c r="BK132" s="1"/>
      <c r="BL132" s="91"/>
      <c r="BM132" s="23">
        <f t="shared" si="102"/>
        <v>126</v>
      </c>
    </row>
    <row r="133" spans="1:71" ht="12.75" hidden="1" customHeight="1" outlineLevel="2">
      <c r="A133" s="118"/>
      <c r="B133" s="230" t="s">
        <v>393</v>
      </c>
      <c r="C133" s="231"/>
      <c r="D133" s="231"/>
      <c r="E133" s="231"/>
      <c r="F133" s="232"/>
      <c r="G133" s="232"/>
      <c r="H133" s="232"/>
      <c r="I133" s="233"/>
      <c r="J133" s="233"/>
      <c r="K133" s="234"/>
      <c r="L133" s="234"/>
      <c r="M133" s="235">
        <f t="shared" ca="1" si="175"/>
        <v>1500</v>
      </c>
      <c r="N133" s="235">
        <f t="shared" ca="1" si="175"/>
        <v>1500</v>
      </c>
      <c r="O133" s="235">
        <f t="shared" ca="1" si="175"/>
        <v>1500</v>
      </c>
      <c r="P133" s="235">
        <f t="shared" ca="1" si="175"/>
        <v>1500</v>
      </c>
      <c r="Q133" s="235">
        <f t="shared" ca="1" si="175"/>
        <v>1500</v>
      </c>
      <c r="R133" s="51"/>
      <c r="S133" s="231"/>
      <c r="T133" s="232"/>
      <c r="U133" s="232"/>
      <c r="V133" s="232"/>
      <c r="W133" s="232"/>
      <c r="X133" s="232"/>
      <c r="Y133" s="232"/>
      <c r="Z133" s="232"/>
      <c r="AA133" s="232"/>
      <c r="AB133" s="232"/>
      <c r="AC133" s="232"/>
      <c r="AD133" s="232"/>
      <c r="AE133" s="232"/>
      <c r="AF133" s="232"/>
      <c r="AG133" s="232"/>
      <c r="AH133" s="232"/>
      <c r="AI133" s="232"/>
      <c r="AJ133" s="232"/>
      <c r="AK133" s="232"/>
      <c r="AL133" s="232"/>
      <c r="AM133" s="232"/>
      <c r="AN133" s="232"/>
      <c r="AO133" s="232"/>
      <c r="AP133" s="232"/>
      <c r="AQ133" s="233"/>
      <c r="AR133" s="236">
        <v>1500</v>
      </c>
      <c r="AS133" s="236">
        <v>1500</v>
      </c>
      <c r="AT133" s="236">
        <v>1500</v>
      </c>
      <c r="AU133" s="236">
        <v>1500</v>
      </c>
      <c r="AV133" s="236">
        <v>1500</v>
      </c>
      <c r="AW133" s="236">
        <v>1500</v>
      </c>
      <c r="AX133" s="196">
        <v>1500</v>
      </c>
      <c r="AY133" s="196">
        <f t="shared" ref="AY133:BF133" si="179">AX133</f>
        <v>1500</v>
      </c>
      <c r="AZ133" s="236">
        <f t="shared" si="179"/>
        <v>1500</v>
      </c>
      <c r="BA133" s="236">
        <f t="shared" si="179"/>
        <v>1500</v>
      </c>
      <c r="BB133" s="236">
        <f t="shared" si="179"/>
        <v>1500</v>
      </c>
      <c r="BC133" s="236">
        <f t="shared" si="179"/>
        <v>1500</v>
      </c>
      <c r="BD133" s="236">
        <f t="shared" si="179"/>
        <v>1500</v>
      </c>
      <c r="BE133" s="236">
        <f t="shared" si="179"/>
        <v>1500</v>
      </c>
      <c r="BF133" s="236">
        <f t="shared" si="179"/>
        <v>1500</v>
      </c>
      <c r="BG133" s="236">
        <f t="shared" si="177"/>
        <v>1500</v>
      </c>
      <c r="BH133" s="236">
        <f t="shared" si="177"/>
        <v>1500</v>
      </c>
      <c r="BI133" s="236">
        <f t="shared" si="177"/>
        <v>1500</v>
      </c>
      <c r="BJ133" s="236">
        <f t="shared" si="177"/>
        <v>1500</v>
      </c>
      <c r="BK133" s="1"/>
      <c r="BL133" s="91"/>
      <c r="BM133" s="23">
        <f t="shared" si="102"/>
        <v>127</v>
      </c>
    </row>
    <row r="134" spans="1:71" ht="12.75" hidden="1" customHeight="1" outlineLevel="2">
      <c r="A134" s="118"/>
      <c r="B134" s="213" t="s">
        <v>391</v>
      </c>
      <c r="C134" s="1"/>
      <c r="D134" s="1"/>
      <c r="E134" s="1"/>
      <c r="F134" s="11"/>
      <c r="G134" s="11"/>
      <c r="H134" s="11"/>
      <c r="I134" s="170"/>
      <c r="J134" s="170"/>
      <c r="K134" s="214"/>
      <c r="L134" s="214"/>
      <c r="M134" s="105">
        <f t="shared" ca="1" si="175"/>
        <v>800</v>
      </c>
      <c r="N134" s="105">
        <f t="shared" ca="1" si="175"/>
        <v>937.5</v>
      </c>
      <c r="O134" s="105">
        <f t="shared" ca="1" si="175"/>
        <v>1900</v>
      </c>
      <c r="P134" s="105">
        <f t="shared" ca="1" si="175"/>
        <v>1900</v>
      </c>
      <c r="Q134" s="105">
        <f t="shared" ca="1" si="175"/>
        <v>1900</v>
      </c>
      <c r="R134" s="51"/>
      <c r="S134" s="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70"/>
      <c r="AR134" s="196">
        <v>800</v>
      </c>
      <c r="AS134" s="196">
        <v>800</v>
      </c>
      <c r="AT134" s="196">
        <v>800</v>
      </c>
      <c r="AU134" s="196">
        <v>800</v>
      </c>
      <c r="AV134" s="196">
        <v>800</v>
      </c>
      <c r="AW134" s="196">
        <v>800</v>
      </c>
      <c r="AX134" s="217">
        <f>+AW134+550</f>
        <v>1350</v>
      </c>
      <c r="AY134" s="218">
        <f>+AX134+550</f>
        <v>1900</v>
      </c>
      <c r="AZ134" s="196">
        <f t="shared" ref="AZ134:BF134" si="180">AY134</f>
        <v>1900</v>
      </c>
      <c r="BA134" s="196">
        <f t="shared" si="180"/>
        <v>1900</v>
      </c>
      <c r="BB134" s="196">
        <f t="shared" si="180"/>
        <v>1900</v>
      </c>
      <c r="BC134" s="196">
        <f t="shared" si="180"/>
        <v>1900</v>
      </c>
      <c r="BD134" s="196">
        <f t="shared" si="180"/>
        <v>1900</v>
      </c>
      <c r="BE134" s="196">
        <f t="shared" si="180"/>
        <v>1900</v>
      </c>
      <c r="BF134" s="196">
        <f t="shared" si="180"/>
        <v>1900</v>
      </c>
      <c r="BG134" s="196">
        <f t="shared" si="177"/>
        <v>1900</v>
      </c>
      <c r="BH134" s="196">
        <f t="shared" si="177"/>
        <v>1900</v>
      </c>
      <c r="BI134" s="196">
        <f t="shared" si="177"/>
        <v>1900</v>
      </c>
      <c r="BJ134" s="196">
        <f t="shared" si="177"/>
        <v>1900</v>
      </c>
      <c r="BK134" s="1"/>
      <c r="BL134" s="91"/>
      <c r="BM134" s="23">
        <f t="shared" si="102"/>
        <v>128</v>
      </c>
    </row>
    <row r="135" spans="1:71" ht="12.75" hidden="1" customHeight="1" outlineLevel="2">
      <c r="A135" s="118"/>
      <c r="B135" s="230" t="s">
        <v>417</v>
      </c>
      <c r="C135" s="231"/>
      <c r="D135" s="231"/>
      <c r="E135" s="231"/>
      <c r="F135" s="232"/>
      <c r="G135" s="232"/>
      <c r="H135" s="232"/>
      <c r="I135" s="233"/>
      <c r="J135" s="233"/>
      <c r="K135" s="234"/>
      <c r="L135" s="234"/>
      <c r="M135" s="235">
        <f t="shared" ca="1" si="175"/>
        <v>0</v>
      </c>
      <c r="N135" s="235">
        <f t="shared" ca="1" si="175"/>
        <v>450</v>
      </c>
      <c r="O135" s="235">
        <f t="shared" ca="1" si="175"/>
        <v>1400</v>
      </c>
      <c r="P135" s="235">
        <f t="shared" ca="1" si="175"/>
        <v>1600</v>
      </c>
      <c r="Q135" s="235">
        <f t="shared" ca="1" si="175"/>
        <v>1600</v>
      </c>
      <c r="R135" s="51"/>
      <c r="S135" s="231"/>
      <c r="T135" s="232"/>
      <c r="U135" s="232"/>
      <c r="V135" s="232"/>
      <c r="W135" s="232"/>
      <c r="X135" s="232"/>
      <c r="Y135" s="232"/>
      <c r="Z135" s="232"/>
      <c r="AA135" s="232"/>
      <c r="AB135" s="232"/>
      <c r="AC135" s="232"/>
      <c r="AD135" s="232"/>
      <c r="AE135" s="232"/>
      <c r="AF135" s="232"/>
      <c r="AG135" s="232"/>
      <c r="AH135" s="232"/>
      <c r="AI135" s="232"/>
      <c r="AJ135" s="232"/>
      <c r="AK135" s="232"/>
      <c r="AL135" s="232"/>
      <c r="AM135" s="232"/>
      <c r="AN135" s="232"/>
      <c r="AO135" s="232"/>
      <c r="AP135" s="232"/>
      <c r="AQ135" s="233"/>
      <c r="AR135" s="236">
        <v>0</v>
      </c>
      <c r="AS135" s="236">
        <v>0</v>
      </c>
      <c r="AT135" s="236">
        <v>0</v>
      </c>
      <c r="AU135" s="236">
        <v>0</v>
      </c>
      <c r="AV135" s="236">
        <v>0</v>
      </c>
      <c r="AW135" s="236">
        <v>600</v>
      </c>
      <c r="AX135" s="228">
        <v>1200</v>
      </c>
      <c r="AY135" s="196">
        <v>1200</v>
      </c>
      <c r="AZ135" s="196">
        <v>1200</v>
      </c>
      <c r="BA135" s="228">
        <v>1600</v>
      </c>
      <c r="BB135" s="236">
        <v>1600</v>
      </c>
      <c r="BC135" s="236">
        <v>1600</v>
      </c>
      <c r="BD135" s="236">
        <v>1600</v>
      </c>
      <c r="BE135" s="236">
        <v>1600</v>
      </c>
      <c r="BF135" s="236">
        <v>1600</v>
      </c>
      <c r="BG135" s="236">
        <v>1600</v>
      </c>
      <c r="BH135" s="236">
        <v>1600</v>
      </c>
      <c r="BI135" s="236">
        <v>1600</v>
      </c>
      <c r="BJ135" s="236">
        <v>1600</v>
      </c>
      <c r="BK135" s="1"/>
      <c r="BL135" s="91"/>
      <c r="BM135" s="23">
        <f t="shared" si="102"/>
        <v>129</v>
      </c>
    </row>
    <row r="136" spans="1:71" ht="12.75" hidden="1" customHeight="1" outlineLevel="2">
      <c r="A136" s="118"/>
      <c r="B136" s="213" t="s">
        <v>418</v>
      </c>
      <c r="C136" s="1"/>
      <c r="D136" s="1"/>
      <c r="E136" s="1"/>
      <c r="F136" s="11"/>
      <c r="G136" s="11"/>
      <c r="H136" s="11"/>
      <c r="I136" s="170"/>
      <c r="J136" s="170"/>
      <c r="K136" s="214"/>
      <c r="L136" s="214"/>
      <c r="M136" s="105">
        <f t="shared" ca="1" si="175"/>
        <v>0</v>
      </c>
      <c r="N136" s="105">
        <f t="shared" ca="1" si="175"/>
        <v>0</v>
      </c>
      <c r="O136" s="105">
        <f t="shared" ca="1" si="175"/>
        <v>2750</v>
      </c>
      <c r="P136" s="105">
        <f t="shared" ca="1" si="175"/>
        <v>4000</v>
      </c>
      <c r="Q136" s="105">
        <f t="shared" ca="1" si="175"/>
        <v>4000</v>
      </c>
      <c r="R136" s="51"/>
      <c r="S136" s="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70"/>
      <c r="AR136" s="196">
        <v>0</v>
      </c>
      <c r="AS136" s="196">
        <v>0</v>
      </c>
      <c r="AT136" s="196">
        <v>0</v>
      </c>
      <c r="AU136" s="196">
        <v>0</v>
      </c>
      <c r="AV136" s="196">
        <v>0</v>
      </c>
      <c r="AW136" s="196">
        <v>0</v>
      </c>
      <c r="AX136" s="217">
        <v>0</v>
      </c>
      <c r="AY136" s="219">
        <f>+AX136+1000</f>
        <v>1000</v>
      </c>
      <c r="AZ136" s="219">
        <f>+AY136+1000</f>
        <v>2000</v>
      </c>
      <c r="BA136" s="218">
        <v>4000</v>
      </c>
      <c r="BB136" s="196">
        <f t="shared" ref="BB136:BJ136" si="181">BA136</f>
        <v>4000</v>
      </c>
      <c r="BC136" s="196">
        <f t="shared" si="181"/>
        <v>4000</v>
      </c>
      <c r="BD136" s="196">
        <f t="shared" si="181"/>
        <v>4000</v>
      </c>
      <c r="BE136" s="196">
        <f t="shared" si="181"/>
        <v>4000</v>
      </c>
      <c r="BF136" s="196">
        <f t="shared" si="181"/>
        <v>4000</v>
      </c>
      <c r="BG136" s="196">
        <f t="shared" si="181"/>
        <v>4000</v>
      </c>
      <c r="BH136" s="196">
        <f t="shared" si="181"/>
        <v>4000</v>
      </c>
      <c r="BI136" s="196">
        <f t="shared" si="181"/>
        <v>4000</v>
      </c>
      <c r="BJ136" s="196">
        <f t="shared" si="181"/>
        <v>4000</v>
      </c>
      <c r="BK136" s="1"/>
      <c r="BL136" s="91"/>
      <c r="BM136" s="23">
        <f t="shared" ref="BM136:BM201" si="182">BM135+1</f>
        <v>130</v>
      </c>
    </row>
    <row r="137" spans="1:71" ht="12.75" hidden="1" customHeight="1" outlineLevel="2">
      <c r="A137" s="118"/>
      <c r="B137" s="213" t="s">
        <v>388</v>
      </c>
      <c r="C137" s="1"/>
      <c r="D137" s="1"/>
      <c r="E137" s="1"/>
      <c r="F137" s="11"/>
      <c r="G137" s="11"/>
      <c r="H137" s="11"/>
      <c r="I137" s="170"/>
      <c r="J137" s="170"/>
      <c r="K137" s="214"/>
      <c r="L137" s="214"/>
      <c r="M137" s="105">
        <f t="shared" ca="1" si="175"/>
        <v>1466.6666666666667</v>
      </c>
      <c r="N137" s="105">
        <f t="shared" ca="1" si="175"/>
        <v>2350</v>
      </c>
      <c r="O137" s="105">
        <f t="shared" ca="1" si="175"/>
        <v>3400</v>
      </c>
      <c r="P137" s="105">
        <f t="shared" ca="1" si="175"/>
        <v>3400</v>
      </c>
      <c r="Q137" s="105">
        <f t="shared" ca="1" si="175"/>
        <v>3400</v>
      </c>
      <c r="R137" s="51"/>
      <c r="S137" s="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70"/>
      <c r="AR137" s="182">
        <v>0</v>
      </c>
      <c r="AS137" s="228">
        <v>2200</v>
      </c>
      <c r="AT137" s="196">
        <v>2200</v>
      </c>
      <c r="AU137" s="196">
        <v>2200</v>
      </c>
      <c r="AV137" s="196">
        <v>2200</v>
      </c>
      <c r="AW137" s="196">
        <v>2200</v>
      </c>
      <c r="AX137" s="217">
        <f>+AW137+600</f>
        <v>2800</v>
      </c>
      <c r="AY137" s="218">
        <f>+AX137+600</f>
        <v>3400</v>
      </c>
      <c r="AZ137" s="237">
        <f>AY137</f>
        <v>3400</v>
      </c>
      <c r="BA137" s="196">
        <f>AZ137</f>
        <v>3400</v>
      </c>
      <c r="BB137" s="196">
        <f t="shared" ref="BB137:BJ137" si="183">BA137</f>
        <v>3400</v>
      </c>
      <c r="BC137" s="196">
        <f t="shared" si="183"/>
        <v>3400</v>
      </c>
      <c r="BD137" s="196">
        <f t="shared" si="183"/>
        <v>3400</v>
      </c>
      <c r="BE137" s="196">
        <f t="shared" si="183"/>
        <v>3400</v>
      </c>
      <c r="BF137" s="196">
        <f t="shared" si="183"/>
        <v>3400</v>
      </c>
      <c r="BG137" s="196">
        <f t="shared" si="183"/>
        <v>3400</v>
      </c>
      <c r="BH137" s="196">
        <f t="shared" si="183"/>
        <v>3400</v>
      </c>
      <c r="BI137" s="196">
        <f t="shared" si="183"/>
        <v>3400</v>
      </c>
      <c r="BJ137" s="196">
        <f t="shared" si="183"/>
        <v>3400</v>
      </c>
      <c r="BK137" s="1"/>
      <c r="BL137" s="91"/>
      <c r="BM137" s="23">
        <f t="shared" si="182"/>
        <v>131</v>
      </c>
    </row>
    <row r="138" spans="1:71" ht="12.75" hidden="1" customHeight="1" outlineLevel="2">
      <c r="A138" s="118"/>
      <c r="B138" s="213" t="s">
        <v>420</v>
      </c>
      <c r="C138" s="1"/>
      <c r="D138" s="1"/>
      <c r="E138" s="1"/>
      <c r="F138" s="11"/>
      <c r="G138" s="11"/>
      <c r="H138" s="11"/>
      <c r="I138" s="170"/>
      <c r="J138" s="170"/>
      <c r="K138" s="214"/>
      <c r="L138" s="214"/>
      <c r="M138" s="105">
        <f t="shared" ca="1" si="175"/>
        <v>0</v>
      </c>
      <c r="N138" s="105">
        <f t="shared" ca="1" si="175"/>
        <v>0</v>
      </c>
      <c r="O138" s="105">
        <f t="shared" ca="1" si="175"/>
        <v>1625</v>
      </c>
      <c r="P138" s="105">
        <f t="shared" ca="1" si="175"/>
        <v>2600</v>
      </c>
      <c r="Q138" s="105">
        <f t="shared" ca="1" si="175"/>
        <v>2600</v>
      </c>
      <c r="R138" s="51"/>
      <c r="S138" s="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70"/>
      <c r="AR138" s="196">
        <v>0</v>
      </c>
      <c r="AS138" s="196">
        <v>0</v>
      </c>
      <c r="AT138" s="196">
        <v>0</v>
      </c>
      <c r="AU138" s="196">
        <v>0</v>
      </c>
      <c r="AV138" s="196">
        <v>0</v>
      </c>
      <c r="AW138" s="196">
        <v>0</v>
      </c>
      <c r="AX138" s="196">
        <v>0</v>
      </c>
      <c r="AY138" s="196">
        <v>0</v>
      </c>
      <c r="AZ138" s="237">
        <v>1300</v>
      </c>
      <c r="BA138" s="218">
        <v>2600</v>
      </c>
      <c r="BB138" s="196">
        <f>BA138</f>
        <v>2600</v>
      </c>
      <c r="BC138" s="196">
        <f t="shared" ref="BC138:BJ138" si="184">BB138</f>
        <v>2600</v>
      </c>
      <c r="BD138" s="196">
        <f t="shared" si="184"/>
        <v>2600</v>
      </c>
      <c r="BE138" s="196">
        <f t="shared" si="184"/>
        <v>2600</v>
      </c>
      <c r="BF138" s="196">
        <f t="shared" si="184"/>
        <v>2600</v>
      </c>
      <c r="BG138" s="196">
        <f t="shared" si="184"/>
        <v>2600</v>
      </c>
      <c r="BH138" s="196">
        <f t="shared" si="184"/>
        <v>2600</v>
      </c>
      <c r="BI138" s="196">
        <f t="shared" si="184"/>
        <v>2600</v>
      </c>
      <c r="BJ138" s="196">
        <f t="shared" si="184"/>
        <v>2600</v>
      </c>
      <c r="BK138" s="1"/>
      <c r="BL138" s="91"/>
      <c r="BM138" s="23">
        <f t="shared" si="182"/>
        <v>132</v>
      </c>
    </row>
    <row r="139" spans="1:71" ht="12.75" hidden="1" customHeight="1" outlineLevel="2">
      <c r="A139" s="118"/>
      <c r="B139" s="213" t="s">
        <v>389</v>
      </c>
      <c r="C139" s="1"/>
      <c r="D139" s="1"/>
      <c r="E139" s="1"/>
      <c r="F139" s="11"/>
      <c r="G139" s="11"/>
      <c r="H139" s="11"/>
      <c r="I139" s="170"/>
      <c r="J139" s="170"/>
      <c r="K139" s="214"/>
      <c r="L139" s="214"/>
      <c r="M139" s="105">
        <f t="shared" ca="1" si="175"/>
        <v>500</v>
      </c>
      <c r="N139" s="105">
        <f t="shared" ca="1" si="175"/>
        <v>500</v>
      </c>
      <c r="O139" s="105">
        <f t="shared" ca="1" si="175"/>
        <v>850</v>
      </c>
      <c r="P139" s="105">
        <f t="shared" ca="1" si="175"/>
        <v>900</v>
      </c>
      <c r="Q139" s="105">
        <f t="shared" ca="1" si="175"/>
        <v>900</v>
      </c>
      <c r="R139" s="51"/>
      <c r="S139" s="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70"/>
      <c r="AR139" s="196">
        <v>500</v>
      </c>
      <c r="AS139" s="196">
        <v>500</v>
      </c>
      <c r="AT139" s="196">
        <v>500</v>
      </c>
      <c r="AU139" s="196">
        <v>500</v>
      </c>
      <c r="AV139" s="196">
        <v>500</v>
      </c>
      <c r="AW139" s="196">
        <v>500</v>
      </c>
      <c r="AX139" s="196">
        <v>500</v>
      </c>
      <c r="AY139" s="217">
        <f>+AX139+200</f>
        <v>700</v>
      </c>
      <c r="AZ139" s="218">
        <f>+AY139+200</f>
        <v>900</v>
      </c>
      <c r="BA139" s="196">
        <f t="shared" ref="BA139:BI139" si="185">AZ139</f>
        <v>900</v>
      </c>
      <c r="BB139" s="196">
        <f t="shared" si="185"/>
        <v>900</v>
      </c>
      <c r="BC139" s="196">
        <f t="shared" si="185"/>
        <v>900</v>
      </c>
      <c r="BD139" s="196">
        <f t="shared" si="185"/>
        <v>900</v>
      </c>
      <c r="BE139" s="196">
        <f t="shared" si="185"/>
        <v>900</v>
      </c>
      <c r="BF139" s="196">
        <f t="shared" si="185"/>
        <v>900</v>
      </c>
      <c r="BG139" s="196">
        <f t="shared" si="185"/>
        <v>900</v>
      </c>
      <c r="BH139" s="196">
        <f t="shared" si="185"/>
        <v>900</v>
      </c>
      <c r="BI139" s="196">
        <f t="shared" si="185"/>
        <v>900</v>
      </c>
      <c r="BJ139" s="196">
        <f>BI139</f>
        <v>900</v>
      </c>
      <c r="BK139" s="1"/>
      <c r="BL139" s="91"/>
      <c r="BM139" s="23">
        <f t="shared" si="182"/>
        <v>133</v>
      </c>
    </row>
    <row r="140" spans="1:71" ht="12.75" hidden="1" customHeight="1" outlineLevel="2">
      <c r="A140" s="118"/>
      <c r="B140" s="213" t="s">
        <v>386</v>
      </c>
      <c r="C140" s="1"/>
      <c r="D140" s="1"/>
      <c r="E140" s="1"/>
      <c r="F140" s="11"/>
      <c r="G140" s="11"/>
      <c r="H140" s="11"/>
      <c r="I140" s="170"/>
      <c r="J140" s="170"/>
      <c r="K140" s="214"/>
      <c r="L140" s="214"/>
      <c r="M140" s="105">
        <f t="shared" ca="1" si="175"/>
        <v>1200</v>
      </c>
      <c r="N140" s="105">
        <f t="shared" ca="1" si="175"/>
        <v>1200</v>
      </c>
      <c r="O140" s="105">
        <f t="shared" ca="1" si="175"/>
        <v>1200</v>
      </c>
      <c r="P140" s="105">
        <f t="shared" ca="1" si="175"/>
        <v>1200</v>
      </c>
      <c r="Q140" s="105">
        <f t="shared" ca="1" si="175"/>
        <v>1200</v>
      </c>
      <c r="R140" s="51"/>
      <c r="S140" s="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70"/>
      <c r="AR140" s="196">
        <v>1200</v>
      </c>
      <c r="AS140" s="196">
        <v>1200</v>
      </c>
      <c r="AT140" s="196">
        <v>1200</v>
      </c>
      <c r="AU140" s="196">
        <v>1200</v>
      </c>
      <c r="AV140" s="196">
        <v>1200</v>
      </c>
      <c r="AW140" s="196">
        <v>1200</v>
      </c>
      <c r="AX140" s="196">
        <v>1200</v>
      </c>
      <c r="AY140" s="196">
        <f>AX140</f>
        <v>1200</v>
      </c>
      <c r="AZ140" s="196">
        <f t="shared" ref="AZ140:BJ141" si="186">AY140</f>
        <v>1200</v>
      </c>
      <c r="BA140" s="196">
        <f t="shared" si="186"/>
        <v>1200</v>
      </c>
      <c r="BB140" s="196">
        <f t="shared" si="186"/>
        <v>1200</v>
      </c>
      <c r="BC140" s="196">
        <f t="shared" si="186"/>
        <v>1200</v>
      </c>
      <c r="BD140" s="196">
        <f t="shared" si="186"/>
        <v>1200</v>
      </c>
      <c r="BE140" s="196">
        <f t="shared" si="186"/>
        <v>1200</v>
      </c>
      <c r="BF140" s="196">
        <f t="shared" si="186"/>
        <v>1200</v>
      </c>
      <c r="BG140" s="196">
        <f t="shared" si="186"/>
        <v>1200</v>
      </c>
      <c r="BH140" s="196">
        <f t="shared" si="186"/>
        <v>1200</v>
      </c>
      <c r="BI140" s="196">
        <f t="shared" si="186"/>
        <v>1200</v>
      </c>
      <c r="BJ140" s="196">
        <f t="shared" si="186"/>
        <v>1200</v>
      </c>
      <c r="BK140" s="1"/>
      <c r="BL140" s="91"/>
      <c r="BM140" s="23">
        <f t="shared" si="182"/>
        <v>134</v>
      </c>
    </row>
    <row r="141" spans="1:71" ht="12.75" hidden="1" customHeight="1" outlineLevel="2">
      <c r="A141" s="118"/>
      <c r="B141" s="213" t="s">
        <v>387</v>
      </c>
      <c r="C141" s="1"/>
      <c r="D141" s="1"/>
      <c r="E141" s="1"/>
      <c r="F141" s="11"/>
      <c r="G141" s="11"/>
      <c r="H141" s="11"/>
      <c r="I141" s="170"/>
      <c r="J141" s="170"/>
      <c r="K141" s="214"/>
      <c r="L141" s="214"/>
      <c r="M141" s="105">
        <f t="shared" ca="1" si="175"/>
        <v>1200</v>
      </c>
      <c r="N141" s="105">
        <f t="shared" ca="1" si="175"/>
        <v>1200</v>
      </c>
      <c r="O141" s="105">
        <f t="shared" ca="1" si="175"/>
        <v>1200</v>
      </c>
      <c r="P141" s="105">
        <f t="shared" ca="1" si="175"/>
        <v>1200</v>
      </c>
      <c r="Q141" s="105">
        <f t="shared" ca="1" si="175"/>
        <v>1200</v>
      </c>
      <c r="R141" s="51"/>
      <c r="S141" s="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70"/>
      <c r="AR141" s="196">
        <v>1200</v>
      </c>
      <c r="AS141" s="196">
        <v>1200</v>
      </c>
      <c r="AT141" s="196">
        <v>1200</v>
      </c>
      <c r="AU141" s="196">
        <v>1200</v>
      </c>
      <c r="AV141" s="196">
        <v>1200</v>
      </c>
      <c r="AW141" s="196">
        <v>1200</v>
      </c>
      <c r="AX141" s="196">
        <v>1200</v>
      </c>
      <c r="AY141" s="196">
        <f>AX141</f>
        <v>1200</v>
      </c>
      <c r="AZ141" s="196">
        <f t="shared" si="186"/>
        <v>1200</v>
      </c>
      <c r="BA141" s="196">
        <f>AZ141</f>
        <v>1200</v>
      </c>
      <c r="BB141" s="196">
        <f t="shared" ref="BB141:BJ141" si="187">BA141</f>
        <v>1200</v>
      </c>
      <c r="BC141" s="196">
        <f t="shared" si="187"/>
        <v>1200</v>
      </c>
      <c r="BD141" s="196">
        <f t="shared" si="187"/>
        <v>1200</v>
      </c>
      <c r="BE141" s="196">
        <f t="shared" si="187"/>
        <v>1200</v>
      </c>
      <c r="BF141" s="196">
        <f t="shared" si="187"/>
        <v>1200</v>
      </c>
      <c r="BG141" s="196">
        <f t="shared" si="187"/>
        <v>1200</v>
      </c>
      <c r="BH141" s="196">
        <f t="shared" si="187"/>
        <v>1200</v>
      </c>
      <c r="BI141" s="196">
        <f t="shared" si="187"/>
        <v>1200</v>
      </c>
      <c r="BJ141" s="196">
        <f t="shared" si="187"/>
        <v>1200</v>
      </c>
      <c r="BK141" s="1"/>
      <c r="BL141" s="91"/>
      <c r="BM141" s="23">
        <f t="shared" si="182"/>
        <v>135</v>
      </c>
    </row>
    <row r="142" spans="1:71" ht="12.75" hidden="1" customHeight="1" outlineLevel="2">
      <c r="A142" s="118"/>
      <c r="B142" s="213" t="s">
        <v>47</v>
      </c>
      <c r="C142" s="1"/>
      <c r="D142" s="1"/>
      <c r="E142" s="1"/>
      <c r="F142" s="11"/>
      <c r="G142" s="11"/>
      <c r="H142" s="11"/>
      <c r="I142" s="170"/>
      <c r="J142" s="170"/>
      <c r="K142" s="214"/>
      <c r="L142" s="214"/>
      <c r="M142" s="105">
        <f t="shared" ca="1" si="175"/>
        <v>0</v>
      </c>
      <c r="N142" s="105">
        <f t="shared" ca="1" si="175"/>
        <v>0</v>
      </c>
      <c r="O142" s="105">
        <f t="shared" ca="1" si="175"/>
        <v>0</v>
      </c>
      <c r="P142" s="105">
        <f t="shared" ca="1" si="175"/>
        <v>0</v>
      </c>
      <c r="Q142" s="105">
        <f t="shared" ca="1" si="175"/>
        <v>0</v>
      </c>
      <c r="R142" s="51"/>
      <c r="S142" s="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70"/>
      <c r="AR142" s="196">
        <v>0</v>
      </c>
      <c r="AS142" s="196">
        <v>0</v>
      </c>
      <c r="AT142" s="196">
        <v>0</v>
      </c>
      <c r="AU142" s="196">
        <v>0</v>
      </c>
      <c r="AV142" s="196">
        <v>0</v>
      </c>
      <c r="AW142" s="196">
        <v>0</v>
      </c>
      <c r="AX142" s="196">
        <v>0</v>
      </c>
      <c r="AY142" s="196">
        <v>0</v>
      </c>
      <c r="AZ142" s="196">
        <v>0</v>
      </c>
      <c r="BA142" s="196">
        <v>0</v>
      </c>
      <c r="BB142" s="196">
        <v>0</v>
      </c>
      <c r="BC142" s="196">
        <v>0</v>
      </c>
      <c r="BD142" s="196">
        <v>0</v>
      </c>
      <c r="BE142" s="196">
        <v>0</v>
      </c>
      <c r="BF142" s="196">
        <v>0</v>
      </c>
      <c r="BG142" s="196">
        <v>0</v>
      </c>
      <c r="BH142" s="196">
        <v>0</v>
      </c>
      <c r="BI142" s="196">
        <v>0</v>
      </c>
      <c r="BJ142" s="196">
        <v>0</v>
      </c>
      <c r="BK142" s="1"/>
      <c r="BL142" s="91"/>
      <c r="BM142" s="23">
        <f t="shared" si="182"/>
        <v>136</v>
      </c>
    </row>
    <row r="143" spans="1:71" s="162" customFormat="1" ht="12.75" hidden="1" customHeight="1" outlineLevel="2">
      <c r="A143" s="159"/>
      <c r="B143" s="160" t="s">
        <v>368</v>
      </c>
      <c r="C143" s="101"/>
      <c r="D143" s="101"/>
      <c r="E143" s="101"/>
      <c r="F143" s="105"/>
      <c r="G143" s="105"/>
      <c r="H143" s="105"/>
      <c r="I143" s="105"/>
      <c r="J143" s="105"/>
      <c r="K143" s="105">
        <f ca="1">AVERAGEIF($S$4:$BK$4,K$4,$S143:$AX143)</f>
        <v>7150</v>
      </c>
      <c r="L143" s="105">
        <f ca="1">AVERAGEIF($S$4:$BK$4,L$4,$S143:$AX143)</f>
        <v>8450</v>
      </c>
      <c r="M143" s="105">
        <f t="shared" ca="1" si="175"/>
        <v>11200</v>
      </c>
      <c r="N143" s="105">
        <f t="shared" ca="1" si="175"/>
        <v>13237.5</v>
      </c>
      <c r="O143" s="105">
        <f t="shared" ca="1" si="175"/>
        <v>20925</v>
      </c>
      <c r="P143" s="105">
        <f t="shared" ca="1" si="175"/>
        <v>23400</v>
      </c>
      <c r="Q143" s="105">
        <f t="shared" ca="1" si="175"/>
        <v>23400</v>
      </c>
      <c r="R143" s="177"/>
      <c r="S143" s="101"/>
      <c r="T143" s="105"/>
      <c r="U143" s="105"/>
      <c r="V143" s="105"/>
      <c r="W143" s="105"/>
      <c r="X143" s="105"/>
      <c r="Y143" s="105"/>
      <c r="Z143"/>
      <c r="AA143"/>
      <c r="AB143"/>
      <c r="AC143"/>
      <c r="AD143"/>
      <c r="AE143"/>
      <c r="AF143"/>
      <c r="AG143"/>
      <c r="AH143"/>
      <c r="AI143" s="94">
        <v>6000</v>
      </c>
      <c r="AJ143" s="94">
        <v>6000</v>
      </c>
      <c r="AK143" s="94">
        <v>8300</v>
      </c>
      <c r="AL143" s="94">
        <v>8300</v>
      </c>
      <c r="AM143" s="94">
        <v>8300</v>
      </c>
      <c r="AN143" s="138">
        <v>8500</v>
      </c>
      <c r="AO143" s="138">
        <v>8500</v>
      </c>
      <c r="AP143" s="138">
        <v>8500</v>
      </c>
      <c r="AQ143" s="138">
        <v>9500</v>
      </c>
      <c r="AR143" s="167">
        <f t="shared" ref="AR143:BJ143" si="188">SUM(AR131:AR142)</f>
        <v>10300</v>
      </c>
      <c r="AS143" s="167">
        <f t="shared" si="188"/>
        <v>12500</v>
      </c>
      <c r="AT143" s="167">
        <f t="shared" si="188"/>
        <v>12500</v>
      </c>
      <c r="AU143" s="167">
        <f t="shared" si="188"/>
        <v>12500</v>
      </c>
      <c r="AV143" s="167">
        <f t="shared" si="188"/>
        <v>12500</v>
      </c>
      <c r="AW143" s="167">
        <f t="shared" si="188"/>
        <v>13100</v>
      </c>
      <c r="AX143" s="167">
        <f t="shared" si="188"/>
        <v>14850</v>
      </c>
      <c r="AY143" s="101">
        <f t="shared" si="188"/>
        <v>17200</v>
      </c>
      <c r="AZ143" s="101">
        <f t="shared" si="188"/>
        <v>19700</v>
      </c>
      <c r="BA143" s="101">
        <f t="shared" si="188"/>
        <v>23400</v>
      </c>
      <c r="BB143" s="101">
        <f t="shared" si="188"/>
        <v>23400</v>
      </c>
      <c r="BC143" s="101">
        <f t="shared" si="188"/>
        <v>23400</v>
      </c>
      <c r="BD143" s="101">
        <f t="shared" si="188"/>
        <v>23400</v>
      </c>
      <c r="BE143" s="101">
        <f t="shared" si="188"/>
        <v>23400</v>
      </c>
      <c r="BF143" s="101">
        <f t="shared" si="188"/>
        <v>23400</v>
      </c>
      <c r="BG143" s="101">
        <f t="shared" si="188"/>
        <v>23400</v>
      </c>
      <c r="BH143" s="101">
        <f t="shared" si="188"/>
        <v>23400</v>
      </c>
      <c r="BI143" s="101">
        <f t="shared" si="188"/>
        <v>23400</v>
      </c>
      <c r="BJ143" s="101">
        <f t="shared" si="188"/>
        <v>23400</v>
      </c>
      <c r="BK143" s="101"/>
      <c r="BL143" s="161"/>
      <c r="BM143" s="23">
        <f t="shared" si="182"/>
        <v>137</v>
      </c>
      <c r="BN143"/>
      <c r="BO143"/>
      <c r="BP143"/>
      <c r="BQ143"/>
      <c r="BR143"/>
      <c r="BS143"/>
    </row>
    <row r="144" spans="1:71" s="162" customFormat="1" ht="12.75" hidden="1" customHeight="1" outlineLevel="2">
      <c r="A144" s="159"/>
      <c r="B144" s="160" t="s">
        <v>369</v>
      </c>
      <c r="C144" s="101"/>
      <c r="D144" s="101"/>
      <c r="E144" s="101"/>
      <c r="F144" s="105"/>
      <c r="G144" s="105"/>
      <c r="H144" s="105"/>
      <c r="I144" s="105"/>
      <c r="J144" s="105"/>
      <c r="K144" s="105">
        <f t="shared" ref="K144:Q144" si="189">INDEX($S143:$BK143,K$6)</f>
        <v>8300</v>
      </c>
      <c r="L144" s="105">
        <f t="shared" si="189"/>
        <v>8500</v>
      </c>
      <c r="M144" s="105">
        <f t="shared" si="189"/>
        <v>12500</v>
      </c>
      <c r="N144" s="105">
        <f t="shared" si="189"/>
        <v>14850</v>
      </c>
      <c r="O144" s="105">
        <f t="shared" si="189"/>
        <v>23400</v>
      </c>
      <c r="P144" s="105">
        <f t="shared" si="189"/>
        <v>23400</v>
      </c>
      <c r="Q144" s="105">
        <f t="shared" si="189"/>
        <v>23400</v>
      </c>
      <c r="R144" s="177"/>
      <c r="S144" s="101"/>
      <c r="T144" s="105"/>
      <c r="U144" s="105"/>
      <c r="V144" s="105"/>
      <c r="W144" s="105"/>
      <c r="X144" s="105"/>
      <c r="Y144" s="105"/>
      <c r="Z144" s="105"/>
      <c r="AA144" s="105"/>
      <c r="AB144" s="105"/>
      <c r="AC144" s="105"/>
      <c r="AD144" s="105"/>
      <c r="AE144" s="105"/>
      <c r="AF144" s="101"/>
      <c r="AG144" s="101"/>
      <c r="AH144" s="101"/>
      <c r="AI144" s="101"/>
      <c r="AJ144" s="94"/>
      <c r="AK144" s="94"/>
      <c r="AL144" s="94"/>
      <c r="AM144" s="94"/>
      <c r="AN144" s="94"/>
      <c r="AO144" s="94"/>
      <c r="AP144" s="94"/>
      <c r="AQ144" s="94"/>
      <c r="AR144" s="94"/>
      <c r="AS144" s="94"/>
      <c r="AT144" s="94"/>
      <c r="AU144" s="94"/>
      <c r="AV144" s="94"/>
      <c r="AW144" s="94"/>
      <c r="AX144" s="167"/>
      <c r="AY144" s="101"/>
      <c r="AZ144" s="101"/>
      <c r="BA144" s="101"/>
      <c r="BB144" s="101"/>
      <c r="BC144" s="101"/>
      <c r="BD144" s="94"/>
      <c r="BE144" s="94"/>
      <c r="BF144" s="94"/>
      <c r="BG144" s="94"/>
      <c r="BH144" s="94"/>
      <c r="BI144" s="94"/>
      <c r="BJ144" s="94"/>
      <c r="BK144" s="101"/>
      <c r="BL144" s="161"/>
      <c r="BM144" s="23">
        <f t="shared" si="182"/>
        <v>138</v>
      </c>
      <c r="BN144"/>
      <c r="BO144"/>
      <c r="BP144"/>
      <c r="BQ144"/>
      <c r="BR144"/>
      <c r="BS144"/>
    </row>
    <row r="145" spans="1:65" ht="12.75" hidden="1" customHeight="1" outlineLevel="2">
      <c r="A145" s="118"/>
      <c r="B145" s="125" t="s">
        <v>294</v>
      </c>
      <c r="C145" s="1"/>
      <c r="D145" s="1"/>
      <c r="E145" s="1"/>
      <c r="F145" s="11"/>
      <c r="G145" s="11"/>
      <c r="H145" s="11"/>
      <c r="I145" s="11"/>
      <c r="J145" s="11"/>
      <c r="K145" s="238">
        <f t="shared" ref="K145:Q145" ca="1" si="190">K43/K143</f>
        <v>0.94209790209790212</v>
      </c>
      <c r="L145" s="238">
        <f t="shared" ca="1" si="190"/>
        <v>0.71964497041420117</v>
      </c>
      <c r="M145" s="238">
        <f t="shared" ca="1" si="190"/>
        <v>0.57517857142857143</v>
      </c>
      <c r="N145" s="238">
        <f t="shared" ca="1" si="190"/>
        <v>0.87592067988668554</v>
      </c>
      <c r="O145" s="238">
        <f t="shared" ca="1" si="190"/>
        <v>0.81959378733572286</v>
      </c>
      <c r="P145" s="238">
        <f t="shared" ca="1" si="190"/>
        <v>0.88888888888888884</v>
      </c>
      <c r="Q145" s="238">
        <f t="shared" ca="1" si="190"/>
        <v>0.88888888888888884</v>
      </c>
      <c r="R145" s="309"/>
      <c r="S145" s="239"/>
      <c r="T145" s="238"/>
      <c r="U145" s="238"/>
      <c r="V145" s="238"/>
      <c r="W145" s="238"/>
      <c r="X145" s="238"/>
      <c r="Y145" s="238"/>
      <c r="Z145" s="238"/>
      <c r="AA145" s="238"/>
      <c r="AB145" s="238"/>
      <c r="AC145" s="238"/>
      <c r="AD145" s="238"/>
      <c r="AE145" s="238"/>
      <c r="AF145" s="238"/>
      <c r="AG145" s="238"/>
      <c r="AH145" s="238"/>
      <c r="AI145" s="238">
        <f t="shared" ref="AI145:BJ145" si="191">(AI43*4)/AI143</f>
        <v>0.89</v>
      </c>
      <c r="AJ145" s="238">
        <f t="shared" si="191"/>
        <v>1.0053333333333334</v>
      </c>
      <c r="AK145" s="238">
        <f t="shared" si="191"/>
        <v>0.91325301204819276</v>
      </c>
      <c r="AL145" s="238">
        <f t="shared" si="191"/>
        <v>0.96289156626506023</v>
      </c>
      <c r="AM145" s="238">
        <f t="shared" si="191"/>
        <v>0.8134939759036145</v>
      </c>
      <c r="AN145" s="238">
        <f t="shared" si="191"/>
        <v>0.57599999999999996</v>
      </c>
      <c r="AO145" s="238">
        <f t="shared" si="191"/>
        <v>0.76047058823529412</v>
      </c>
      <c r="AP145" s="238">
        <f t="shared" si="191"/>
        <v>0.73082352941176476</v>
      </c>
      <c r="AQ145" s="238">
        <f t="shared" si="191"/>
        <v>0.59410526315789469</v>
      </c>
      <c r="AR145" s="238">
        <f t="shared" si="191"/>
        <v>0.51766990291262138</v>
      </c>
      <c r="AS145" s="238">
        <f t="shared" si="191"/>
        <v>0.51744000000000001</v>
      </c>
      <c r="AT145" s="238">
        <f t="shared" si="191"/>
        <v>0.66591999999999996</v>
      </c>
      <c r="AU145" s="238">
        <f t="shared" si="191"/>
        <v>0.81023999999999996</v>
      </c>
      <c r="AV145" s="238">
        <f t="shared" si="191"/>
        <v>0.87839999999999996</v>
      </c>
      <c r="AW145" s="238">
        <f t="shared" si="191"/>
        <v>0.96091603053435115</v>
      </c>
      <c r="AX145" s="238">
        <f t="shared" si="191"/>
        <v>0.85414141414141409</v>
      </c>
      <c r="AY145" s="238">
        <f t="shared" si="191"/>
        <v>0.73255813953488369</v>
      </c>
      <c r="AZ145" s="238">
        <f t="shared" si="191"/>
        <v>0.79187817258883253</v>
      </c>
      <c r="BA145" s="238">
        <f t="shared" si="191"/>
        <v>0.83760683760683763</v>
      </c>
      <c r="BB145" s="238">
        <f t="shared" si="191"/>
        <v>0.88888888888888884</v>
      </c>
      <c r="BC145" s="238">
        <f t="shared" si="191"/>
        <v>0.88888888888888884</v>
      </c>
      <c r="BD145" s="238">
        <f t="shared" si="191"/>
        <v>0.88888888888888884</v>
      </c>
      <c r="BE145" s="238">
        <f t="shared" si="191"/>
        <v>0.88888888888888884</v>
      </c>
      <c r="BF145" s="238">
        <f t="shared" si="191"/>
        <v>0.88888888888888884</v>
      </c>
      <c r="BG145" s="238">
        <f t="shared" si="191"/>
        <v>0.88888888888888884</v>
      </c>
      <c r="BH145" s="238">
        <f t="shared" si="191"/>
        <v>0.88888888888888884</v>
      </c>
      <c r="BI145" s="238">
        <f t="shared" si="191"/>
        <v>0.88888888888888884</v>
      </c>
      <c r="BJ145" s="238">
        <f t="shared" si="191"/>
        <v>0.88888888888888884</v>
      </c>
      <c r="BK145" s="1"/>
      <c r="BL145" s="91"/>
      <c r="BM145" s="23">
        <f t="shared" si="182"/>
        <v>139</v>
      </c>
    </row>
    <row r="146" spans="1:65" ht="12.75" hidden="1" customHeight="1" outlineLevel="2">
      <c r="A146" s="118"/>
      <c r="B146" s="125"/>
      <c r="C146" s="1"/>
      <c r="D146" s="1"/>
      <c r="E146" s="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51"/>
      <c r="S146" s="45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247"/>
      <c r="BB146" s="247"/>
      <c r="BC146" s="11"/>
      <c r="BD146" s="11"/>
      <c r="BE146" s="11"/>
      <c r="BF146" s="11"/>
      <c r="BG146" s="11"/>
      <c r="BH146" s="11"/>
      <c r="BI146" s="11"/>
      <c r="BJ146" s="11"/>
      <c r="BK146" s="1"/>
      <c r="BL146" s="91"/>
      <c r="BM146" s="23">
        <f t="shared" si="182"/>
        <v>140</v>
      </c>
    </row>
    <row r="147" spans="1:65" ht="12.75" customHeight="1" outlineLevel="1" collapsed="1">
      <c r="A147" s="120"/>
      <c r="B147" s="298" t="s">
        <v>331</v>
      </c>
      <c r="C147" s="74"/>
      <c r="D147" s="74"/>
      <c r="E147" s="74"/>
      <c r="F147" s="80"/>
      <c r="G147" s="80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310"/>
      <c r="S147" s="74"/>
      <c r="T147" s="74"/>
      <c r="U147" s="74"/>
      <c r="V147" s="74"/>
      <c r="W147" s="81"/>
      <c r="X147" s="74"/>
      <c r="Y147" s="74"/>
      <c r="Z147" s="74"/>
      <c r="AA147" s="74"/>
      <c r="AB147" s="74"/>
      <c r="AC147" s="74"/>
      <c r="AD147" s="74"/>
      <c r="AE147" s="74"/>
      <c r="AF147" s="74"/>
      <c r="AG147" s="74"/>
      <c r="AH147" s="74"/>
      <c r="AI147" s="74"/>
      <c r="AJ147" s="74"/>
      <c r="AK147" s="74"/>
      <c r="AL147" s="74"/>
      <c r="AM147" s="74"/>
      <c r="AN147" s="74"/>
      <c r="AO147" s="74"/>
      <c r="AP147" s="74"/>
      <c r="AQ147" s="74"/>
      <c r="AR147" s="74"/>
      <c r="AS147" s="74"/>
      <c r="AT147" s="74"/>
      <c r="AU147" s="74"/>
      <c r="AV147" s="74"/>
      <c r="AW147" s="74"/>
      <c r="AX147" s="74"/>
      <c r="AY147" s="74"/>
      <c r="AZ147" s="74"/>
      <c r="BA147" s="74"/>
      <c r="BB147" s="74"/>
      <c r="BC147" s="74"/>
      <c r="BD147" s="74"/>
      <c r="BE147" s="74"/>
      <c r="BF147" s="74"/>
      <c r="BG147" s="74"/>
      <c r="BH147" s="74"/>
      <c r="BI147" s="74"/>
      <c r="BJ147" s="74"/>
      <c r="BK147" s="74"/>
      <c r="BL147" s="91"/>
      <c r="BM147" s="23">
        <f t="shared" si="182"/>
        <v>141</v>
      </c>
    </row>
    <row r="148" spans="1:65" ht="12.75" hidden="1" customHeight="1" outlineLevel="2">
      <c r="A148" s="120"/>
      <c r="B148" s="127" t="s">
        <v>414</v>
      </c>
      <c r="C148" s="74"/>
      <c r="D148" s="74"/>
      <c r="E148" s="83"/>
      <c r="F148" s="83"/>
      <c r="G148" s="83"/>
      <c r="H148" s="207">
        <v>29.045345793025277</v>
      </c>
      <c r="I148" s="207">
        <v>36.169774893710105</v>
      </c>
      <c r="J148" s="207">
        <v>41.538625708647608</v>
      </c>
      <c r="K148" s="207">
        <v>61.459678077254374</v>
      </c>
      <c r="L148" s="207">
        <v>56.841819656136323</v>
      </c>
      <c r="M148" s="207">
        <v>42.4682494302386</v>
      </c>
      <c r="N148" s="207">
        <v>78.792914939383508</v>
      </c>
      <c r="O148" s="207">
        <v>118.97055706033663</v>
      </c>
      <c r="P148" s="207">
        <v>142.22893518324429</v>
      </c>
      <c r="Q148" s="207">
        <v>145.9776427670989</v>
      </c>
      <c r="R148" s="310"/>
      <c r="S148" s="83"/>
      <c r="T148" s="83"/>
      <c r="U148" s="83"/>
      <c r="V148" s="83"/>
      <c r="W148" s="207">
        <v>22.284481242353905</v>
      </c>
      <c r="X148" s="207">
        <v>27.364555279689373</v>
      </c>
      <c r="Y148" s="207">
        <v>31.555103126292284</v>
      </c>
      <c r="Z148" s="207">
        <v>34.977243523765559</v>
      </c>
      <c r="AA148" s="207">
        <v>37.302762787588009</v>
      </c>
      <c r="AB148" s="207">
        <v>38.239247742376683</v>
      </c>
      <c r="AC148" s="207">
        <v>35.932751244035522</v>
      </c>
      <c r="AD148" s="207">
        <v>33.204337800840214</v>
      </c>
      <c r="AE148" s="207">
        <v>35.540237791712407</v>
      </c>
      <c r="AF148" s="207">
        <v>43.812582179868087</v>
      </c>
      <c r="AG148" s="207">
        <v>44.169851602938408</v>
      </c>
      <c r="AH148" s="207">
        <v>42.631831260071557</v>
      </c>
      <c r="AI148" s="207">
        <v>47.481189092987933</v>
      </c>
      <c r="AJ148" s="207">
        <v>58.964705939937389</v>
      </c>
      <c r="AK148" s="207">
        <v>66.470341032507079</v>
      </c>
      <c r="AL148" s="207">
        <v>72.922476243585066</v>
      </c>
      <c r="AM148" s="207">
        <v>64.696367246890034</v>
      </c>
      <c r="AN148" s="207">
        <v>58.326627019866677</v>
      </c>
      <c r="AO148" s="207">
        <v>55.476067894405439</v>
      </c>
      <c r="AP148" s="207">
        <v>48.868216463383149</v>
      </c>
      <c r="AQ148" s="207">
        <v>40.973969086176105</v>
      </c>
      <c r="AR148" s="207">
        <v>38.722777977587057</v>
      </c>
      <c r="AS148" s="207">
        <v>41.102960400115997</v>
      </c>
      <c r="AT148" s="207">
        <v>49.073290257075243</v>
      </c>
      <c r="AU148" s="207">
        <v>59.113389926223796</v>
      </c>
      <c r="AV148" s="207">
        <v>77.439404740936979</v>
      </c>
      <c r="AW148" s="207">
        <v>85.707890373475479</v>
      </c>
      <c r="AX148" s="207">
        <v>92.910974716897798</v>
      </c>
      <c r="AY148" s="207">
        <v>93.198816168671513</v>
      </c>
      <c r="AZ148" s="207">
        <v>114.83119976581571</v>
      </c>
      <c r="BA148" s="207">
        <v>130.60155764566062</v>
      </c>
      <c r="BB148" s="207">
        <v>137.25065466119872</v>
      </c>
      <c r="BC148" s="207">
        <v>139.35725016411922</v>
      </c>
      <c r="BD148" s="207">
        <v>140.38121294665254</v>
      </c>
      <c r="BE148" s="207">
        <v>143.35637729060718</v>
      </c>
      <c r="BF148" s="207">
        <v>145.82090033159824</v>
      </c>
      <c r="BG148" s="207">
        <v>146.23357063788092</v>
      </c>
      <c r="BH148" s="207">
        <v>145.17995073012017</v>
      </c>
      <c r="BI148" s="207">
        <v>145.72171489631685</v>
      </c>
      <c r="BJ148" s="207">
        <v>146.77533480407757</v>
      </c>
      <c r="BK148" s="74"/>
      <c r="BL148" s="91"/>
      <c r="BM148" s="23">
        <f t="shared" si="182"/>
        <v>142</v>
      </c>
    </row>
    <row r="149" spans="1:65" ht="12.75" hidden="1" customHeight="1" outlineLevel="2">
      <c r="A149" s="120"/>
      <c r="B149" s="208" t="s">
        <v>415</v>
      </c>
      <c r="C149" s="209"/>
      <c r="D149" s="209"/>
      <c r="E149" s="210"/>
      <c r="F149" s="210"/>
      <c r="G149" s="210"/>
      <c r="H149" s="211">
        <f t="shared" ref="H149:Q149" si="192">(H43/1000)/H148</f>
        <v>6.9491340002730592E-2</v>
      </c>
      <c r="I149" s="211">
        <f t="shared" si="192"/>
        <v>8.0697212204867141E-2</v>
      </c>
      <c r="J149" s="211">
        <f t="shared" si="192"/>
        <v>9.8166199060146009E-2</v>
      </c>
      <c r="K149" s="211">
        <f t="shared" si="192"/>
        <v>0.10960031374607748</v>
      </c>
      <c r="L149" s="211">
        <f t="shared" si="192"/>
        <v>0.10698109308932952</v>
      </c>
      <c r="M149" s="211">
        <f t="shared" si="192"/>
        <v>0.15168979382072464</v>
      </c>
      <c r="N149" s="211">
        <f t="shared" si="192"/>
        <v>0.14715790130267672</v>
      </c>
      <c r="O149" s="211">
        <f t="shared" si="192"/>
        <v>0.14415331342276791</v>
      </c>
      <c r="P149" s="211">
        <f t="shared" si="192"/>
        <v>0.14624309725163723</v>
      </c>
      <c r="Q149" s="211">
        <f t="shared" si="192"/>
        <v>0.14248757279349628</v>
      </c>
      <c r="R149" s="311"/>
      <c r="S149" s="210"/>
      <c r="T149" s="210"/>
      <c r="U149" s="210"/>
      <c r="V149" s="210"/>
      <c r="W149" s="211">
        <f t="shared" ref="W149:BJ149" si="193">(W43*4/1000)/W148</f>
        <v>7.7901746112920806E-2</v>
      </c>
      <c r="X149" s="211">
        <f t="shared" si="193"/>
        <v>7.8203353868804115E-2</v>
      </c>
      <c r="Y149" s="211">
        <f t="shared" si="193"/>
        <v>5.8183932806424948E-2</v>
      </c>
      <c r="Z149" s="211">
        <f t="shared" si="193"/>
        <v>6.7518185027799354E-2</v>
      </c>
      <c r="AA149" s="211">
        <f t="shared" si="193"/>
        <v>7.2809620441939824E-2</v>
      </c>
      <c r="AB149" s="211">
        <f t="shared" si="193"/>
        <v>7.1654129245945802E-2</v>
      </c>
      <c r="AC149" s="211">
        <f t="shared" si="193"/>
        <v>8.5604355177523045E-2</v>
      </c>
      <c r="AD149" s="211">
        <f t="shared" si="193"/>
        <v>9.4662330532020528E-2</v>
      </c>
      <c r="AE149" s="211">
        <f t="shared" si="193"/>
        <v>0.10360864836021627</v>
      </c>
      <c r="AF149" s="211">
        <f t="shared" si="193"/>
        <v>9.0213354323045752E-2</v>
      </c>
      <c r="AG149" s="211">
        <f t="shared" si="193"/>
        <v>9.5268601711128734E-2</v>
      </c>
      <c r="AH149" s="211">
        <f t="shared" si="193"/>
        <v>0.10480431799289544</v>
      </c>
      <c r="AI149" s="211">
        <f t="shared" si="193"/>
        <v>0.11246559115320505</v>
      </c>
      <c r="AJ149" s="211">
        <f t="shared" si="193"/>
        <v>0.1022984835393619</v>
      </c>
      <c r="AK149" s="211">
        <f t="shared" si="193"/>
        <v>0.11403582232702895</v>
      </c>
      <c r="AL149" s="211">
        <f t="shared" si="193"/>
        <v>0.10959583946798639</v>
      </c>
      <c r="AM149" s="211">
        <f t="shared" si="193"/>
        <v>0.10436443787073021</v>
      </c>
      <c r="AN149" s="211">
        <f t="shared" si="193"/>
        <v>8.3941078888932999E-2</v>
      </c>
      <c r="AO149" s="211">
        <f t="shared" si="193"/>
        <v>0.11651871239871836</v>
      </c>
      <c r="AP149" s="211">
        <f t="shared" si="193"/>
        <v>0.12711738732381686</v>
      </c>
      <c r="AQ149" s="211">
        <f t="shared" si="193"/>
        <v>0.13774599156185205</v>
      </c>
      <c r="AR149" s="211">
        <f t="shared" si="193"/>
        <v>0.13769673247839267</v>
      </c>
      <c r="AS149" s="211">
        <f t="shared" si="193"/>
        <v>0.15736092819196904</v>
      </c>
      <c r="AT149" s="211">
        <f t="shared" si="193"/>
        <v>0.16962384132781622</v>
      </c>
      <c r="AU149" s="211">
        <f t="shared" si="193"/>
        <v>0.1713317407890193</v>
      </c>
      <c r="AV149" s="211">
        <f t="shared" si="193"/>
        <v>0.14178827996847471</v>
      </c>
      <c r="AW149" s="211">
        <f t="shared" si="193"/>
        <v>0.14687095838139635</v>
      </c>
      <c r="AX149" s="211">
        <f t="shared" si="193"/>
        <v>0.1365177799355618</v>
      </c>
      <c r="AY149" s="211">
        <f t="shared" si="193"/>
        <v>0.135194850299348</v>
      </c>
      <c r="AZ149" s="211">
        <f t="shared" si="193"/>
        <v>0.13585158068377154</v>
      </c>
      <c r="BA149" s="211">
        <f t="shared" si="193"/>
        <v>0.15007477976011133</v>
      </c>
      <c r="BB149" s="211">
        <f t="shared" si="193"/>
        <v>0.15154754672277887</v>
      </c>
      <c r="BC149" s="211">
        <f t="shared" si="193"/>
        <v>0.14925667645927362</v>
      </c>
      <c r="BD149" s="211">
        <f t="shared" si="193"/>
        <v>0.14816797464133885</v>
      </c>
      <c r="BE149" s="211">
        <f t="shared" si="193"/>
        <v>0.14509295221540752</v>
      </c>
      <c r="BF149" s="211">
        <f t="shared" si="193"/>
        <v>0.14264073224551888</v>
      </c>
      <c r="BG149" s="211">
        <f t="shared" si="193"/>
        <v>0.14223820090878564</v>
      </c>
      <c r="BH149" s="211">
        <f t="shared" si="193"/>
        <v>0.14327047154510894</v>
      </c>
      <c r="BI149" s="211">
        <f t="shared" si="193"/>
        <v>0.14273782061101536</v>
      </c>
      <c r="BJ149" s="211">
        <f t="shared" si="193"/>
        <v>0.14171318381092293</v>
      </c>
      <c r="BK149" s="74"/>
      <c r="BL149" s="91"/>
      <c r="BM149" s="23">
        <f t="shared" si="182"/>
        <v>143</v>
      </c>
    </row>
    <row r="150" spans="1:65" ht="12.75" hidden="1" customHeight="1" outlineLevel="2">
      <c r="A150" s="120"/>
      <c r="B150" s="126" t="s">
        <v>33</v>
      </c>
      <c r="C150" s="82">
        <v>1539.0166666666667</v>
      </c>
      <c r="D150" s="82">
        <v>1670.2499999999998</v>
      </c>
      <c r="E150" s="82">
        <v>1792.7416666666663</v>
      </c>
      <c r="F150" s="82">
        <v>1035.0666666666666</v>
      </c>
      <c r="G150" s="82">
        <v>1494.1250000000002</v>
      </c>
      <c r="H150" s="82">
        <v>1826.3416666666665</v>
      </c>
      <c r="I150" s="82">
        <v>1854.0666666666668</v>
      </c>
      <c r="J150" s="82">
        <v>1686.5791666666667</v>
      </c>
      <c r="K150" s="82">
        <v>1790.8291666666664</v>
      </c>
      <c r="L150" s="82">
        <v>937.77500000000009</v>
      </c>
      <c r="M150" s="82">
        <v>484.89166666666665</v>
      </c>
      <c r="N150" s="82">
        <v>851.9</v>
      </c>
      <c r="O150" s="82">
        <v>1053.6538461538462</v>
      </c>
      <c r="P150" s="82">
        <v>1132.5</v>
      </c>
      <c r="Q150" s="82">
        <v>1150</v>
      </c>
      <c r="R150" s="312"/>
      <c r="S150" s="82">
        <v>1283.0500000000002</v>
      </c>
      <c r="T150" s="82">
        <v>1454.9333333333334</v>
      </c>
      <c r="U150" s="82">
        <v>1590.5166666666669</v>
      </c>
      <c r="V150" s="82">
        <v>1648</v>
      </c>
      <c r="W150" s="82">
        <v>1674.3333333333333</v>
      </c>
      <c r="X150" s="82">
        <v>1780.8999999999999</v>
      </c>
      <c r="Y150" s="82">
        <v>1894.1499999999996</v>
      </c>
      <c r="Z150" s="82">
        <v>1955.9833333333333</v>
      </c>
      <c r="AA150" s="82">
        <v>1930.3</v>
      </c>
      <c r="AB150" s="82">
        <v>1903.35</v>
      </c>
      <c r="AC150" s="82">
        <v>1838.3166666666666</v>
      </c>
      <c r="AD150" s="82">
        <v>1744.2999999999997</v>
      </c>
      <c r="AE150" s="82">
        <v>1689.0833333333335</v>
      </c>
      <c r="AF150" s="82">
        <v>1687.6666666666667</v>
      </c>
      <c r="AG150" s="82">
        <v>1688.6833333333332</v>
      </c>
      <c r="AH150" s="82">
        <v>1680.8833333333332</v>
      </c>
      <c r="AI150" s="82">
        <v>1707.4666666666665</v>
      </c>
      <c r="AJ150" s="82">
        <v>1782.15</v>
      </c>
      <c r="AK150" s="82">
        <v>1829.8999999999999</v>
      </c>
      <c r="AL150" s="82">
        <v>1843.8</v>
      </c>
      <c r="AM150" s="82">
        <v>1323.7666666666669</v>
      </c>
      <c r="AN150" s="82">
        <v>874.48333333333335</v>
      </c>
      <c r="AO150" s="142">
        <v>829.58333333333337</v>
      </c>
      <c r="AP150" s="142">
        <v>723.26666666666688</v>
      </c>
      <c r="AQ150" s="142">
        <v>526.04999999999995</v>
      </c>
      <c r="AR150" s="142">
        <v>393.73333333333335</v>
      </c>
      <c r="AS150" s="142">
        <v>457.90000000000003</v>
      </c>
      <c r="AT150" s="142">
        <v>561.88333333333321</v>
      </c>
      <c r="AU150" s="142">
        <v>715.55000000000018</v>
      </c>
      <c r="AV150" s="142">
        <v>867.88333333333321</v>
      </c>
      <c r="AW150" s="142">
        <v>924.49999999999989</v>
      </c>
      <c r="AX150" s="142">
        <v>899.66666666666663</v>
      </c>
      <c r="AY150" s="82">
        <v>984.61538461538464</v>
      </c>
      <c r="AZ150" s="82">
        <v>1045</v>
      </c>
      <c r="BA150" s="82">
        <v>1080</v>
      </c>
      <c r="BB150" s="82">
        <v>1105</v>
      </c>
      <c r="BC150" s="82">
        <v>1115</v>
      </c>
      <c r="BD150" s="82">
        <v>1125</v>
      </c>
      <c r="BE150" s="82">
        <v>1140</v>
      </c>
      <c r="BF150" s="82">
        <v>1150</v>
      </c>
      <c r="BG150" s="82">
        <v>1150</v>
      </c>
      <c r="BH150" s="82">
        <v>1150</v>
      </c>
      <c r="BI150" s="82">
        <v>1150</v>
      </c>
      <c r="BJ150" s="82">
        <v>1150</v>
      </c>
      <c r="BK150" s="74"/>
      <c r="BL150" s="91"/>
      <c r="BM150" s="23">
        <f t="shared" si="182"/>
        <v>144</v>
      </c>
    </row>
    <row r="151" spans="1:65" ht="12.75" hidden="1" customHeight="1" outlineLevel="2">
      <c r="A151" s="120"/>
      <c r="B151" s="128" t="s">
        <v>30</v>
      </c>
      <c r="C151" s="80"/>
      <c r="D151" s="80">
        <f t="shared" ref="D151:Q151" si="194">D150/C150-1</f>
        <v>8.527089808427446E-2</v>
      </c>
      <c r="E151" s="80">
        <f t="shared" si="194"/>
        <v>7.3337324751783672E-2</v>
      </c>
      <c r="F151" s="80">
        <f t="shared" si="194"/>
        <v>-0.42263479121829217</v>
      </c>
      <c r="G151" s="80">
        <f t="shared" si="194"/>
        <v>0.44350605436042789</v>
      </c>
      <c r="H151" s="80">
        <f t="shared" si="194"/>
        <v>0.22234864329735871</v>
      </c>
      <c r="I151" s="80">
        <f t="shared" si="194"/>
        <v>1.5180620639621223E-2</v>
      </c>
      <c r="J151" s="80">
        <f t="shared" si="194"/>
        <v>-9.0335209089928536E-2</v>
      </c>
      <c r="K151" s="80">
        <f t="shared" si="194"/>
        <v>6.1811507019879919E-2</v>
      </c>
      <c r="L151" s="80">
        <f t="shared" si="194"/>
        <v>-0.47634591983694696</v>
      </c>
      <c r="M151" s="80">
        <f t="shared" si="194"/>
        <v>-0.4829338949463714</v>
      </c>
      <c r="N151" s="80">
        <f t="shared" si="194"/>
        <v>0.75688727722687199</v>
      </c>
      <c r="O151" s="80">
        <f t="shared" si="194"/>
        <v>0.23682808563663138</v>
      </c>
      <c r="P151" s="80">
        <f t="shared" si="194"/>
        <v>7.4831173571819676E-2</v>
      </c>
      <c r="Q151" s="80">
        <f t="shared" si="194"/>
        <v>1.5452538631346657E-2</v>
      </c>
      <c r="R151" s="310"/>
      <c r="S151" s="74"/>
      <c r="T151" s="80">
        <f t="shared" ref="T151:BJ151" si="195">T150/S150-1</f>
        <v>0.13396464154423682</v>
      </c>
      <c r="U151" s="80">
        <f t="shared" si="195"/>
        <v>9.3188691348973673E-2</v>
      </c>
      <c r="V151" s="80">
        <f t="shared" si="195"/>
        <v>3.6141295805346196E-2</v>
      </c>
      <c r="W151" s="80">
        <f t="shared" si="195"/>
        <v>1.5978964401294427E-2</v>
      </c>
      <c r="X151" s="80">
        <f t="shared" si="195"/>
        <v>6.3647222775233825E-2</v>
      </c>
      <c r="Y151" s="80">
        <f t="shared" si="195"/>
        <v>6.359144252905824E-2</v>
      </c>
      <c r="Z151" s="80">
        <f t="shared" si="195"/>
        <v>3.2644369946062124E-2</v>
      </c>
      <c r="AA151" s="80">
        <f t="shared" si="195"/>
        <v>-1.3130650397498278E-2</v>
      </c>
      <c r="AB151" s="80">
        <f t="shared" si="195"/>
        <v>-1.3961560379215698E-2</v>
      </c>
      <c r="AC151" s="80">
        <f t="shared" si="195"/>
        <v>-3.4167826901690845E-2</v>
      </c>
      <c r="AD151" s="80">
        <f t="shared" si="195"/>
        <v>-5.1142802745265281E-2</v>
      </c>
      <c r="AE151" s="80">
        <f t="shared" si="195"/>
        <v>-3.1655487397045379E-2</v>
      </c>
      <c r="AF151" s="80">
        <f t="shared" si="195"/>
        <v>-8.3871922640488261E-4</v>
      </c>
      <c r="AG151" s="80">
        <f t="shared" si="195"/>
        <v>6.0240963855417995E-4</v>
      </c>
      <c r="AH151" s="80">
        <f t="shared" si="195"/>
        <v>-4.6189832315116641E-3</v>
      </c>
      <c r="AI151" s="80">
        <f t="shared" si="195"/>
        <v>1.5815097220707397E-2</v>
      </c>
      <c r="AJ151" s="80">
        <f t="shared" si="195"/>
        <v>4.3739262845541305E-2</v>
      </c>
      <c r="AK151" s="80">
        <f t="shared" si="195"/>
        <v>2.6793479785651941E-2</v>
      </c>
      <c r="AL151" s="80">
        <f t="shared" si="195"/>
        <v>7.5960434996449333E-3</v>
      </c>
      <c r="AM151" s="80">
        <f t="shared" si="195"/>
        <v>-0.28204432874136731</v>
      </c>
      <c r="AN151" s="80">
        <f t="shared" si="195"/>
        <v>-0.33939767834210466</v>
      </c>
      <c r="AO151" s="11">
        <f t="shared" si="195"/>
        <v>-5.1344603480150131E-2</v>
      </c>
      <c r="AP151" s="11">
        <f t="shared" si="195"/>
        <v>-0.12815670517327959</v>
      </c>
      <c r="AQ151" s="11">
        <f t="shared" si="195"/>
        <v>-0.27267490091252677</v>
      </c>
      <c r="AR151" s="11">
        <f t="shared" si="195"/>
        <v>-0.25152868865443712</v>
      </c>
      <c r="AS151" s="11">
        <f t="shared" si="195"/>
        <v>0.16296986115814427</v>
      </c>
      <c r="AT151" s="11">
        <f t="shared" si="195"/>
        <v>0.22708742811385285</v>
      </c>
      <c r="AU151" s="11">
        <f t="shared" si="195"/>
        <v>0.27348500578411938</v>
      </c>
      <c r="AV151" s="11">
        <f t="shared" si="195"/>
        <v>0.21288985162928231</v>
      </c>
      <c r="AW151" s="11">
        <f t="shared" si="195"/>
        <v>6.523534269199005E-2</v>
      </c>
      <c r="AX151" s="11">
        <f t="shared" si="195"/>
        <v>-2.6861366504416728E-2</v>
      </c>
      <c r="AY151" s="80">
        <f t="shared" si="195"/>
        <v>9.4422435659931025E-2</v>
      </c>
      <c r="AZ151" s="80">
        <f t="shared" si="195"/>
        <v>6.1328124999999956E-2</v>
      </c>
      <c r="BA151" s="80">
        <f t="shared" si="195"/>
        <v>3.3492822966507241E-2</v>
      </c>
      <c r="BB151" s="80">
        <f t="shared" si="195"/>
        <v>2.314814814814814E-2</v>
      </c>
      <c r="BC151" s="80">
        <f t="shared" si="195"/>
        <v>9.0497737556560764E-3</v>
      </c>
      <c r="BD151" s="80">
        <f t="shared" si="195"/>
        <v>8.9686098654708779E-3</v>
      </c>
      <c r="BE151" s="80">
        <f t="shared" si="195"/>
        <v>1.3333333333333419E-2</v>
      </c>
      <c r="BF151" s="80">
        <f t="shared" si="195"/>
        <v>8.7719298245614308E-3</v>
      </c>
      <c r="BG151" s="80">
        <f t="shared" si="195"/>
        <v>0</v>
      </c>
      <c r="BH151" s="80">
        <f t="shared" si="195"/>
        <v>0</v>
      </c>
      <c r="BI151" s="80">
        <f t="shared" si="195"/>
        <v>0</v>
      </c>
      <c r="BJ151" s="80">
        <f t="shared" si="195"/>
        <v>0</v>
      </c>
      <c r="BK151" s="74"/>
      <c r="BL151" s="91"/>
      <c r="BM151" s="23">
        <f t="shared" si="182"/>
        <v>145</v>
      </c>
    </row>
    <row r="152" spans="1:65" ht="12.75" hidden="1" customHeight="1" outlineLevel="2">
      <c r="A152" s="120"/>
      <c r="B152" s="128" t="s">
        <v>35</v>
      </c>
      <c r="C152" s="74"/>
      <c r="D152" s="74"/>
      <c r="E152" s="83">
        <f t="shared" ref="E152:Q152" si="196">E43/E150*1000</f>
        <v>532.14582878180079</v>
      </c>
      <c r="F152" s="83">
        <f t="shared" si="196"/>
        <v>760.33749838979782</v>
      </c>
      <c r="G152" s="83">
        <f t="shared" si="196"/>
        <v>1018.6564042499788</v>
      </c>
      <c r="H152" s="83">
        <f t="shared" si="196"/>
        <v>1105.1601334178984</v>
      </c>
      <c r="I152" s="83">
        <f t="shared" si="196"/>
        <v>1574.2691740678147</v>
      </c>
      <c r="J152" s="83">
        <f t="shared" si="196"/>
        <v>2417.7275995049149</v>
      </c>
      <c r="K152" s="83">
        <f t="shared" si="196"/>
        <v>3761.3861363102292</v>
      </c>
      <c r="L152" s="83">
        <f t="shared" si="196"/>
        <v>6484.4978806216832</v>
      </c>
      <c r="M152" s="83">
        <f t="shared" si="196"/>
        <v>13285.441765342775</v>
      </c>
      <c r="N152" s="83">
        <f t="shared" si="196"/>
        <v>13610.752435731893</v>
      </c>
      <c r="O152" s="83">
        <f t="shared" si="196"/>
        <v>16276.69282715824</v>
      </c>
      <c r="P152" s="83">
        <f t="shared" si="196"/>
        <v>18366.445916114793</v>
      </c>
      <c r="Q152" s="83">
        <f t="shared" si="196"/>
        <v>18086.956521739128</v>
      </c>
      <c r="R152" s="310"/>
      <c r="S152" s="83">
        <f t="shared" ref="S152:BJ152" si="197">S43/S150*1000</f>
        <v>243.1705701258719</v>
      </c>
      <c r="T152" s="83">
        <f t="shared" si="197"/>
        <v>252.24523460410558</v>
      </c>
      <c r="U152" s="83">
        <f t="shared" si="197"/>
        <v>254.63423835022158</v>
      </c>
      <c r="V152" s="83">
        <f t="shared" si="197"/>
        <v>265.77669902912623</v>
      </c>
      <c r="W152" s="83">
        <f t="shared" si="197"/>
        <v>259.20764483376468</v>
      </c>
      <c r="X152" s="83">
        <f t="shared" si="197"/>
        <v>300.40990510416083</v>
      </c>
      <c r="Y152" s="83">
        <f t="shared" si="197"/>
        <v>242.32505345405593</v>
      </c>
      <c r="Z152" s="83">
        <f t="shared" si="197"/>
        <v>301.8430627391167</v>
      </c>
      <c r="AA152" s="83">
        <f t="shared" si="197"/>
        <v>351.75879396984925</v>
      </c>
      <c r="AB152" s="83">
        <f t="shared" si="197"/>
        <v>359.89176977434522</v>
      </c>
      <c r="AC152" s="83">
        <f t="shared" si="197"/>
        <v>418.31748247944228</v>
      </c>
      <c r="AD152" s="83">
        <f t="shared" si="197"/>
        <v>450.49590093447233</v>
      </c>
      <c r="AE152" s="83">
        <f t="shared" si="197"/>
        <v>545.01100202279338</v>
      </c>
      <c r="AF152" s="83">
        <f t="shared" si="197"/>
        <v>585.49476594904206</v>
      </c>
      <c r="AG152" s="83">
        <f t="shared" si="197"/>
        <v>622.97055891671027</v>
      </c>
      <c r="AH152" s="83">
        <f t="shared" si="197"/>
        <v>664.53154591335908</v>
      </c>
      <c r="AI152" s="83">
        <f t="shared" si="197"/>
        <v>781.86006559425277</v>
      </c>
      <c r="AJ152" s="83">
        <f t="shared" si="197"/>
        <v>846.1689532306483</v>
      </c>
      <c r="AK152" s="83">
        <f t="shared" si="197"/>
        <v>1035.5757145199191</v>
      </c>
      <c r="AL152" s="83">
        <f t="shared" si="197"/>
        <v>1083.631630328669</v>
      </c>
      <c r="AM152" s="83">
        <f t="shared" si="197"/>
        <v>1275.1491954775511</v>
      </c>
      <c r="AN152" s="83">
        <f t="shared" si="197"/>
        <v>1399.683622710553</v>
      </c>
      <c r="AO152" s="143">
        <f t="shared" si="197"/>
        <v>1947.9658463083877</v>
      </c>
      <c r="AP152" s="143">
        <f t="shared" si="197"/>
        <v>2147.2025071435146</v>
      </c>
      <c r="AQ152" s="143">
        <f t="shared" si="197"/>
        <v>2682.2545385419639</v>
      </c>
      <c r="AR152" s="143">
        <f t="shared" si="197"/>
        <v>3385.5401286826955</v>
      </c>
      <c r="AS152" s="143">
        <f t="shared" si="197"/>
        <v>3531.3387202445947</v>
      </c>
      <c r="AT152" s="143">
        <f t="shared" si="197"/>
        <v>3703.6158158573853</v>
      </c>
      <c r="AU152" s="143">
        <f t="shared" si="197"/>
        <v>3538.5367898819081</v>
      </c>
      <c r="AV152" s="143">
        <f t="shared" si="197"/>
        <v>3162.8675129145627</v>
      </c>
      <c r="AW152" s="143">
        <f t="shared" si="197"/>
        <v>3404.0021633315309</v>
      </c>
      <c r="AX152" s="143">
        <f t="shared" si="197"/>
        <v>3524.6387550944796</v>
      </c>
      <c r="AY152" s="83">
        <f t="shared" si="197"/>
        <v>3199.21875</v>
      </c>
      <c r="AZ152" s="83">
        <f t="shared" si="197"/>
        <v>3732.0574162679427</v>
      </c>
      <c r="BA152" s="83">
        <f t="shared" si="197"/>
        <v>4537.0370370370374</v>
      </c>
      <c r="BB152" s="83">
        <f t="shared" si="197"/>
        <v>4705.8823529411766</v>
      </c>
      <c r="BC152" s="83">
        <f t="shared" si="197"/>
        <v>4663.6771300448436</v>
      </c>
      <c r="BD152" s="83">
        <f t="shared" si="197"/>
        <v>4622.2222222222217</v>
      </c>
      <c r="BE152" s="83">
        <f t="shared" si="197"/>
        <v>4561.4035087719294</v>
      </c>
      <c r="BF152" s="83">
        <f t="shared" si="197"/>
        <v>4521.7391304347821</v>
      </c>
      <c r="BG152" s="83">
        <f t="shared" si="197"/>
        <v>4521.7391304347821</v>
      </c>
      <c r="BH152" s="83">
        <f t="shared" si="197"/>
        <v>4521.7391304347821</v>
      </c>
      <c r="BI152" s="83">
        <f t="shared" si="197"/>
        <v>4521.7391304347821</v>
      </c>
      <c r="BJ152" s="83">
        <f t="shared" si="197"/>
        <v>4521.7391304347821</v>
      </c>
      <c r="BK152" s="74"/>
      <c r="BL152" s="91"/>
      <c r="BM152" s="23">
        <f t="shared" si="182"/>
        <v>146</v>
      </c>
    </row>
    <row r="153" spans="1:65" ht="12.75" hidden="1" customHeight="1" outlineLevel="2">
      <c r="A153" s="120"/>
      <c r="B153" s="126" t="s">
        <v>34</v>
      </c>
      <c r="C153" s="82">
        <v>283.77499999999998</v>
      </c>
      <c r="D153" s="82">
        <v>392.60833333333335</v>
      </c>
      <c r="E153" s="82">
        <v>553.17083333333335</v>
      </c>
      <c r="F153" s="82">
        <v>453.67499999999995</v>
      </c>
      <c r="G153" s="82">
        <v>817.22500000000002</v>
      </c>
      <c r="H153" s="82">
        <v>1072.2166666666667</v>
      </c>
      <c r="I153" s="82">
        <v>1150.5666666666666</v>
      </c>
      <c r="J153" s="82">
        <v>1101.925</v>
      </c>
      <c r="K153" s="82">
        <v>1275.1500000000001</v>
      </c>
      <c r="L153" s="82">
        <v>743.9041666666667</v>
      </c>
      <c r="M153" s="82">
        <v>401.43333333333334</v>
      </c>
      <c r="N153" s="82">
        <v>734.7833333333333</v>
      </c>
      <c r="O153" s="82">
        <v>916.15384615384619</v>
      </c>
      <c r="P153" s="82">
        <v>982.5</v>
      </c>
      <c r="Q153" s="82">
        <v>1000</v>
      </c>
      <c r="R153" s="312"/>
      <c r="S153" s="82">
        <v>660.26666666666665</v>
      </c>
      <c r="T153" s="82">
        <v>783.23333333333323</v>
      </c>
      <c r="U153" s="82">
        <v>885.4666666666667</v>
      </c>
      <c r="V153" s="82">
        <v>939.93333333333339</v>
      </c>
      <c r="W153" s="82">
        <v>977.5</v>
      </c>
      <c r="X153" s="82">
        <v>1040.55</v>
      </c>
      <c r="Y153" s="82">
        <v>1114.7333333333333</v>
      </c>
      <c r="Z153" s="82">
        <v>1156.0833333333333</v>
      </c>
      <c r="AA153" s="82">
        <v>1171.3666666666666</v>
      </c>
      <c r="AB153" s="82">
        <v>1168.1499999999999</v>
      </c>
      <c r="AC153" s="82">
        <v>1152.9666666666667</v>
      </c>
      <c r="AD153" s="82">
        <v>1109.7833333333333</v>
      </c>
      <c r="AE153" s="82">
        <v>1126.9833333333333</v>
      </c>
      <c r="AF153" s="82">
        <v>1088.1166666666666</v>
      </c>
      <c r="AG153" s="82">
        <v>1072.7</v>
      </c>
      <c r="AH153" s="82">
        <v>1119.8999999999999</v>
      </c>
      <c r="AI153" s="82">
        <v>1184.2166666666667</v>
      </c>
      <c r="AJ153" s="82">
        <v>1242.8</v>
      </c>
      <c r="AK153" s="82">
        <v>1313.6666666666667</v>
      </c>
      <c r="AL153" s="82">
        <v>1359.9166666666667</v>
      </c>
      <c r="AM153" s="82">
        <v>1037.7166666666667</v>
      </c>
      <c r="AN153" s="82">
        <v>702.36666666666667</v>
      </c>
      <c r="AO153" s="142">
        <v>657.9666666666667</v>
      </c>
      <c r="AP153" s="142">
        <v>577.56666666666672</v>
      </c>
      <c r="AQ153" s="142">
        <v>437.40000000000003</v>
      </c>
      <c r="AR153" s="142">
        <v>324.7</v>
      </c>
      <c r="AS153" s="142">
        <v>373.09999999999997</v>
      </c>
      <c r="AT153" s="142">
        <v>470.5333333333333</v>
      </c>
      <c r="AU153" s="142">
        <v>606.69999999999993</v>
      </c>
      <c r="AV153" s="142">
        <v>748.63333333333333</v>
      </c>
      <c r="AW153" s="142">
        <v>799.73333333333323</v>
      </c>
      <c r="AX153" s="142">
        <v>784.06666666666661</v>
      </c>
      <c r="AY153" s="82">
        <v>859.61538461538464</v>
      </c>
      <c r="AZ153" s="82">
        <v>910</v>
      </c>
      <c r="BA153" s="82">
        <v>940</v>
      </c>
      <c r="BB153" s="82">
        <v>955</v>
      </c>
      <c r="BC153" s="82">
        <v>965</v>
      </c>
      <c r="BD153" s="82">
        <v>975</v>
      </c>
      <c r="BE153" s="82">
        <v>990</v>
      </c>
      <c r="BF153" s="82">
        <v>1000</v>
      </c>
      <c r="BG153" s="82">
        <v>1000</v>
      </c>
      <c r="BH153" s="82">
        <v>1000</v>
      </c>
      <c r="BI153" s="82">
        <v>1000</v>
      </c>
      <c r="BJ153" s="82">
        <v>1000</v>
      </c>
      <c r="BK153" s="74"/>
      <c r="BL153" s="91"/>
      <c r="BM153" s="23">
        <f t="shared" si="182"/>
        <v>147</v>
      </c>
    </row>
    <row r="154" spans="1:65" ht="12.75" hidden="1" customHeight="1" outlineLevel="2">
      <c r="A154" s="120"/>
      <c r="B154" s="128" t="s">
        <v>30</v>
      </c>
      <c r="C154" s="74"/>
      <c r="D154" s="80">
        <f t="shared" ref="D154:Q154" si="198">D153/C153-1</f>
        <v>0.38351980735911684</v>
      </c>
      <c r="E154" s="80">
        <f t="shared" si="198"/>
        <v>0.40896355570649279</v>
      </c>
      <c r="F154" s="80">
        <f t="shared" si="198"/>
        <v>-0.17986456866097733</v>
      </c>
      <c r="G154" s="80">
        <f t="shared" si="198"/>
        <v>0.80134457486085875</v>
      </c>
      <c r="H154" s="80">
        <f t="shared" si="198"/>
        <v>0.31202137314285139</v>
      </c>
      <c r="I154" s="80">
        <f t="shared" si="198"/>
        <v>7.3072917476256327E-2</v>
      </c>
      <c r="J154" s="80">
        <f t="shared" si="198"/>
        <v>-4.2276269664223376E-2</v>
      </c>
      <c r="K154" s="80">
        <f t="shared" si="198"/>
        <v>0.15720216893164252</v>
      </c>
      <c r="L154" s="80">
        <f t="shared" si="198"/>
        <v>-0.41661438523572392</v>
      </c>
      <c r="M154" s="80">
        <f t="shared" si="198"/>
        <v>-0.46036955925102363</v>
      </c>
      <c r="N154" s="80">
        <f t="shared" si="198"/>
        <v>0.83039940214232333</v>
      </c>
      <c r="O154" s="80">
        <f t="shared" si="198"/>
        <v>0.24683536573662934</v>
      </c>
      <c r="P154" s="80">
        <f t="shared" si="198"/>
        <v>7.2418136020151014E-2</v>
      </c>
      <c r="Q154" s="80">
        <f t="shared" si="198"/>
        <v>1.7811704834605591E-2</v>
      </c>
      <c r="R154" s="310"/>
      <c r="S154" s="74"/>
      <c r="T154" s="80">
        <f t="shared" ref="T154:BJ154" si="199">T153/S153-1</f>
        <v>0.18623788368336003</v>
      </c>
      <c r="U154" s="80">
        <f t="shared" si="199"/>
        <v>0.13052730135762025</v>
      </c>
      <c r="V154" s="80">
        <f t="shared" si="199"/>
        <v>6.1511820508959536E-2</v>
      </c>
      <c r="W154" s="80">
        <f t="shared" si="199"/>
        <v>3.9967373572593834E-2</v>
      </c>
      <c r="X154" s="80">
        <f t="shared" si="199"/>
        <v>6.4501278772378434E-2</v>
      </c>
      <c r="Y154" s="80">
        <f t="shared" si="199"/>
        <v>7.1292425480114829E-2</v>
      </c>
      <c r="Z154" s="80">
        <f t="shared" si="199"/>
        <v>3.7094073320973475E-2</v>
      </c>
      <c r="AA154" s="80">
        <f t="shared" si="199"/>
        <v>1.3219923592589833E-2</v>
      </c>
      <c r="AB154" s="80">
        <f t="shared" si="199"/>
        <v>-2.7460800774025129E-3</v>
      </c>
      <c r="AC154" s="80">
        <f t="shared" si="199"/>
        <v>-1.2997759990868607E-2</v>
      </c>
      <c r="AD154" s="80">
        <f t="shared" si="199"/>
        <v>-3.7454103905866121E-2</v>
      </c>
      <c r="AE154" s="80">
        <f t="shared" si="199"/>
        <v>1.549852073227509E-2</v>
      </c>
      <c r="AF154" s="80">
        <f t="shared" si="199"/>
        <v>-3.4487348230527015E-2</v>
      </c>
      <c r="AG154" s="80">
        <f t="shared" si="199"/>
        <v>-1.4168211129321207E-2</v>
      </c>
      <c r="AH154" s="80">
        <f t="shared" si="199"/>
        <v>4.4001118672508444E-2</v>
      </c>
      <c r="AI154" s="80">
        <f t="shared" si="199"/>
        <v>5.7430722981218763E-2</v>
      </c>
      <c r="AJ154" s="80">
        <f t="shared" si="199"/>
        <v>4.947011385866884E-2</v>
      </c>
      <c r="AK154" s="80">
        <f t="shared" si="199"/>
        <v>5.7021778779100973E-2</v>
      </c>
      <c r="AL154" s="80">
        <f t="shared" si="199"/>
        <v>3.5206800304491193E-2</v>
      </c>
      <c r="AM154" s="80">
        <f t="shared" si="199"/>
        <v>-0.23692628224768675</v>
      </c>
      <c r="AN154" s="80">
        <f t="shared" si="199"/>
        <v>-0.32316142813548976</v>
      </c>
      <c r="AO154" s="11">
        <f t="shared" si="199"/>
        <v>-6.3214845047695811E-2</v>
      </c>
      <c r="AP154" s="11">
        <f t="shared" si="199"/>
        <v>-0.12219464005268754</v>
      </c>
      <c r="AQ154" s="11">
        <f t="shared" si="199"/>
        <v>-0.24268482714838113</v>
      </c>
      <c r="AR154" s="11">
        <f t="shared" si="199"/>
        <v>-0.25765889346136273</v>
      </c>
      <c r="AS154" s="11">
        <f t="shared" si="199"/>
        <v>0.14906067138897439</v>
      </c>
      <c r="AT154" s="11">
        <f t="shared" si="199"/>
        <v>0.26114535870633437</v>
      </c>
      <c r="AU154" s="11">
        <f t="shared" si="199"/>
        <v>0.28938792859166895</v>
      </c>
      <c r="AV154" s="11">
        <f t="shared" si="199"/>
        <v>0.23394318993461916</v>
      </c>
      <c r="AW154" s="11">
        <f t="shared" si="199"/>
        <v>6.8257714056725538E-2</v>
      </c>
      <c r="AX154" s="11">
        <f t="shared" si="199"/>
        <v>-1.9589863287762577E-2</v>
      </c>
      <c r="AY154" s="80">
        <f t="shared" si="199"/>
        <v>9.6354967199283381E-2</v>
      </c>
      <c r="AZ154" s="80">
        <f t="shared" si="199"/>
        <v>5.8612975391498789E-2</v>
      </c>
      <c r="BA154" s="80">
        <f t="shared" si="199"/>
        <v>3.2967032967033072E-2</v>
      </c>
      <c r="BB154" s="80">
        <f t="shared" si="199"/>
        <v>1.5957446808510634E-2</v>
      </c>
      <c r="BC154" s="80">
        <f t="shared" si="199"/>
        <v>1.0471204188481575E-2</v>
      </c>
      <c r="BD154" s="80">
        <f t="shared" si="199"/>
        <v>1.0362694300518172E-2</v>
      </c>
      <c r="BE154" s="80">
        <f t="shared" si="199"/>
        <v>1.538461538461533E-2</v>
      </c>
      <c r="BF154" s="80">
        <f t="shared" si="199"/>
        <v>1.0101010101010166E-2</v>
      </c>
      <c r="BG154" s="80">
        <f t="shared" si="199"/>
        <v>0</v>
      </c>
      <c r="BH154" s="80">
        <f t="shared" si="199"/>
        <v>0</v>
      </c>
      <c r="BI154" s="80">
        <f t="shared" si="199"/>
        <v>0</v>
      </c>
      <c r="BJ154" s="80">
        <f t="shared" si="199"/>
        <v>0</v>
      </c>
      <c r="BK154" s="74"/>
      <c r="BL154" s="91"/>
      <c r="BM154" s="23">
        <f t="shared" si="182"/>
        <v>148</v>
      </c>
    </row>
    <row r="155" spans="1:65" ht="12.75" hidden="1" customHeight="1" outlineLevel="2">
      <c r="A155" s="120"/>
      <c r="B155" s="128" t="s">
        <v>36</v>
      </c>
      <c r="C155" s="74"/>
      <c r="D155" s="74"/>
      <c r="E155" s="83">
        <f t="shared" ref="E155:Q155" si="200">E43*1000/E153</f>
        <v>1724.6028577669647</v>
      </c>
      <c r="F155" s="83">
        <f t="shared" si="200"/>
        <v>1734.7219926158596</v>
      </c>
      <c r="G155" s="83">
        <f t="shared" si="200"/>
        <v>1862.4001957845146</v>
      </c>
      <c r="H155" s="83">
        <f t="shared" si="200"/>
        <v>1882.4553495095829</v>
      </c>
      <c r="I155" s="83">
        <f t="shared" si="200"/>
        <v>2536.8369209375091</v>
      </c>
      <c r="J155" s="83">
        <f t="shared" si="200"/>
        <v>3700.5141003244325</v>
      </c>
      <c r="K155" s="83">
        <f t="shared" si="200"/>
        <v>5282.5157824569651</v>
      </c>
      <c r="L155" s="83">
        <f t="shared" si="200"/>
        <v>8174.4400320381765</v>
      </c>
      <c r="M155" s="83">
        <f t="shared" si="200"/>
        <v>16047.496470978991</v>
      </c>
      <c r="N155" s="83">
        <f t="shared" si="200"/>
        <v>15780.161952503006</v>
      </c>
      <c r="O155" s="83">
        <f t="shared" si="200"/>
        <v>18719.563392107473</v>
      </c>
      <c r="P155" s="83">
        <f t="shared" si="200"/>
        <v>21170.483460559797</v>
      </c>
      <c r="Q155" s="83">
        <f t="shared" si="200"/>
        <v>20800</v>
      </c>
      <c r="R155" s="310"/>
      <c r="S155" s="83">
        <f t="shared" ref="S155:BJ155" si="201">S43*1000/S153</f>
        <v>472.53634894991922</v>
      </c>
      <c r="T155" s="83">
        <f t="shared" si="201"/>
        <v>468.57045580286854</v>
      </c>
      <c r="U155" s="83">
        <f t="shared" si="201"/>
        <v>457.38593585303414</v>
      </c>
      <c r="V155" s="83">
        <f t="shared" si="201"/>
        <v>465.99049577984249</v>
      </c>
      <c r="W155" s="83">
        <f t="shared" si="201"/>
        <v>443.98976982097184</v>
      </c>
      <c r="X155" s="83">
        <f t="shared" si="201"/>
        <v>514.15117005429818</v>
      </c>
      <c r="Y155" s="83">
        <f t="shared" si="201"/>
        <v>411.75766999581361</v>
      </c>
      <c r="Z155" s="83">
        <f t="shared" si="201"/>
        <v>510.68982916456429</v>
      </c>
      <c r="AA155" s="83">
        <f t="shared" si="201"/>
        <v>579.66477903303837</v>
      </c>
      <c r="AB155" s="83">
        <f t="shared" si="201"/>
        <v>586.39729486795363</v>
      </c>
      <c r="AC155" s="83">
        <f t="shared" si="201"/>
        <v>666.97504987134641</v>
      </c>
      <c r="AD155" s="83">
        <f t="shared" si="201"/>
        <v>708.06613903614823</v>
      </c>
      <c r="AE155" s="83">
        <f t="shared" si="201"/>
        <v>816.84349073485259</v>
      </c>
      <c r="AF155" s="83">
        <f t="shared" si="201"/>
        <v>908.10115336897093</v>
      </c>
      <c r="AG155" s="83">
        <f t="shared" si="201"/>
        <v>980.70289922625147</v>
      </c>
      <c r="AH155" s="83">
        <f t="shared" si="201"/>
        <v>997.41048307884648</v>
      </c>
      <c r="AI155" s="83">
        <f t="shared" si="201"/>
        <v>1127.3274879315441</v>
      </c>
      <c r="AJ155" s="83">
        <f t="shared" si="201"/>
        <v>1213.3891213389122</v>
      </c>
      <c r="AK155" s="83">
        <f t="shared" si="201"/>
        <v>1442.5272773407764</v>
      </c>
      <c r="AL155" s="83">
        <f t="shared" si="201"/>
        <v>1469.2076720387279</v>
      </c>
      <c r="AM155" s="83">
        <f t="shared" si="201"/>
        <v>1626.6482501646242</v>
      </c>
      <c r="AN155" s="83">
        <f t="shared" si="201"/>
        <v>1742.6795121256703</v>
      </c>
      <c r="AO155" s="143">
        <f t="shared" si="201"/>
        <v>2456.0514717057599</v>
      </c>
      <c r="AP155" s="143">
        <f t="shared" si="201"/>
        <v>2688.8670860506722</v>
      </c>
      <c r="AQ155" s="143">
        <f t="shared" si="201"/>
        <v>3225.8802011888429</v>
      </c>
      <c r="AR155" s="143">
        <f t="shared" si="201"/>
        <v>4105.3279950723745</v>
      </c>
      <c r="AS155" s="143">
        <f t="shared" si="201"/>
        <v>4333.9587242026273</v>
      </c>
      <c r="AT155" s="143">
        <f t="shared" si="201"/>
        <v>4422.6409747803909</v>
      </c>
      <c r="AU155" s="143">
        <f t="shared" si="201"/>
        <v>4173.39706609527</v>
      </c>
      <c r="AV155" s="143">
        <f t="shared" si="201"/>
        <v>3666.6815085266485</v>
      </c>
      <c r="AW155" s="143">
        <f t="shared" si="201"/>
        <v>3935.0616872290771</v>
      </c>
      <c r="AX155" s="143">
        <f t="shared" si="201"/>
        <v>4044.2989541705642</v>
      </c>
      <c r="AY155" s="83">
        <f t="shared" si="201"/>
        <v>3664.429530201342</v>
      </c>
      <c r="AZ155" s="83">
        <f t="shared" si="201"/>
        <v>4285.7142857142853</v>
      </c>
      <c r="BA155" s="83">
        <f t="shared" si="201"/>
        <v>5212.7659574468089</v>
      </c>
      <c r="BB155" s="83">
        <f t="shared" si="201"/>
        <v>5445.0261780104711</v>
      </c>
      <c r="BC155" s="83">
        <f t="shared" si="201"/>
        <v>5388.6010362694296</v>
      </c>
      <c r="BD155" s="83">
        <f t="shared" si="201"/>
        <v>5333.333333333333</v>
      </c>
      <c r="BE155" s="83">
        <f t="shared" si="201"/>
        <v>5252.5252525252527</v>
      </c>
      <c r="BF155" s="83">
        <f t="shared" si="201"/>
        <v>5200</v>
      </c>
      <c r="BG155" s="83">
        <f t="shared" si="201"/>
        <v>5200</v>
      </c>
      <c r="BH155" s="83">
        <f t="shared" si="201"/>
        <v>5200</v>
      </c>
      <c r="BI155" s="83">
        <f t="shared" si="201"/>
        <v>5200</v>
      </c>
      <c r="BJ155" s="83">
        <f t="shared" si="201"/>
        <v>5200</v>
      </c>
      <c r="BK155" s="74"/>
      <c r="BL155" s="91"/>
      <c r="BM155" s="23">
        <f t="shared" si="182"/>
        <v>149</v>
      </c>
    </row>
    <row r="156" spans="1:65" ht="12.75" hidden="1" customHeight="1" outlineLevel="2">
      <c r="AQ156" s="88"/>
      <c r="AR156" s="88"/>
      <c r="AS156" s="88"/>
      <c r="AT156" s="88"/>
      <c r="AU156" s="88"/>
      <c r="AV156" s="88"/>
      <c r="AW156" s="88"/>
      <c r="AX156" s="88"/>
      <c r="BM156" s="23">
        <f t="shared" si="182"/>
        <v>150</v>
      </c>
    </row>
    <row r="157" spans="1:65" ht="12.75" customHeight="1" outlineLevel="1" collapsed="1">
      <c r="A157" s="118" t="s">
        <v>29</v>
      </c>
      <c r="B157" s="19" t="s">
        <v>123</v>
      </c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5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29"/>
      <c r="AR157" s="29"/>
      <c r="AS157" s="29"/>
      <c r="AT157" s="29"/>
      <c r="AU157" s="29"/>
      <c r="AV157" s="29"/>
      <c r="AW157" s="29"/>
      <c r="AX157" s="29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91"/>
      <c r="BM157" s="23">
        <f t="shared" si="182"/>
        <v>151</v>
      </c>
    </row>
    <row r="158" spans="1:65" ht="12.75" customHeight="1" outlineLevel="1">
      <c r="A158" s="118"/>
      <c r="B158" s="1" t="s">
        <v>287</v>
      </c>
      <c r="C158" s="1"/>
      <c r="D158" s="1"/>
      <c r="E158" s="20">
        <f>5017+418</f>
        <v>5435</v>
      </c>
      <c r="F158" s="20">
        <v>4302</v>
      </c>
      <c r="G158" s="20">
        <v>4443</v>
      </c>
      <c r="H158" s="20">
        <f>SUM(INDEX($S158:$AH158,H$5):INDEX($S158:$AH158,H$6))</f>
        <v>4270.6000000000004</v>
      </c>
      <c r="I158" s="20">
        <f>SUM(INDEX($S158:$AH158,I$5):INDEX($S158:$AH158,I$6))</f>
        <v>4251.8</v>
      </c>
      <c r="J158" s="20">
        <f>SUM(INDEX($S158:$AH158,J$5):INDEX($S158:$AH158,J$6))</f>
        <v>4091.1040000000003</v>
      </c>
      <c r="K158" s="20">
        <f>SUM(INDEX($S158:$BK158,K$5):INDEX($S158:$BK158,K$6))</f>
        <v>4192</v>
      </c>
      <c r="L158" s="20">
        <f>SUM(INDEX($S158:$BK158,L$5):INDEX($S158:$BK158,L$6))</f>
        <v>3943</v>
      </c>
      <c r="M158" s="20">
        <f>SUM(INDEX($S158:$BK158,M$5):INDEX($S158:$BK158,M$6))</f>
        <v>3433</v>
      </c>
      <c r="N158" s="20">
        <f>SUM(INDEX($S158:$BK158,N$5):INDEX($S158:$BK158,N$6))</f>
        <v>3533</v>
      </c>
      <c r="O158" s="20">
        <f>SUM(INDEX($S158:$BK158,O$5):INDEX($S158:$BK158,O$6))</f>
        <v>3638.99</v>
      </c>
      <c r="P158" s="20">
        <f>SUM(INDEX($S158:$BK158,P$5):INDEX($S158:$BK158,P$6))</f>
        <v>3748.1597000000002</v>
      </c>
      <c r="Q158" s="20">
        <f>SUM(INDEX($S158:$BK158,Q$5):INDEX($S158:$BK158,Q$6))</f>
        <v>3860.6044910000001</v>
      </c>
      <c r="R158" s="51"/>
      <c r="S158" s="134">
        <v>1077</v>
      </c>
      <c r="T158" s="134">
        <v>1195</v>
      </c>
      <c r="U158" s="134">
        <v>1152</v>
      </c>
      <c r="V158" s="134">
        <v>1019</v>
      </c>
      <c r="W158" s="134">
        <v>1034</v>
      </c>
      <c r="X158" s="134">
        <v>1106</v>
      </c>
      <c r="Y158" s="134">
        <v>1120</v>
      </c>
      <c r="Z158" s="134">
        <v>1010.6</v>
      </c>
      <c r="AA158" s="134">
        <v>1063.9000000000001</v>
      </c>
      <c r="AB158" s="134">
        <v>1098.4000000000001</v>
      </c>
      <c r="AC158" s="134">
        <v>1115.0999999999999</v>
      </c>
      <c r="AD158" s="134">
        <v>974.4</v>
      </c>
      <c r="AE158" s="134">
        <v>964.95600000000002</v>
      </c>
      <c r="AF158" s="134">
        <v>1060.4480000000001</v>
      </c>
      <c r="AG158" s="134">
        <v>1066</v>
      </c>
      <c r="AH158" s="134">
        <v>999.7</v>
      </c>
      <c r="AI158" s="134">
        <v>975.4</v>
      </c>
      <c r="AJ158" s="134">
        <v>1095</v>
      </c>
      <c r="AK158" s="134">
        <v>1098</v>
      </c>
      <c r="AL158" s="134">
        <f>4192-AK158-AJ158-AI158</f>
        <v>1023.6</v>
      </c>
      <c r="AM158" s="134">
        <v>983</v>
      </c>
      <c r="AN158" s="134">
        <v>1034</v>
      </c>
      <c r="AO158" s="134">
        <v>1007</v>
      </c>
      <c r="AP158" s="134">
        <f>3943-AO158-AN158-AM158</f>
        <v>919</v>
      </c>
      <c r="AQ158" s="134">
        <v>862</v>
      </c>
      <c r="AR158" s="134">
        <v>904</v>
      </c>
      <c r="AS158" s="134">
        <v>876</v>
      </c>
      <c r="AT158" s="134">
        <f>3433-AS158-AR158-AQ158</f>
        <v>791</v>
      </c>
      <c r="AU158" s="134">
        <v>861</v>
      </c>
      <c r="AV158" s="134">
        <v>893</v>
      </c>
      <c r="AW158" s="134">
        <v>928</v>
      </c>
      <c r="AX158" s="134">
        <v>851</v>
      </c>
      <c r="AY158" s="99">
        <f>AU158*1.03</f>
        <v>886.83</v>
      </c>
      <c r="AZ158" s="99">
        <f>AV158*1.03</f>
        <v>919.79000000000008</v>
      </c>
      <c r="BA158" s="99">
        <f>AW158*1.03</f>
        <v>955.84</v>
      </c>
      <c r="BB158" s="99">
        <f>AX158*1.03</f>
        <v>876.53</v>
      </c>
      <c r="BC158" s="99">
        <f>AY158*1.03</f>
        <v>913.43490000000008</v>
      </c>
      <c r="BD158" s="99">
        <f t="shared" ref="BD158:BJ158" si="202">AZ158*1.03</f>
        <v>947.38370000000009</v>
      </c>
      <c r="BE158" s="99">
        <f t="shared" si="202"/>
        <v>984.51520000000005</v>
      </c>
      <c r="BF158" s="99">
        <f t="shared" si="202"/>
        <v>902.82590000000005</v>
      </c>
      <c r="BG158" s="99">
        <f t="shared" si="202"/>
        <v>940.8379470000001</v>
      </c>
      <c r="BH158" s="99">
        <f t="shared" si="202"/>
        <v>975.8052110000001</v>
      </c>
      <c r="BI158" s="99">
        <f t="shared" si="202"/>
        <v>1014.0506560000001</v>
      </c>
      <c r="BJ158" s="99">
        <f t="shared" si="202"/>
        <v>929.91067700000008</v>
      </c>
      <c r="BK158" s="1"/>
      <c r="BL158" s="91"/>
      <c r="BM158" s="23">
        <f t="shared" si="182"/>
        <v>152</v>
      </c>
    </row>
    <row r="159" spans="1:65" ht="12.75" customHeight="1" outlineLevel="1">
      <c r="A159" s="118"/>
      <c r="B159" s="5" t="s">
        <v>30</v>
      </c>
      <c r="C159" s="1"/>
      <c r="D159" s="1"/>
      <c r="E159" s="1"/>
      <c r="F159" s="11">
        <f t="shared" ref="F159:Q159" si="203">F158/E158-1</f>
        <v>-0.20846366145354189</v>
      </c>
      <c r="G159" s="11">
        <f t="shared" si="203"/>
        <v>3.2775453277545274E-2</v>
      </c>
      <c r="H159" s="11">
        <f t="shared" si="203"/>
        <v>-3.8802610848525654E-2</v>
      </c>
      <c r="I159" s="11">
        <f t="shared" si="203"/>
        <v>-4.4021917294994051E-3</v>
      </c>
      <c r="J159" s="11">
        <f t="shared" si="203"/>
        <v>-3.7794816313090895E-2</v>
      </c>
      <c r="K159" s="11">
        <f t="shared" si="203"/>
        <v>2.4662291645482393E-2</v>
      </c>
      <c r="L159" s="11">
        <f t="shared" si="203"/>
        <v>-5.9398854961832059E-2</v>
      </c>
      <c r="M159" s="11">
        <f t="shared" si="203"/>
        <v>-0.12934313974131373</v>
      </c>
      <c r="N159" s="11">
        <f t="shared" si="203"/>
        <v>2.9129041654529564E-2</v>
      </c>
      <c r="O159" s="11">
        <f t="shared" si="203"/>
        <v>3.0000000000000027E-2</v>
      </c>
      <c r="P159" s="11">
        <f t="shared" si="203"/>
        <v>3.0000000000000027E-2</v>
      </c>
      <c r="Q159" s="11">
        <f t="shared" si="203"/>
        <v>3.0000000000000027E-2</v>
      </c>
      <c r="R159" s="51"/>
      <c r="S159" s="1"/>
      <c r="T159" s="11">
        <f t="shared" ref="T159:BJ159" si="204">T158/S158-1</f>
        <v>0.10956360259981435</v>
      </c>
      <c r="U159" s="11">
        <f t="shared" si="204"/>
        <v>-3.5983263598326376E-2</v>
      </c>
      <c r="V159" s="11">
        <f t="shared" si="204"/>
        <v>-0.11545138888888884</v>
      </c>
      <c r="W159" s="11">
        <f t="shared" si="204"/>
        <v>1.4720314033366044E-2</v>
      </c>
      <c r="X159" s="11">
        <f t="shared" si="204"/>
        <v>6.9632495164410058E-2</v>
      </c>
      <c r="Y159" s="11">
        <f t="shared" si="204"/>
        <v>1.2658227848101333E-2</v>
      </c>
      <c r="Z159" s="11">
        <f t="shared" si="204"/>
        <v>-9.7678571428571392E-2</v>
      </c>
      <c r="AA159" s="11">
        <f t="shared" si="204"/>
        <v>5.2740945972689524E-2</v>
      </c>
      <c r="AB159" s="11">
        <f t="shared" si="204"/>
        <v>3.2427859761255728E-2</v>
      </c>
      <c r="AC159" s="11">
        <f t="shared" si="204"/>
        <v>1.5203932993444802E-2</v>
      </c>
      <c r="AD159" s="11">
        <f t="shared" si="204"/>
        <v>-0.12617702448210921</v>
      </c>
      <c r="AE159" s="11">
        <f t="shared" si="204"/>
        <v>-9.6921182266009875E-3</v>
      </c>
      <c r="AF159" s="11">
        <f t="shared" si="204"/>
        <v>9.8959952578148824E-2</v>
      </c>
      <c r="AG159" s="11">
        <f t="shared" si="204"/>
        <v>5.2355230996710134E-3</v>
      </c>
      <c r="AH159" s="11">
        <f t="shared" si="204"/>
        <v>-6.2195121951219456E-2</v>
      </c>
      <c r="AI159" s="11">
        <f t="shared" si="204"/>
        <v>-2.4307292187656371E-2</v>
      </c>
      <c r="AJ159" s="11">
        <f t="shared" si="204"/>
        <v>0.12261636251794128</v>
      </c>
      <c r="AK159" s="11">
        <f t="shared" si="204"/>
        <v>2.73972602739736E-3</v>
      </c>
      <c r="AL159" s="11">
        <f t="shared" si="204"/>
        <v>-6.7759562841530063E-2</v>
      </c>
      <c r="AM159" s="11">
        <f t="shared" si="204"/>
        <v>-3.9663931223134052E-2</v>
      </c>
      <c r="AN159" s="11">
        <f t="shared" si="204"/>
        <v>5.1881993896236045E-2</v>
      </c>
      <c r="AO159" s="11">
        <f t="shared" si="204"/>
        <v>-2.6112185686653744E-2</v>
      </c>
      <c r="AP159" s="11">
        <f t="shared" si="204"/>
        <v>-8.7388282025819275E-2</v>
      </c>
      <c r="AQ159" s="11">
        <f t="shared" si="204"/>
        <v>-6.2023939064200229E-2</v>
      </c>
      <c r="AR159" s="11">
        <f t="shared" si="204"/>
        <v>4.8723897911832958E-2</v>
      </c>
      <c r="AS159" s="11">
        <f t="shared" si="204"/>
        <v>-3.0973451327433676E-2</v>
      </c>
      <c r="AT159" s="11">
        <f t="shared" si="204"/>
        <v>-9.7031963470319615E-2</v>
      </c>
      <c r="AU159" s="11">
        <f t="shared" si="204"/>
        <v>8.8495575221238854E-2</v>
      </c>
      <c r="AV159" s="11">
        <f t="shared" si="204"/>
        <v>3.7166085946573668E-2</v>
      </c>
      <c r="AW159" s="11">
        <f t="shared" si="204"/>
        <v>3.919372900335949E-2</v>
      </c>
      <c r="AX159" s="11">
        <f t="shared" si="204"/>
        <v>-8.2974137931034475E-2</v>
      </c>
      <c r="AY159" s="11">
        <f t="shared" si="204"/>
        <v>4.2103407755581745E-2</v>
      </c>
      <c r="AZ159" s="11">
        <f t="shared" si="204"/>
        <v>3.716608594657389E-2</v>
      </c>
      <c r="BA159" s="11">
        <f t="shared" si="204"/>
        <v>3.919372900335949E-2</v>
      </c>
      <c r="BB159" s="11">
        <f t="shared" si="204"/>
        <v>-8.2974137931034586E-2</v>
      </c>
      <c r="BC159" s="11">
        <f t="shared" si="204"/>
        <v>4.2103407755581745E-2</v>
      </c>
      <c r="BD159" s="11">
        <f t="shared" si="204"/>
        <v>3.7166085946573668E-2</v>
      </c>
      <c r="BE159" s="11">
        <f t="shared" si="204"/>
        <v>3.919372900335949E-2</v>
      </c>
      <c r="BF159" s="11">
        <f t="shared" si="204"/>
        <v>-8.2974137931034475E-2</v>
      </c>
      <c r="BG159" s="11">
        <f t="shared" si="204"/>
        <v>4.2103407755581745E-2</v>
      </c>
      <c r="BH159" s="11">
        <f t="shared" si="204"/>
        <v>3.7166085946573668E-2</v>
      </c>
      <c r="BI159" s="11">
        <f t="shared" si="204"/>
        <v>3.919372900335949E-2</v>
      </c>
      <c r="BJ159" s="11">
        <f t="shared" si="204"/>
        <v>-8.2974137931034475E-2</v>
      </c>
      <c r="BK159" s="1"/>
      <c r="BL159" s="91"/>
      <c r="BM159" s="23">
        <f t="shared" si="182"/>
        <v>153</v>
      </c>
    </row>
    <row r="160" spans="1:65" ht="12.75" customHeight="1" outlineLevel="1">
      <c r="A160" s="118"/>
      <c r="B160" s="5" t="s">
        <v>39</v>
      </c>
      <c r="C160" s="1"/>
      <c r="D160" s="1"/>
      <c r="E160" s="1"/>
      <c r="F160" s="11">
        <f t="shared" ref="F160:P160" si="205">F159</f>
        <v>-0.20846366145354189</v>
      </c>
      <c r="G160" s="11">
        <f t="shared" si="205"/>
        <v>3.2775453277545274E-2</v>
      </c>
      <c r="H160" s="11">
        <f t="shared" si="205"/>
        <v>-3.8802610848525654E-2</v>
      </c>
      <c r="I160" s="11">
        <f t="shared" si="205"/>
        <v>-4.4021917294994051E-3</v>
      </c>
      <c r="J160" s="11">
        <f t="shared" si="205"/>
        <v>-3.7794816313090895E-2</v>
      </c>
      <c r="K160" s="11">
        <f t="shared" si="205"/>
        <v>2.4662291645482393E-2</v>
      </c>
      <c r="L160" s="11">
        <f t="shared" si="205"/>
        <v>-5.9398854961832059E-2</v>
      </c>
      <c r="M160" s="11">
        <f t="shared" si="205"/>
        <v>-0.12934313974131373</v>
      </c>
      <c r="N160" s="11">
        <f t="shared" si="205"/>
        <v>2.9129041654529564E-2</v>
      </c>
      <c r="O160" s="11">
        <f t="shared" si="205"/>
        <v>3.0000000000000027E-2</v>
      </c>
      <c r="P160" s="11">
        <f t="shared" si="205"/>
        <v>3.0000000000000027E-2</v>
      </c>
      <c r="Q160" s="11">
        <f>Q159</f>
        <v>3.0000000000000027E-2</v>
      </c>
      <c r="R160" s="51"/>
      <c r="S160" s="1"/>
      <c r="T160" s="11"/>
      <c r="U160" s="11"/>
      <c r="V160" s="11"/>
      <c r="W160" s="11">
        <f t="shared" ref="W160:BJ160" si="206">W158/S158-1</f>
        <v>-3.9925719591457742E-2</v>
      </c>
      <c r="X160" s="11">
        <f t="shared" si="206"/>
        <v>-7.4476987447698706E-2</v>
      </c>
      <c r="Y160" s="11">
        <f t="shared" si="206"/>
        <v>-2.777777777777779E-2</v>
      </c>
      <c r="Z160" s="11">
        <f t="shared" si="206"/>
        <v>-8.2433758586849537E-3</v>
      </c>
      <c r="AA160" s="11">
        <f t="shared" si="206"/>
        <v>2.8916827852998095E-2</v>
      </c>
      <c r="AB160" s="11">
        <f t="shared" si="206"/>
        <v>-6.8716094032549302E-3</v>
      </c>
      <c r="AC160" s="11">
        <f t="shared" si="206"/>
        <v>-4.3750000000001288E-3</v>
      </c>
      <c r="AD160" s="11">
        <f t="shared" si="206"/>
        <v>-3.5820304769443978E-2</v>
      </c>
      <c r="AE160" s="11">
        <f t="shared" si="206"/>
        <v>-9.3001221919353338E-2</v>
      </c>
      <c r="AF160" s="11">
        <f t="shared" si="206"/>
        <v>-3.45520757465404E-2</v>
      </c>
      <c r="AG160" s="11">
        <f t="shared" si="206"/>
        <v>-4.4031925387857496E-2</v>
      </c>
      <c r="AH160" s="11">
        <f t="shared" si="206"/>
        <v>2.5964696223316874E-2</v>
      </c>
      <c r="AI160" s="11">
        <f t="shared" si="206"/>
        <v>1.0823291424686632E-2</v>
      </c>
      <c r="AJ160" s="11">
        <f t="shared" si="206"/>
        <v>3.2582455716829051E-2</v>
      </c>
      <c r="AK160" s="11">
        <f t="shared" si="206"/>
        <v>3.0018761726078758E-2</v>
      </c>
      <c r="AL160" s="11">
        <f t="shared" si="206"/>
        <v>2.3907172151645506E-2</v>
      </c>
      <c r="AM160" s="11">
        <f t="shared" si="206"/>
        <v>7.7916752101701015E-3</v>
      </c>
      <c r="AN160" s="11">
        <f t="shared" si="206"/>
        <v>-5.5707762557077656E-2</v>
      </c>
      <c r="AO160" s="11">
        <f t="shared" si="206"/>
        <v>-8.287795992714031E-2</v>
      </c>
      <c r="AP160" s="11">
        <f t="shared" si="206"/>
        <v>-0.102188354826104</v>
      </c>
      <c r="AQ160" s="11">
        <f t="shared" si="206"/>
        <v>-0.12309257375381488</v>
      </c>
      <c r="AR160" s="11">
        <f t="shared" si="206"/>
        <v>-0.12572533849129597</v>
      </c>
      <c r="AS160" s="11">
        <f t="shared" si="206"/>
        <v>-0.13008937437934454</v>
      </c>
      <c r="AT160" s="11">
        <f t="shared" si="206"/>
        <v>-0.13928182807399347</v>
      </c>
      <c r="AU160" s="11">
        <f t="shared" si="206"/>
        <v>-1.1600928074245731E-3</v>
      </c>
      <c r="AV160" s="11">
        <f t="shared" si="206"/>
        <v>-1.2168141592920345E-2</v>
      </c>
      <c r="AW160" s="11">
        <f t="shared" si="206"/>
        <v>5.9360730593607247E-2</v>
      </c>
      <c r="AX160" s="11">
        <f t="shared" si="206"/>
        <v>7.5853350189633462E-2</v>
      </c>
      <c r="AY160" s="11">
        <f t="shared" si="206"/>
        <v>3.0000000000000027E-2</v>
      </c>
      <c r="AZ160" s="11">
        <f t="shared" si="206"/>
        <v>3.0000000000000027E-2</v>
      </c>
      <c r="BA160" s="11">
        <f t="shared" si="206"/>
        <v>3.0000000000000027E-2</v>
      </c>
      <c r="BB160" s="11">
        <f t="shared" si="206"/>
        <v>3.0000000000000027E-2</v>
      </c>
      <c r="BC160" s="11">
        <f t="shared" si="206"/>
        <v>3.0000000000000027E-2</v>
      </c>
      <c r="BD160" s="11">
        <f t="shared" si="206"/>
        <v>3.0000000000000027E-2</v>
      </c>
      <c r="BE160" s="11">
        <f t="shared" si="206"/>
        <v>3.0000000000000027E-2</v>
      </c>
      <c r="BF160" s="11">
        <f t="shared" si="206"/>
        <v>3.0000000000000027E-2</v>
      </c>
      <c r="BG160" s="11">
        <f t="shared" si="206"/>
        <v>3.0000000000000027E-2</v>
      </c>
      <c r="BH160" s="11">
        <f t="shared" si="206"/>
        <v>3.0000000000000027E-2</v>
      </c>
      <c r="BI160" s="11">
        <f t="shared" si="206"/>
        <v>3.0000000000000027E-2</v>
      </c>
      <c r="BJ160" s="11">
        <f t="shared" si="206"/>
        <v>3.0000000000000027E-2</v>
      </c>
      <c r="BK160" s="1"/>
      <c r="BL160" s="91"/>
      <c r="BM160" s="23">
        <f t="shared" si="182"/>
        <v>154</v>
      </c>
    </row>
    <row r="161" spans="1:71" ht="12.75" customHeight="1" outlineLevel="1">
      <c r="A161" s="118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5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91"/>
      <c r="BM161" s="23">
        <f t="shared" si="182"/>
        <v>155</v>
      </c>
    </row>
    <row r="162" spans="1:71" ht="12.75" customHeight="1" outlineLevel="1">
      <c r="A162" s="118"/>
      <c r="B162" s="46" t="s">
        <v>31</v>
      </c>
      <c r="C162" s="1"/>
      <c r="D162" s="1"/>
      <c r="E162" s="21">
        <f t="shared" ref="E162:Q162" si="207">E12/E158*1000</f>
        <v>36.00883164673413</v>
      </c>
      <c r="F162" s="21">
        <f t="shared" si="207"/>
        <v>36.212691771269178</v>
      </c>
      <c r="G162" s="21">
        <f t="shared" si="207"/>
        <v>39.477155075399509</v>
      </c>
      <c r="H162" s="21">
        <f t="shared" si="207"/>
        <v>44.144672879689033</v>
      </c>
      <c r="I162" s="21">
        <f t="shared" si="207"/>
        <v>46.598617056305564</v>
      </c>
      <c r="J162" s="9">
        <f t="shared" si="207"/>
        <v>48.510866504493649</v>
      </c>
      <c r="K162" s="9">
        <f t="shared" si="207"/>
        <v>51.042700381679396</v>
      </c>
      <c r="L162" s="9">
        <f t="shared" si="207"/>
        <v>53.906162820187674</v>
      </c>
      <c r="M162" s="9">
        <f t="shared" si="207"/>
        <v>57.406058840664137</v>
      </c>
      <c r="N162" s="9">
        <f t="shared" si="207"/>
        <v>62.407302575714688</v>
      </c>
      <c r="O162" s="9">
        <f t="shared" si="207"/>
        <v>64.279521652986148</v>
      </c>
      <c r="P162" s="9">
        <f t="shared" si="207"/>
        <v>65.565112086045858</v>
      </c>
      <c r="Q162" s="9">
        <f t="shared" si="207"/>
        <v>66.220763206906312</v>
      </c>
      <c r="R162" s="51"/>
      <c r="S162" s="21">
        <v>37.753017641597026</v>
      </c>
      <c r="T162" s="21">
        <v>39.345606694560672</v>
      </c>
      <c r="U162" s="21">
        <v>40.467881944444443</v>
      </c>
      <c r="V162" s="21">
        <v>40.333660451422958</v>
      </c>
      <c r="W162" s="21">
        <v>43.707930367504837</v>
      </c>
      <c r="X162" s="21">
        <v>43.618444846292952</v>
      </c>
      <c r="Y162" s="21">
        <v>43.934821428571418</v>
      </c>
      <c r="Z162" s="21">
        <v>45.4</v>
      </c>
      <c r="AA162" s="21">
        <f t="shared" ref="AA162:AX162" si="208">AA12*1000/AA158</f>
        <v>45.851113826487449</v>
      </c>
      <c r="AB162" s="21">
        <f t="shared" si="208"/>
        <v>45.611798980335031</v>
      </c>
      <c r="AC162" s="21">
        <f t="shared" si="208"/>
        <v>46.046991301228594</v>
      </c>
      <c r="AD162" s="21">
        <f t="shared" si="208"/>
        <v>49.158456486042695</v>
      </c>
      <c r="AE162" s="21">
        <f t="shared" si="208"/>
        <v>50.468622403508554</v>
      </c>
      <c r="AF162" s="21">
        <f t="shared" si="208"/>
        <v>49.130178943239081</v>
      </c>
      <c r="AG162" s="21">
        <f t="shared" si="208"/>
        <v>47.091932457786115</v>
      </c>
      <c r="AH162" s="21">
        <f t="shared" si="208"/>
        <v>47.47724317295188</v>
      </c>
      <c r="AI162" s="21">
        <f t="shared" si="208"/>
        <v>50.759688332991594</v>
      </c>
      <c r="AJ162" s="21">
        <f t="shared" si="208"/>
        <v>51.570776255707763</v>
      </c>
      <c r="AK162" s="21">
        <f t="shared" si="208"/>
        <v>49.584699453551913</v>
      </c>
      <c r="AL162" s="21">
        <f t="shared" si="208"/>
        <v>52.311449785072291</v>
      </c>
      <c r="AM162" s="21">
        <f t="shared" si="208"/>
        <v>56.159715157680573</v>
      </c>
      <c r="AN162" s="21">
        <f t="shared" si="208"/>
        <v>54.793036750483559</v>
      </c>
      <c r="AO162" s="21">
        <f t="shared" si="208"/>
        <v>53.049652432969218</v>
      </c>
      <c r="AP162" s="21">
        <f t="shared" si="208"/>
        <v>51.43634385201306</v>
      </c>
      <c r="AQ162" s="21">
        <f t="shared" si="208"/>
        <v>56.432714617169374</v>
      </c>
      <c r="AR162" s="21">
        <f t="shared" si="208"/>
        <v>57.597345132743364</v>
      </c>
      <c r="AS162" s="21">
        <f t="shared" si="208"/>
        <v>58.18036529680365</v>
      </c>
      <c r="AT162" s="21">
        <f t="shared" si="208"/>
        <v>57.390644753476614</v>
      </c>
      <c r="AU162" s="21">
        <f t="shared" si="208"/>
        <v>60.206736353077815</v>
      </c>
      <c r="AV162" s="21">
        <f t="shared" si="208"/>
        <v>62.090705487122058</v>
      </c>
      <c r="AW162" s="21">
        <f t="shared" si="208"/>
        <v>63.204741379310342</v>
      </c>
      <c r="AX162" s="21">
        <f t="shared" si="208"/>
        <v>64.096357226792009</v>
      </c>
      <c r="AY162" s="110">
        <f>AU162*1.03</f>
        <v>62.012938443670151</v>
      </c>
      <c r="AZ162" s="110">
        <f>AV162*1.03</f>
        <v>63.953426651735718</v>
      </c>
      <c r="BA162" s="110">
        <f>AW162*1.03</f>
        <v>65.100883620689658</v>
      </c>
      <c r="BB162" s="110">
        <f>AX162*1.03</f>
        <v>66.019247943595772</v>
      </c>
      <c r="BC162" s="110">
        <f>AY162*1.02</f>
        <v>63.253197212543554</v>
      </c>
      <c r="BD162" s="110">
        <f>AZ162*1.02</f>
        <v>65.232495184770428</v>
      </c>
      <c r="BE162" s="110">
        <f>BA162*1.02</f>
        <v>66.402901293103454</v>
      </c>
      <c r="BF162" s="110">
        <f>BB162*1.02</f>
        <v>67.339632902467685</v>
      </c>
      <c r="BG162" s="110">
        <f>BC162*1.01</f>
        <v>63.885729184668989</v>
      </c>
      <c r="BH162" s="110">
        <f>BD162*1.01</f>
        <v>65.884820136618131</v>
      </c>
      <c r="BI162" s="110">
        <f>BE162*1.01</f>
        <v>67.066930306034493</v>
      </c>
      <c r="BJ162" s="110">
        <f>BF162*1.01</f>
        <v>68.013029231492368</v>
      </c>
      <c r="BK162" s="1"/>
      <c r="BL162" s="91"/>
      <c r="BM162" s="23">
        <f t="shared" si="182"/>
        <v>156</v>
      </c>
    </row>
    <row r="163" spans="1:71" ht="12.75" customHeight="1" outlineLevel="1">
      <c r="A163" s="118"/>
      <c r="B163" s="46" t="s">
        <v>32</v>
      </c>
      <c r="C163" s="1"/>
      <c r="D163" s="1"/>
      <c r="E163" s="21">
        <f t="shared" ref="E163:Q163" si="209">(E12-E18)/E158*1000</f>
        <v>28.338546458141675</v>
      </c>
      <c r="F163" s="21">
        <f t="shared" si="209"/>
        <v>27.51464435146444</v>
      </c>
      <c r="G163" s="21">
        <f t="shared" si="209"/>
        <v>29.116812964213366</v>
      </c>
      <c r="H163" s="21">
        <f t="shared" si="209"/>
        <v>31.731194679904455</v>
      </c>
      <c r="I163" s="21">
        <f t="shared" si="209"/>
        <v>34.006068018251092</v>
      </c>
      <c r="J163" s="9">
        <f t="shared" si="209"/>
        <v>34.619017262821963</v>
      </c>
      <c r="K163" s="9">
        <f t="shared" si="209"/>
        <v>36.466841603053432</v>
      </c>
      <c r="L163" s="9">
        <f t="shared" si="209"/>
        <v>36.118184123763626</v>
      </c>
      <c r="M163" s="9">
        <f t="shared" si="209"/>
        <v>34.397902709000867</v>
      </c>
      <c r="N163" s="9">
        <f t="shared" si="209"/>
        <v>37.278516841211434</v>
      </c>
      <c r="O163" s="9">
        <f t="shared" si="209"/>
        <v>37.278516841211449</v>
      </c>
      <c r="P163" s="9">
        <f t="shared" si="209"/>
        <v>37.278516841211442</v>
      </c>
      <c r="Q163" s="9">
        <f t="shared" si="209"/>
        <v>37.278516841211442</v>
      </c>
      <c r="R163" s="51"/>
      <c r="S163" s="21">
        <f t="shared" ref="S163:AX163" si="210">((S12-S18)/S158)*1000</f>
        <v>28.99721448467966</v>
      </c>
      <c r="T163" s="21">
        <f t="shared" si="210"/>
        <v>27.397489539748953</v>
      </c>
      <c r="U163" s="21">
        <f t="shared" si="210"/>
        <v>28.914062499999996</v>
      </c>
      <c r="V163" s="21">
        <f t="shared" si="210"/>
        <v>31.488714425907748</v>
      </c>
      <c r="W163" s="21">
        <f t="shared" si="210"/>
        <v>34.101547388781434</v>
      </c>
      <c r="X163" s="21">
        <f t="shared" si="210"/>
        <v>30.207956600361669</v>
      </c>
      <c r="Y163" s="21">
        <f t="shared" si="210"/>
        <v>31.675892857142848</v>
      </c>
      <c r="Z163" s="21">
        <f t="shared" si="210"/>
        <v>31.034276667326335</v>
      </c>
      <c r="AA163" s="21">
        <f t="shared" si="210"/>
        <v>34.236300404173321</v>
      </c>
      <c r="AB163" s="21">
        <f t="shared" si="210"/>
        <v>32.865986890021844</v>
      </c>
      <c r="AC163" s="21">
        <f t="shared" si="210"/>
        <v>33.327055869428762</v>
      </c>
      <c r="AD163" s="21">
        <f t="shared" si="210"/>
        <v>35.816912972085383</v>
      </c>
      <c r="AE163" s="21">
        <f t="shared" si="210"/>
        <v>36.789242203789605</v>
      </c>
      <c r="AF163" s="21">
        <f t="shared" si="210"/>
        <v>34.702314493497084</v>
      </c>
      <c r="AG163" s="21">
        <f t="shared" si="210"/>
        <v>33.489681050656657</v>
      </c>
      <c r="AH163" s="21">
        <f t="shared" si="210"/>
        <v>33.640092027608283</v>
      </c>
      <c r="AI163" s="21">
        <f t="shared" si="210"/>
        <v>37.240106622923939</v>
      </c>
      <c r="AJ163" s="21">
        <f t="shared" si="210"/>
        <v>35.484018264840181</v>
      </c>
      <c r="AK163" s="21">
        <f t="shared" si="210"/>
        <v>34.244080145719487</v>
      </c>
      <c r="AL163" s="21">
        <f t="shared" si="210"/>
        <v>39.165689722547874</v>
      </c>
      <c r="AM163" s="21">
        <f t="shared" si="210"/>
        <v>40.436419125127159</v>
      </c>
      <c r="AN163" s="21">
        <f t="shared" si="210"/>
        <v>35.904255319148938</v>
      </c>
      <c r="AO163" s="21">
        <f t="shared" si="210"/>
        <v>33.221449851042699</v>
      </c>
      <c r="AP163" s="21">
        <f t="shared" si="210"/>
        <v>34.914036996735582</v>
      </c>
      <c r="AQ163" s="21">
        <f t="shared" si="210"/>
        <v>36.835266821345712</v>
      </c>
      <c r="AR163" s="21">
        <f t="shared" si="210"/>
        <v>33.829646017699112</v>
      </c>
      <c r="AS163" s="21">
        <f t="shared" si="210"/>
        <v>33.537671232876718</v>
      </c>
      <c r="AT163" s="21">
        <f t="shared" si="210"/>
        <v>33.343868520859672</v>
      </c>
      <c r="AU163" s="21">
        <f t="shared" si="210"/>
        <v>36.727061556329851</v>
      </c>
      <c r="AV163" s="21">
        <f t="shared" si="210"/>
        <v>36.035834266517369</v>
      </c>
      <c r="AW163" s="21">
        <f t="shared" si="210"/>
        <v>37.366379310344833</v>
      </c>
      <c r="AX163" s="21">
        <f t="shared" si="210"/>
        <v>39.04465334900118</v>
      </c>
      <c r="AY163" s="110">
        <f>AU163</f>
        <v>36.727061556329851</v>
      </c>
      <c r="AZ163" s="110">
        <f>AV163</f>
        <v>36.035834266517369</v>
      </c>
      <c r="BA163" s="110">
        <f>AW163</f>
        <v>37.366379310344833</v>
      </c>
      <c r="BB163" s="110">
        <f>AX163</f>
        <v>39.04465334900118</v>
      </c>
      <c r="BC163" s="110">
        <f t="shared" ref="BC163:BJ163" si="211">AY163</f>
        <v>36.727061556329851</v>
      </c>
      <c r="BD163" s="110">
        <f t="shared" si="211"/>
        <v>36.035834266517369</v>
      </c>
      <c r="BE163" s="110">
        <f t="shared" si="211"/>
        <v>37.366379310344833</v>
      </c>
      <c r="BF163" s="110">
        <f t="shared" si="211"/>
        <v>39.04465334900118</v>
      </c>
      <c r="BG163" s="110">
        <f t="shared" si="211"/>
        <v>36.727061556329851</v>
      </c>
      <c r="BH163" s="110">
        <f t="shared" si="211"/>
        <v>36.035834266517369</v>
      </c>
      <c r="BI163" s="110">
        <f t="shared" si="211"/>
        <v>37.366379310344833</v>
      </c>
      <c r="BJ163" s="110">
        <f t="shared" si="211"/>
        <v>39.04465334900118</v>
      </c>
      <c r="BK163" s="1"/>
      <c r="BL163" s="91"/>
      <c r="BM163" s="23">
        <f t="shared" si="182"/>
        <v>157</v>
      </c>
    </row>
    <row r="164" spans="1:71" ht="12.75" customHeight="1" outlineLevel="1">
      <c r="A164" s="118"/>
      <c r="B164" s="73" t="s">
        <v>265</v>
      </c>
      <c r="C164" s="72"/>
      <c r="D164" s="76"/>
      <c r="E164" s="76">
        <f t="shared" ref="E164:P164" si="212">E162-E163</f>
        <v>7.6702851885924552</v>
      </c>
      <c r="F164" s="76">
        <f t="shared" si="212"/>
        <v>8.6980474198047375</v>
      </c>
      <c r="G164" s="76">
        <f t="shared" si="212"/>
        <v>10.360342111186142</v>
      </c>
      <c r="H164" s="76">
        <f t="shared" si="212"/>
        <v>12.413478199784578</v>
      </c>
      <c r="I164" s="76">
        <f t="shared" si="212"/>
        <v>12.592549038054472</v>
      </c>
      <c r="J164" s="299">
        <f t="shared" si="212"/>
        <v>13.891849241671686</v>
      </c>
      <c r="K164" s="299">
        <f t="shared" si="212"/>
        <v>14.575858778625964</v>
      </c>
      <c r="L164" s="299">
        <f t="shared" si="212"/>
        <v>17.787978696424048</v>
      </c>
      <c r="M164" s="299">
        <f t="shared" si="212"/>
        <v>23.00815613166327</v>
      </c>
      <c r="N164" s="299">
        <f t="shared" si="212"/>
        <v>25.128785734503253</v>
      </c>
      <c r="O164" s="299">
        <f t="shared" si="212"/>
        <v>27.001004811774699</v>
      </c>
      <c r="P164" s="299">
        <f t="shared" si="212"/>
        <v>28.286595244834416</v>
      </c>
      <c r="Q164" s="299">
        <f>Q162-Q163</f>
        <v>28.942246365694871</v>
      </c>
      <c r="R164" s="51"/>
      <c r="S164" s="76">
        <f t="shared" ref="S164:BJ164" si="213">S162-S163</f>
        <v>8.7558031569173664</v>
      </c>
      <c r="T164" s="76">
        <f t="shared" si="213"/>
        <v>11.948117154811719</v>
      </c>
      <c r="U164" s="76">
        <f t="shared" si="213"/>
        <v>11.553819444444446</v>
      </c>
      <c r="V164" s="76">
        <f t="shared" si="213"/>
        <v>8.8449460255152097</v>
      </c>
      <c r="W164" s="76">
        <f t="shared" si="213"/>
        <v>9.6063829787234027</v>
      </c>
      <c r="X164" s="76">
        <f t="shared" si="213"/>
        <v>13.410488245931283</v>
      </c>
      <c r="Y164" s="76">
        <f t="shared" si="213"/>
        <v>12.258928571428569</v>
      </c>
      <c r="Z164" s="76">
        <f t="shared" si="213"/>
        <v>14.365723332673664</v>
      </c>
      <c r="AA164" s="76">
        <f t="shared" si="213"/>
        <v>11.614813422314128</v>
      </c>
      <c r="AB164" s="76">
        <f t="shared" si="213"/>
        <v>12.745812090313187</v>
      </c>
      <c r="AC164" s="76">
        <f t="shared" si="213"/>
        <v>12.719935431799833</v>
      </c>
      <c r="AD164" s="76">
        <f t="shared" si="213"/>
        <v>13.341543513957312</v>
      </c>
      <c r="AE164" s="76">
        <f t="shared" si="213"/>
        <v>13.679380199718949</v>
      </c>
      <c r="AF164" s="76">
        <f t="shared" si="213"/>
        <v>14.427864449741996</v>
      </c>
      <c r="AG164" s="76">
        <f t="shared" si="213"/>
        <v>13.602251407129458</v>
      </c>
      <c r="AH164" s="76">
        <f t="shared" si="213"/>
        <v>13.837151145343597</v>
      </c>
      <c r="AI164" s="76">
        <f t="shared" si="213"/>
        <v>13.519581710067655</v>
      </c>
      <c r="AJ164" s="76">
        <f t="shared" si="213"/>
        <v>16.086757990867582</v>
      </c>
      <c r="AK164" s="76">
        <f t="shared" si="213"/>
        <v>15.340619307832426</v>
      </c>
      <c r="AL164" s="76">
        <f t="shared" si="213"/>
        <v>13.145760062524417</v>
      </c>
      <c r="AM164" s="76">
        <f t="shared" si="213"/>
        <v>15.723296032553414</v>
      </c>
      <c r="AN164" s="76">
        <f t="shared" si="213"/>
        <v>18.888781431334621</v>
      </c>
      <c r="AO164" s="76">
        <f t="shared" si="213"/>
        <v>19.828202581926519</v>
      </c>
      <c r="AP164" s="76">
        <f t="shared" si="213"/>
        <v>16.522306855277478</v>
      </c>
      <c r="AQ164" s="76">
        <f t="shared" si="213"/>
        <v>19.597447795823662</v>
      </c>
      <c r="AR164" s="76">
        <f t="shared" si="213"/>
        <v>23.767699115044252</v>
      </c>
      <c r="AS164" s="76">
        <f t="shared" si="213"/>
        <v>24.642694063926932</v>
      </c>
      <c r="AT164" s="76">
        <f t="shared" si="213"/>
        <v>24.046776232616942</v>
      </c>
      <c r="AU164" s="76">
        <f t="shared" si="213"/>
        <v>23.479674796747965</v>
      </c>
      <c r="AV164" s="76">
        <f t="shared" si="213"/>
        <v>26.054871220604689</v>
      </c>
      <c r="AW164" s="76">
        <f t="shared" si="213"/>
        <v>25.838362068965509</v>
      </c>
      <c r="AX164" s="76">
        <f t="shared" si="213"/>
        <v>25.051703877790828</v>
      </c>
      <c r="AY164" s="76">
        <f t="shared" si="213"/>
        <v>25.285876887340301</v>
      </c>
      <c r="AZ164" s="76">
        <f t="shared" si="213"/>
        <v>27.917592385218349</v>
      </c>
      <c r="BA164" s="76">
        <f t="shared" si="213"/>
        <v>27.734504310344825</v>
      </c>
      <c r="BB164" s="76">
        <f t="shared" si="213"/>
        <v>26.974594594594592</v>
      </c>
      <c r="BC164" s="76">
        <f t="shared" si="213"/>
        <v>26.526135656213704</v>
      </c>
      <c r="BD164" s="76">
        <f t="shared" si="213"/>
        <v>29.196660918253059</v>
      </c>
      <c r="BE164" s="76">
        <f t="shared" si="213"/>
        <v>29.036521982758622</v>
      </c>
      <c r="BF164" s="76">
        <f t="shared" si="213"/>
        <v>28.294979553466504</v>
      </c>
      <c r="BG164" s="76">
        <f t="shared" si="213"/>
        <v>27.158667628339138</v>
      </c>
      <c r="BH164" s="76">
        <f t="shared" si="213"/>
        <v>29.848985870100762</v>
      </c>
      <c r="BI164" s="76">
        <f t="shared" si="213"/>
        <v>29.70055099568966</v>
      </c>
      <c r="BJ164" s="76">
        <f t="shared" si="213"/>
        <v>28.968375882491188</v>
      </c>
      <c r="BK164" s="1"/>
      <c r="BL164" s="91"/>
      <c r="BM164" s="23">
        <f t="shared" si="182"/>
        <v>158</v>
      </c>
    </row>
    <row r="165" spans="1:71" ht="12.75" customHeight="1" outlineLevel="1">
      <c r="A165" s="118"/>
      <c r="B165" s="77"/>
      <c r="C165" s="5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5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21"/>
      <c r="BC165" s="21"/>
      <c r="BD165" s="21"/>
      <c r="BE165" s="21"/>
      <c r="BF165" s="21"/>
      <c r="BG165" s="21"/>
      <c r="BH165" s="21"/>
      <c r="BI165" s="21"/>
      <c r="BJ165" s="21"/>
      <c r="BK165" s="1"/>
      <c r="BL165" s="91"/>
      <c r="BM165" s="23">
        <f t="shared" si="182"/>
        <v>159</v>
      </c>
    </row>
    <row r="166" spans="1:71" ht="12.75" customHeight="1" outlineLevel="1">
      <c r="A166" s="118"/>
      <c r="B166" s="55" t="s">
        <v>290</v>
      </c>
      <c r="C166" s="1"/>
      <c r="D166" s="1"/>
      <c r="E166" s="1"/>
      <c r="F166" s="11">
        <f t="shared" ref="F166:Q166" si="214">F162/E162-1</f>
        <v>5.6613923643795694E-3</v>
      </c>
      <c r="G166" s="11">
        <f t="shared" si="214"/>
        <v>9.0146938668622445E-2</v>
      </c>
      <c r="H166" s="11">
        <f t="shared" si="214"/>
        <v>0.11823338828177432</v>
      </c>
      <c r="I166" s="11">
        <f t="shared" si="214"/>
        <v>5.5588681862123179E-2</v>
      </c>
      <c r="J166" s="11">
        <f t="shared" si="214"/>
        <v>4.1036613723482329E-2</v>
      </c>
      <c r="K166" s="11">
        <f t="shared" si="214"/>
        <v>5.2191066860271862E-2</v>
      </c>
      <c r="L166" s="11">
        <f t="shared" si="214"/>
        <v>5.6099352446016937E-2</v>
      </c>
      <c r="M166" s="11">
        <f t="shared" si="214"/>
        <v>6.49257123373983E-2</v>
      </c>
      <c r="N166" s="11">
        <f t="shared" si="214"/>
        <v>8.7120485817219651E-2</v>
      </c>
      <c r="O166" s="11">
        <f t="shared" si="214"/>
        <v>3.0000000000000249E-2</v>
      </c>
      <c r="P166" s="11">
        <f t="shared" si="214"/>
        <v>1.9999999999999796E-2</v>
      </c>
      <c r="Q166" s="11">
        <f t="shared" si="214"/>
        <v>1.0000000000000009E-2</v>
      </c>
      <c r="R166" s="51"/>
      <c r="S166" s="1"/>
      <c r="T166" s="11"/>
      <c r="U166" s="11"/>
      <c r="V166" s="11"/>
      <c r="W166" s="11">
        <f t="shared" ref="W166:AF168" si="215">W162/S162-1</f>
        <v>0.15773342365476428</v>
      </c>
      <c r="X166" s="11">
        <f t="shared" si="215"/>
        <v>0.10859759222680831</v>
      </c>
      <c r="Y166" s="11">
        <f t="shared" si="215"/>
        <v>8.5671384751158763E-2</v>
      </c>
      <c r="Z166" s="11">
        <f t="shared" si="215"/>
        <v>0.1256107055961071</v>
      </c>
      <c r="AA166" s="11">
        <f t="shared" si="215"/>
        <v>4.903420136717318E-2</v>
      </c>
      <c r="AB166" s="11">
        <f t="shared" si="215"/>
        <v>4.5699798355178789E-2</v>
      </c>
      <c r="AC166" s="11">
        <f t="shared" si="215"/>
        <v>4.8075075850509741E-2</v>
      </c>
      <c r="AD166" s="11">
        <f t="shared" si="215"/>
        <v>8.2785385155125457E-2</v>
      </c>
      <c r="AE166" s="11">
        <f t="shared" si="215"/>
        <v>0.10070657377037695</v>
      </c>
      <c r="AF166" s="11">
        <f t="shared" si="215"/>
        <v>7.7137496033010233E-2</v>
      </c>
      <c r="AG166" s="11">
        <f t="shared" ref="AG166:AP168" si="216">AG162/AC162-1</f>
        <v>2.2692930135690403E-2</v>
      </c>
      <c r="AH166" s="11">
        <f t="shared" si="216"/>
        <v>-3.4199880005755579E-2</v>
      </c>
      <c r="AI166" s="11">
        <f t="shared" si="216"/>
        <v>5.7672651961033772E-3</v>
      </c>
      <c r="AJ166" s="11">
        <f t="shared" si="216"/>
        <v>4.9676133182587234E-2</v>
      </c>
      <c r="AK166" s="11">
        <f t="shared" si="216"/>
        <v>5.2934056125225837E-2</v>
      </c>
      <c r="AL166" s="11">
        <f t="shared" si="216"/>
        <v>0.10182155258067915</v>
      </c>
      <c r="AM166" s="11">
        <f t="shared" si="216"/>
        <v>0.10638416038459386</v>
      </c>
      <c r="AN166" s="11">
        <f t="shared" si="216"/>
        <v>6.248229576375941E-2</v>
      </c>
      <c r="AO166" s="11">
        <f t="shared" si="216"/>
        <v>6.9879479307181747E-2</v>
      </c>
      <c r="AP166" s="11">
        <f t="shared" si="216"/>
        <v>-1.6728764671113283E-2</v>
      </c>
      <c r="AQ166" s="11">
        <f t="shared" ref="AQ166:AZ168" si="217">AQ162/AM162-1</f>
        <v>4.8611261421518392E-3</v>
      </c>
      <c r="AR166" s="11">
        <f t="shared" si="217"/>
        <v>5.1180013895379739E-2</v>
      </c>
      <c r="AS166" s="11">
        <f t="shared" si="217"/>
        <v>9.671529649166577E-2</v>
      </c>
      <c r="AT166" s="11">
        <f t="shared" si="217"/>
        <v>0.11576057813507523</v>
      </c>
      <c r="AU166" s="11">
        <f t="shared" si="217"/>
        <v>6.6876487539378582E-2</v>
      </c>
      <c r="AV166" s="11">
        <f t="shared" si="217"/>
        <v>7.8013324121501526E-2</v>
      </c>
      <c r="AW166" s="11">
        <f t="shared" si="217"/>
        <v>8.6358620419021648E-2</v>
      </c>
      <c r="AX166" s="11">
        <f t="shared" si="217"/>
        <v>0.11684330263442755</v>
      </c>
      <c r="AY166" s="11">
        <f t="shared" si="217"/>
        <v>3.0000000000000027E-2</v>
      </c>
      <c r="AZ166" s="11">
        <f t="shared" si="217"/>
        <v>3.0000000000000027E-2</v>
      </c>
      <c r="BA166" s="11">
        <f t="shared" ref="BA166:BJ168" si="218">BA162/AW162-1</f>
        <v>3.0000000000000027E-2</v>
      </c>
      <c r="BB166" s="11">
        <f t="shared" si="218"/>
        <v>3.0000000000000027E-2</v>
      </c>
      <c r="BC166" s="11">
        <f t="shared" si="218"/>
        <v>2.0000000000000018E-2</v>
      </c>
      <c r="BD166" s="11">
        <f t="shared" si="218"/>
        <v>2.0000000000000018E-2</v>
      </c>
      <c r="BE166" s="11">
        <f t="shared" si="218"/>
        <v>2.0000000000000018E-2</v>
      </c>
      <c r="BF166" s="11">
        <f t="shared" si="218"/>
        <v>2.0000000000000018E-2</v>
      </c>
      <c r="BG166" s="11">
        <f t="shared" si="218"/>
        <v>1.0000000000000009E-2</v>
      </c>
      <c r="BH166" s="11">
        <f t="shared" si="218"/>
        <v>1.0000000000000009E-2</v>
      </c>
      <c r="BI166" s="11">
        <f t="shared" si="218"/>
        <v>1.0000000000000009E-2</v>
      </c>
      <c r="BJ166" s="11">
        <f t="shared" si="218"/>
        <v>1.0000000000000009E-2</v>
      </c>
      <c r="BK166" s="1"/>
      <c r="BL166" s="91"/>
      <c r="BM166" s="23">
        <f t="shared" si="182"/>
        <v>160</v>
      </c>
    </row>
    <row r="167" spans="1:71" ht="12.75" customHeight="1" outlineLevel="1">
      <c r="A167" s="118"/>
      <c r="B167" s="55" t="s">
        <v>291</v>
      </c>
      <c r="C167" s="1"/>
      <c r="D167" s="1"/>
      <c r="E167" s="1"/>
      <c r="F167" s="11">
        <f t="shared" ref="F167:Q167" si="219">F163/E163-1</f>
        <v>-2.9073548563762985E-2</v>
      </c>
      <c r="G167" s="11">
        <f t="shared" si="219"/>
        <v>5.8229668255321387E-2</v>
      </c>
      <c r="H167" s="11">
        <f t="shared" si="219"/>
        <v>8.9789418879887339E-2</v>
      </c>
      <c r="I167" s="11">
        <f t="shared" si="219"/>
        <v>7.1692016682477044E-2</v>
      </c>
      <c r="J167" s="11">
        <f t="shared" si="219"/>
        <v>1.8024702069110221E-2</v>
      </c>
      <c r="K167" s="11">
        <f t="shared" si="219"/>
        <v>5.3375990606639334E-2</v>
      </c>
      <c r="L167" s="11">
        <f t="shared" si="219"/>
        <v>-9.5609453400157252E-3</v>
      </c>
      <c r="M167" s="11">
        <f t="shared" si="219"/>
        <v>-4.7629233210285227E-2</v>
      </c>
      <c r="N167" s="11">
        <f t="shared" si="219"/>
        <v>8.3743888590533055E-2</v>
      </c>
      <c r="O167" s="11">
        <f t="shared" si="219"/>
        <v>0</v>
      </c>
      <c r="P167" s="11">
        <f t="shared" si="219"/>
        <v>0</v>
      </c>
      <c r="Q167" s="11">
        <f t="shared" si="219"/>
        <v>0</v>
      </c>
      <c r="R167" s="51"/>
      <c r="S167" s="11"/>
      <c r="T167" s="11"/>
      <c r="U167" s="11"/>
      <c r="V167" s="11"/>
      <c r="W167" s="11">
        <f t="shared" si="215"/>
        <v>0.17602838737488358</v>
      </c>
      <c r="X167" s="11">
        <f t="shared" si="215"/>
        <v>0.10258118929237003</v>
      </c>
      <c r="Y167" s="11">
        <f t="shared" si="215"/>
        <v>9.5518585710425485E-2</v>
      </c>
      <c r="Z167" s="11">
        <f t="shared" si="215"/>
        <v>-1.4431766010984504E-2</v>
      </c>
      <c r="AA167" s="11">
        <f t="shared" si="215"/>
        <v>3.9515220190922129E-3</v>
      </c>
      <c r="AB167" s="11">
        <f t="shared" si="215"/>
        <v>8.7991065560136361E-2</v>
      </c>
      <c r="AC167" s="11">
        <f t="shared" si="215"/>
        <v>5.2126802541371031E-2</v>
      </c>
      <c r="AD167" s="11">
        <f t="shared" si="215"/>
        <v>0.15410819320929514</v>
      </c>
      <c r="AE167" s="11">
        <f t="shared" si="215"/>
        <v>7.4568273133422069E-2</v>
      </c>
      <c r="AF167" s="11">
        <f t="shared" si="215"/>
        <v>5.5873192234271674E-2</v>
      </c>
      <c r="AG167" s="11">
        <f t="shared" si="216"/>
        <v>4.879674396233602E-3</v>
      </c>
      <c r="AH167" s="11">
        <f t="shared" si="216"/>
        <v>-6.0776341785056975E-2</v>
      </c>
      <c r="AI167" s="11">
        <f t="shared" si="216"/>
        <v>1.225533313887861E-2</v>
      </c>
      <c r="AJ167" s="11">
        <f t="shared" si="216"/>
        <v>2.2525983720468545E-2</v>
      </c>
      <c r="AK167" s="11">
        <f t="shared" si="216"/>
        <v>2.2526314715321405E-2</v>
      </c>
      <c r="AL167" s="11">
        <f t="shared" si="216"/>
        <v>0.16425631922780592</v>
      </c>
      <c r="AM167" s="11">
        <f t="shared" si="216"/>
        <v>8.582984293164353E-2</v>
      </c>
      <c r="AN167" s="11">
        <f t="shared" si="216"/>
        <v>1.1842995096334796E-2</v>
      </c>
      <c r="AO167" s="11">
        <f t="shared" si="216"/>
        <v>-2.9862980413699836E-2</v>
      </c>
      <c r="AP167" s="11">
        <f t="shared" si="216"/>
        <v>-0.10855554328115391</v>
      </c>
      <c r="AQ167" s="11">
        <f t="shared" si="217"/>
        <v>-8.9057151491035325E-2</v>
      </c>
      <c r="AR167" s="11">
        <f t="shared" si="217"/>
        <v>-5.7781710914454387E-2</v>
      </c>
      <c r="AS167" s="11">
        <f t="shared" si="217"/>
        <v>9.5185906470633963E-3</v>
      </c>
      <c r="AT167" s="11">
        <f t="shared" si="217"/>
        <v>-4.4972412557812147E-2</v>
      </c>
      <c r="AU167" s="11">
        <f t="shared" si="217"/>
        <v>-2.9375453024588216E-3</v>
      </c>
      <c r="AV167" s="11">
        <f t="shared" si="217"/>
        <v>6.5214641845912746E-2</v>
      </c>
      <c r="AW167" s="11">
        <f t="shared" si="217"/>
        <v>0.11416141719806894</v>
      </c>
      <c r="AX167" s="11">
        <f t="shared" si="217"/>
        <v>0.17096950896909702</v>
      </c>
      <c r="AY167" s="11">
        <f t="shared" si="217"/>
        <v>0</v>
      </c>
      <c r="AZ167" s="11">
        <f t="shared" si="217"/>
        <v>0</v>
      </c>
      <c r="BA167" s="11">
        <f t="shared" si="218"/>
        <v>0</v>
      </c>
      <c r="BB167" s="11">
        <f t="shared" si="218"/>
        <v>0</v>
      </c>
      <c r="BC167" s="11">
        <f t="shared" si="218"/>
        <v>0</v>
      </c>
      <c r="BD167" s="11">
        <f t="shared" si="218"/>
        <v>0</v>
      </c>
      <c r="BE167" s="11">
        <f t="shared" si="218"/>
        <v>0</v>
      </c>
      <c r="BF167" s="11">
        <f t="shared" si="218"/>
        <v>0</v>
      </c>
      <c r="BG167" s="11">
        <f t="shared" si="218"/>
        <v>0</v>
      </c>
      <c r="BH167" s="11">
        <f t="shared" si="218"/>
        <v>0</v>
      </c>
      <c r="BI167" s="11">
        <f t="shared" si="218"/>
        <v>0</v>
      </c>
      <c r="BJ167" s="11">
        <f t="shared" si="218"/>
        <v>0</v>
      </c>
      <c r="BK167" s="1"/>
      <c r="BL167" s="91"/>
      <c r="BM167" s="23">
        <f t="shared" si="182"/>
        <v>161</v>
      </c>
    </row>
    <row r="168" spans="1:71" ht="12.75" customHeight="1" outlineLevel="1">
      <c r="A168" s="118"/>
      <c r="B168" s="55" t="s">
        <v>292</v>
      </c>
      <c r="C168" s="1"/>
      <c r="D168" s="1"/>
      <c r="E168" s="1"/>
      <c r="F168" s="11">
        <f t="shared" ref="F168:Q168" si="220">F164/E164-1</f>
        <v>0.13399270117632778</v>
      </c>
      <c r="G168" s="11">
        <f t="shared" si="220"/>
        <v>0.19111124728942008</v>
      </c>
      <c r="H168" s="11">
        <f t="shared" si="220"/>
        <v>0.19817261501255334</v>
      </c>
      <c r="I168" s="11">
        <f t="shared" si="220"/>
        <v>1.4425516796170879E-2</v>
      </c>
      <c r="J168" s="11">
        <f t="shared" si="220"/>
        <v>0.10318007892530345</v>
      </c>
      <c r="K168" s="11">
        <f t="shared" si="220"/>
        <v>4.9238191766610928E-2</v>
      </c>
      <c r="L168" s="11">
        <f t="shared" si="220"/>
        <v>0.2203726014763765</v>
      </c>
      <c r="M168" s="11">
        <f t="shared" si="220"/>
        <v>0.29346658911215395</v>
      </c>
      <c r="N168" s="11">
        <f t="shared" si="220"/>
        <v>9.2168602764374663E-2</v>
      </c>
      <c r="O168" s="11">
        <f t="shared" si="220"/>
        <v>7.4504956071187456E-2</v>
      </c>
      <c r="P168" s="11">
        <f t="shared" si="220"/>
        <v>4.7612688565541461E-2</v>
      </c>
      <c r="Q168" s="11">
        <f t="shared" si="220"/>
        <v>2.3178863174782016E-2</v>
      </c>
      <c r="R168" s="51"/>
      <c r="S168" s="11"/>
      <c r="T168" s="11"/>
      <c r="U168" s="11"/>
      <c r="V168" s="11"/>
      <c r="W168" s="11">
        <f t="shared" si="215"/>
        <v>9.7144694388664021E-2</v>
      </c>
      <c r="X168" s="11">
        <f t="shared" si="215"/>
        <v>0.12239343422663396</v>
      </c>
      <c r="Y168" s="11">
        <f t="shared" si="215"/>
        <v>6.1028227970376436E-2</v>
      </c>
      <c r="Z168" s="11">
        <f t="shared" si="215"/>
        <v>0.62417309175573799</v>
      </c>
      <c r="AA168" s="11">
        <f t="shared" si="215"/>
        <v>0.2090724935742283</v>
      </c>
      <c r="AB168" s="11">
        <f t="shared" si="215"/>
        <v>-4.9563904268717263E-2</v>
      </c>
      <c r="AC168" s="11">
        <f t="shared" si="215"/>
        <v>3.7605803613679267E-2</v>
      </c>
      <c r="AD168" s="11">
        <f t="shared" si="215"/>
        <v>-7.1293299682789968E-2</v>
      </c>
      <c r="AE168" s="11">
        <f t="shared" si="215"/>
        <v>0.17775290074297878</v>
      </c>
      <c r="AF168" s="11">
        <f t="shared" si="215"/>
        <v>0.13196902225690033</v>
      </c>
      <c r="AG168" s="11">
        <f t="shared" si="216"/>
        <v>6.9364815573185634E-2</v>
      </c>
      <c r="AH168" s="11">
        <f t="shared" si="216"/>
        <v>3.7147698155599596E-2</v>
      </c>
      <c r="AI168" s="11">
        <f t="shared" si="216"/>
        <v>-1.1681705407572296E-2</v>
      </c>
      <c r="AJ168" s="11">
        <f t="shared" si="216"/>
        <v>0.1149784534574867</v>
      </c>
      <c r="AK168" s="11">
        <f t="shared" si="216"/>
        <v>0.12780001256202511</v>
      </c>
      <c r="AL168" s="11">
        <f t="shared" si="216"/>
        <v>-4.9966288259548519E-2</v>
      </c>
      <c r="AM168" s="11">
        <f t="shared" si="216"/>
        <v>0.16300166452965881</v>
      </c>
      <c r="AN168" s="11">
        <f t="shared" si="216"/>
        <v>0.17418198508722149</v>
      </c>
      <c r="AO168" s="11">
        <f t="shared" si="216"/>
        <v>0.2925294725098142</v>
      </c>
      <c r="AP168" s="11">
        <f t="shared" si="216"/>
        <v>0.25685443646418205</v>
      </c>
      <c r="AQ168" s="11">
        <f t="shared" si="217"/>
        <v>0.24639565109308048</v>
      </c>
      <c r="AR168" s="11">
        <f t="shared" si="217"/>
        <v>0.25829711151276213</v>
      </c>
      <c r="AS168" s="11">
        <f t="shared" si="217"/>
        <v>0.24281028308581232</v>
      </c>
      <c r="AT168" s="11">
        <f t="shared" si="217"/>
        <v>0.45541276065430503</v>
      </c>
      <c r="AU168" s="11">
        <f t="shared" si="217"/>
        <v>0.19809860147971059</v>
      </c>
      <c r="AV168" s="11">
        <f t="shared" si="217"/>
        <v>9.6230270102701132E-2</v>
      </c>
      <c r="AW168" s="11">
        <f t="shared" si="217"/>
        <v>4.8520182165830983E-2</v>
      </c>
      <c r="AX168" s="11">
        <f t="shared" si="217"/>
        <v>4.1790535057701694E-2</v>
      </c>
      <c r="AY168" s="11">
        <f t="shared" si="217"/>
        <v>7.6926197071626623E-2</v>
      </c>
      <c r="AZ168" s="11">
        <f t="shared" si="217"/>
        <v>7.1492242231486536E-2</v>
      </c>
      <c r="BA168" s="11">
        <f t="shared" si="218"/>
        <v>7.3384769371924508E-2</v>
      </c>
      <c r="BB168" s="11">
        <f t="shared" si="218"/>
        <v>7.6756883531122533E-2</v>
      </c>
      <c r="BC168" s="11">
        <f t="shared" si="218"/>
        <v>4.9049466403688458E-2</v>
      </c>
      <c r="BD168" s="11">
        <f t="shared" si="218"/>
        <v>4.581586103076507E-2</v>
      </c>
      <c r="BE168" s="11">
        <f t="shared" si="218"/>
        <v>4.6945770432542E-2</v>
      </c>
      <c r="BF168" s="11">
        <f t="shared" si="218"/>
        <v>4.894920493583621E-2</v>
      </c>
      <c r="BG168" s="11">
        <f t="shared" si="218"/>
        <v>2.3845613259437126E-2</v>
      </c>
      <c r="BH168" s="11">
        <f t="shared" si="218"/>
        <v>2.2342450517685242E-2</v>
      </c>
      <c r="BI168" s="11">
        <f t="shared" si="218"/>
        <v>2.2868751750823479E-2</v>
      </c>
      <c r="BJ168" s="11">
        <f t="shared" si="218"/>
        <v>2.3799145277777045E-2</v>
      </c>
      <c r="BK168" s="1"/>
      <c r="BL168" s="91"/>
      <c r="BM168" s="23">
        <f t="shared" si="182"/>
        <v>162</v>
      </c>
    </row>
    <row r="169" spans="1:71" ht="12.75" customHeight="1" outlineLevel="1">
      <c r="A169" s="118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00"/>
      <c r="M169" s="100"/>
      <c r="N169" s="100"/>
      <c r="O169" s="100"/>
      <c r="P169" s="100"/>
      <c r="Q169" s="100"/>
      <c r="R169" s="51"/>
      <c r="S169" s="1"/>
      <c r="T169" s="1"/>
      <c r="U169" s="1"/>
      <c r="V169" s="1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5"/>
      <c r="AI169" s="45"/>
      <c r="AJ169" s="45"/>
      <c r="AK169" s="45"/>
      <c r="AL169" s="45"/>
      <c r="AM169" s="45"/>
      <c r="AN169" s="45"/>
      <c r="AO169" s="45"/>
      <c r="AP169" s="45"/>
      <c r="AQ169" s="45"/>
      <c r="AR169" s="45"/>
      <c r="AS169" s="45"/>
      <c r="AT169" s="45"/>
      <c r="AU169" s="45"/>
      <c r="AV169" s="45"/>
      <c r="AW169" s="45"/>
      <c r="AX169" s="45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91"/>
      <c r="BM169" s="23">
        <f t="shared" si="182"/>
        <v>163</v>
      </c>
    </row>
    <row r="170" spans="1:71" ht="12.75" customHeight="1" outlineLevel="1" collapsed="1">
      <c r="A170" s="118" t="s">
        <v>29</v>
      </c>
      <c r="B170" s="19" t="s">
        <v>477</v>
      </c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5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29"/>
      <c r="AR170" s="29"/>
      <c r="AS170" s="29"/>
      <c r="AT170" s="29"/>
      <c r="AU170" s="29"/>
      <c r="AV170" s="29"/>
      <c r="AW170" s="29"/>
      <c r="AX170" s="29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91"/>
      <c r="BM170" s="23">
        <f t="shared" si="182"/>
        <v>164</v>
      </c>
    </row>
    <row r="171" spans="1:71" ht="12.75" customHeight="1" outlineLevel="1">
      <c r="A171" s="118"/>
      <c r="B171" s="1" t="s">
        <v>479</v>
      </c>
      <c r="C171" s="1"/>
      <c r="D171" s="1"/>
      <c r="E171" s="20"/>
      <c r="F171" s="20"/>
      <c r="G171" s="20"/>
      <c r="H171" s="20"/>
      <c r="I171" s="20"/>
      <c r="J171" s="20"/>
      <c r="K171" s="20"/>
      <c r="L171" s="20"/>
      <c r="M171" s="20"/>
      <c r="N171" s="300" t="str">
        <f>IFERROR(+N13/M13-1,"NM")</f>
        <v>NM</v>
      </c>
      <c r="O171" s="300" t="str">
        <f t="shared" ref="O171:Q171" si="221">IFERROR(+O13/N13-1,"NM")</f>
        <v>NM</v>
      </c>
      <c r="P171" s="300">
        <f t="shared" si="221"/>
        <v>1.0400999999999998</v>
      </c>
      <c r="Q171" s="300">
        <f t="shared" si="221"/>
        <v>2.000000000000024E-2</v>
      </c>
      <c r="R171" s="51"/>
      <c r="S171" s="300"/>
      <c r="T171" s="300"/>
      <c r="U171" s="300"/>
      <c r="V171" s="300"/>
      <c r="W171" s="300"/>
      <c r="X171" s="300"/>
      <c r="Y171" s="300"/>
      <c r="Z171" s="300"/>
      <c r="AA171" s="300"/>
      <c r="AB171" s="300"/>
      <c r="AC171" s="300"/>
      <c r="AD171" s="300"/>
      <c r="AE171" s="300"/>
      <c r="AF171" s="300"/>
      <c r="AG171" s="300"/>
      <c r="AH171" s="300"/>
      <c r="AI171" s="300"/>
      <c r="AJ171" s="300"/>
      <c r="AK171" s="300"/>
      <c r="AL171" s="300"/>
      <c r="AM171" s="300"/>
      <c r="AN171" s="300"/>
      <c r="AO171" s="300"/>
      <c r="AP171" s="300"/>
      <c r="AQ171" s="300"/>
      <c r="AR171" s="300"/>
      <c r="AS171" s="300"/>
      <c r="AT171" s="300"/>
      <c r="AU171" s="300" t="str">
        <f t="shared" ref="AU171:BA171" si="222">IFERROR(+AU13/AR13-1,"NM")</f>
        <v>NM</v>
      </c>
      <c r="AV171" s="300" t="str">
        <f t="shared" si="222"/>
        <v>NM</v>
      </c>
      <c r="AW171" s="300" t="str">
        <f t="shared" si="222"/>
        <v>NM</v>
      </c>
      <c r="AX171" s="300" t="str">
        <f t="shared" si="222"/>
        <v>NM</v>
      </c>
      <c r="AY171" s="300" t="str">
        <f t="shared" si="222"/>
        <v>NM</v>
      </c>
      <c r="AZ171" s="300" t="str">
        <f t="shared" si="222"/>
        <v>NM</v>
      </c>
      <c r="BA171" s="300" t="str">
        <f t="shared" si="222"/>
        <v>NM</v>
      </c>
      <c r="BB171" s="300" t="str">
        <f>IFERROR(+BB13/AY13-1,"NM")</f>
        <v>NM</v>
      </c>
      <c r="BC171" s="300" t="str">
        <f>IFERROR(+BC13/AZ13-1,"NM")</f>
        <v>NM</v>
      </c>
      <c r="BD171" s="302">
        <v>0.02</v>
      </c>
      <c r="BE171" s="302">
        <v>0.02</v>
      </c>
      <c r="BF171" s="302">
        <v>0.02</v>
      </c>
      <c r="BG171" s="302">
        <v>0.02</v>
      </c>
      <c r="BH171" s="302">
        <v>0.02</v>
      </c>
      <c r="BI171" s="302">
        <v>0.02</v>
      </c>
      <c r="BJ171" s="302">
        <v>0.02</v>
      </c>
      <c r="BK171" s="1"/>
      <c r="BL171" s="91"/>
      <c r="BM171" s="23">
        <f t="shared" si="182"/>
        <v>165</v>
      </c>
    </row>
    <row r="172" spans="1:71" ht="12.75" customHeight="1" outlineLevel="1">
      <c r="A172" s="118"/>
      <c r="B172" s="7" t="s">
        <v>478</v>
      </c>
      <c r="C172" s="1"/>
      <c r="D172" s="1"/>
      <c r="E172" s="1"/>
      <c r="F172" s="11"/>
      <c r="G172" s="11"/>
      <c r="H172" s="11"/>
      <c r="I172" s="11"/>
      <c r="J172" s="11"/>
      <c r="K172" s="11"/>
      <c r="L172" s="11"/>
      <c r="M172" s="11"/>
      <c r="N172" s="301" t="str">
        <f>IFERROR(+N19/N13,"NM")</f>
        <v>NM</v>
      </c>
      <c r="O172" s="168">
        <f t="shared" ref="O172:Q172" si="223">+O19/O13</f>
        <v>0.36502487562189057</v>
      </c>
      <c r="P172" s="168">
        <f t="shared" si="223"/>
        <v>0.38000000000000006</v>
      </c>
      <c r="Q172" s="168">
        <f t="shared" si="223"/>
        <v>0.37999999999999995</v>
      </c>
      <c r="R172" s="51"/>
      <c r="S172" s="168"/>
      <c r="T172" s="168"/>
      <c r="U172" s="168"/>
      <c r="V172" s="168"/>
      <c r="W172" s="168"/>
      <c r="X172" s="168"/>
      <c r="Y172" s="168"/>
      <c r="Z172" s="168"/>
      <c r="AA172" s="168"/>
      <c r="AB172" s="168"/>
      <c r="AC172" s="168"/>
      <c r="AD172" s="168"/>
      <c r="AE172" s="168"/>
      <c r="AF172" s="168"/>
      <c r="AG172" s="168"/>
      <c r="AH172" s="168"/>
      <c r="AI172" s="168"/>
      <c r="AJ172" s="168"/>
      <c r="AK172" s="168"/>
      <c r="AL172" s="168"/>
      <c r="AM172" s="168"/>
      <c r="AN172" s="168"/>
      <c r="AO172" s="168"/>
      <c r="AP172" s="168"/>
      <c r="AQ172" s="168"/>
      <c r="AR172" s="168"/>
      <c r="AS172" s="168"/>
      <c r="AT172" s="168"/>
      <c r="AU172" s="301" t="str">
        <f>IFERROR(+AU19/AU13,"NM")</f>
        <v>NM</v>
      </c>
      <c r="AV172" s="301" t="str">
        <f t="shared" ref="AV172:BA172" si="224">IFERROR(+AV19/AV13,"NM")</f>
        <v>NM</v>
      </c>
      <c r="AW172" s="301" t="str">
        <f t="shared" si="224"/>
        <v>NM</v>
      </c>
      <c r="AX172" s="301" t="str">
        <f t="shared" si="224"/>
        <v>NM</v>
      </c>
      <c r="AY172" s="301" t="str">
        <f t="shared" si="224"/>
        <v>NM</v>
      </c>
      <c r="AZ172" s="301" t="str">
        <f t="shared" si="224"/>
        <v>NM</v>
      </c>
      <c r="BA172" s="301">
        <f t="shared" si="224"/>
        <v>0.36</v>
      </c>
      <c r="BB172" s="302">
        <v>0.37</v>
      </c>
      <c r="BC172" s="302">
        <v>0.38</v>
      </c>
      <c r="BD172" s="302">
        <f>BC172</f>
        <v>0.38</v>
      </c>
      <c r="BE172" s="302">
        <f t="shared" ref="BE172:BJ172" si="225">BD172</f>
        <v>0.38</v>
      </c>
      <c r="BF172" s="302">
        <f t="shared" si="225"/>
        <v>0.38</v>
      </c>
      <c r="BG172" s="302">
        <f t="shared" si="225"/>
        <v>0.38</v>
      </c>
      <c r="BH172" s="302">
        <f t="shared" si="225"/>
        <v>0.38</v>
      </c>
      <c r="BI172" s="302">
        <f t="shared" si="225"/>
        <v>0.38</v>
      </c>
      <c r="BJ172" s="302">
        <f t="shared" si="225"/>
        <v>0.38</v>
      </c>
      <c r="BK172" s="1"/>
      <c r="BL172" s="91"/>
      <c r="BM172" s="23">
        <f t="shared" si="182"/>
        <v>166</v>
      </c>
    </row>
    <row r="173" spans="1:71" ht="12.75" customHeight="1" outlineLevel="1">
      <c r="A173" s="118"/>
      <c r="B173" s="5"/>
      <c r="C173" s="1"/>
      <c r="D173" s="1"/>
      <c r="E173" s="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51"/>
      <c r="S173" s="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"/>
      <c r="BL173" s="91"/>
      <c r="BM173" s="23">
        <f t="shared" si="182"/>
        <v>167</v>
      </c>
    </row>
    <row r="174" spans="1:71" s="88" customFormat="1" ht="12.75" customHeight="1" outlineLevel="1">
      <c r="A174" s="119" t="s">
        <v>29</v>
      </c>
      <c r="B174" s="163" t="s">
        <v>475</v>
      </c>
      <c r="C174" s="29"/>
      <c r="D174" s="29"/>
      <c r="E174" s="29"/>
      <c r="F174" s="29"/>
      <c r="G174" s="29"/>
      <c r="H174" s="29"/>
      <c r="I174" s="29"/>
      <c r="J174" s="29"/>
      <c r="K174" s="29"/>
      <c r="L174" s="166"/>
      <c r="M174" s="166"/>
      <c r="N174" s="166"/>
      <c r="O174" s="29"/>
      <c r="P174" s="29"/>
      <c r="Q174" s="29"/>
      <c r="R174" s="93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  <c r="AX174" s="29"/>
      <c r="AY174" s="29"/>
      <c r="AZ174" s="29"/>
      <c r="BA174" s="29"/>
      <c r="BB174" s="29"/>
      <c r="BC174" s="29"/>
      <c r="BD174" s="29"/>
      <c r="BE174" s="29"/>
      <c r="BF174" s="29"/>
      <c r="BG174" s="29"/>
      <c r="BH174" s="29"/>
      <c r="BI174" s="29"/>
      <c r="BJ174" s="29"/>
      <c r="BK174" s="29"/>
      <c r="BL174" s="96"/>
      <c r="BM174" s="23">
        <f t="shared" si="182"/>
        <v>168</v>
      </c>
      <c r="BN174"/>
      <c r="BO174"/>
      <c r="BP174"/>
      <c r="BQ174"/>
      <c r="BR174"/>
      <c r="BS174"/>
    </row>
    <row r="175" spans="1:71" s="88" customFormat="1" ht="12.75" customHeight="1" outlineLevel="1">
      <c r="A175" s="119"/>
      <c r="B175" s="193" t="s">
        <v>37</v>
      </c>
      <c r="C175" s="20">
        <v>6777</v>
      </c>
      <c r="D175" s="20">
        <v>6623</v>
      </c>
      <c r="E175" s="20">
        <v>6389</v>
      </c>
      <c r="F175" s="20">
        <v>5089</v>
      </c>
      <c r="G175" s="20">
        <v>5965</v>
      </c>
      <c r="H175" s="20">
        <f>SUM(INDEX($S175:$AH175,H$5):INDEX($S175:$AH175,H$6))</f>
        <v>6289</v>
      </c>
      <c r="I175" s="20">
        <f>SUM(INDEX($S175:$AH175,I$5):INDEX($S175:$AH175,I$6))</f>
        <v>7170.5999999999995</v>
      </c>
      <c r="J175" s="20">
        <f>SUM(INDEX($S175:$AH175,J$5):INDEX($S175:$AH175,J$6))</f>
        <v>8168.7930000000006</v>
      </c>
      <c r="K175" s="20">
        <f>SUM(INDEX($S175:$BK175,K$5):INDEX($S175:$BK175,K$6))</f>
        <v>10928</v>
      </c>
      <c r="L175" s="20">
        <f>SUM(INDEX($S175:$BK175,L$5):INDEX($S175:$BK175,L$6))</f>
        <v>10024</v>
      </c>
      <c r="M175" s="20">
        <f>SUM(INDEX($S175:$BK175,M$5):INDEX($S175:$BK175,M$6))</f>
        <v>9875</v>
      </c>
      <c r="N175" s="20">
        <f>SUM(INDEX($S175:$BK175,N$5):INDEX($S175:$BK175,N$6))</f>
        <v>15128</v>
      </c>
      <c r="O175" s="20">
        <f>SUM(INDEX($S175:$BK175,O$5):INDEX($S175:$BK175,O$6))</f>
        <v>20788.989999999998</v>
      </c>
      <c r="P175" s="20">
        <f>SUM(INDEX($S175:$BK175,P$5):INDEX($S175:$BK175,P$6))</f>
        <v>24548.1597</v>
      </c>
      <c r="Q175" s="20">
        <f>SUM(INDEX($S175:$BK175,Q$5):INDEX($S175:$BK175,Q$6))</f>
        <v>24660.604490999998</v>
      </c>
      <c r="R175" s="93"/>
      <c r="S175" s="165">
        <f t="shared" ref="S175:BJ175" si="226">S158+S43</f>
        <v>1389</v>
      </c>
      <c r="T175" s="165">
        <f t="shared" si="226"/>
        <v>1562</v>
      </c>
      <c r="U175" s="165">
        <f t="shared" si="226"/>
        <v>1557</v>
      </c>
      <c r="V175" s="165">
        <f t="shared" si="226"/>
        <v>1457</v>
      </c>
      <c r="W175" s="165">
        <f t="shared" si="226"/>
        <v>1468</v>
      </c>
      <c r="X175" s="165">
        <f t="shared" si="226"/>
        <v>1641</v>
      </c>
      <c r="Y175" s="165">
        <f t="shared" si="226"/>
        <v>1579</v>
      </c>
      <c r="Z175" s="165">
        <f t="shared" si="226"/>
        <v>1601</v>
      </c>
      <c r="AA175" s="165">
        <f t="shared" si="226"/>
        <v>1742.9</v>
      </c>
      <c r="AB175" s="165">
        <f t="shared" si="226"/>
        <v>1783.4</v>
      </c>
      <c r="AC175" s="165">
        <f t="shared" si="226"/>
        <v>1884.1</v>
      </c>
      <c r="AD175" s="165">
        <f t="shared" si="226"/>
        <v>1760.1999999999998</v>
      </c>
      <c r="AE175" s="165">
        <f t="shared" si="226"/>
        <v>1885.5250000000001</v>
      </c>
      <c r="AF175" s="165">
        <f t="shared" si="226"/>
        <v>2048.5680000000002</v>
      </c>
      <c r="AG175" s="165">
        <f t="shared" si="226"/>
        <v>2118</v>
      </c>
      <c r="AH175" s="165">
        <f t="shared" si="226"/>
        <v>2116.6999999999998</v>
      </c>
      <c r="AI175" s="165">
        <f t="shared" si="226"/>
        <v>2310.4</v>
      </c>
      <c r="AJ175" s="165">
        <f t="shared" si="226"/>
        <v>2603</v>
      </c>
      <c r="AK175" s="165">
        <f t="shared" si="226"/>
        <v>2993</v>
      </c>
      <c r="AL175" s="165">
        <f t="shared" si="226"/>
        <v>3021.6</v>
      </c>
      <c r="AM175" s="165">
        <f t="shared" si="226"/>
        <v>2671</v>
      </c>
      <c r="AN175" s="165">
        <f t="shared" si="226"/>
        <v>2258</v>
      </c>
      <c r="AO175" s="165">
        <f t="shared" si="226"/>
        <v>2623</v>
      </c>
      <c r="AP175" s="165">
        <f t="shared" si="226"/>
        <v>2472</v>
      </c>
      <c r="AQ175" s="165">
        <f t="shared" si="226"/>
        <v>2273</v>
      </c>
      <c r="AR175" s="165">
        <f t="shared" si="226"/>
        <v>2237</v>
      </c>
      <c r="AS175" s="165">
        <f t="shared" si="226"/>
        <v>2493</v>
      </c>
      <c r="AT175" s="165">
        <f t="shared" si="226"/>
        <v>2872</v>
      </c>
      <c r="AU175" s="165">
        <f t="shared" si="226"/>
        <v>3393</v>
      </c>
      <c r="AV175" s="165">
        <f t="shared" si="226"/>
        <v>3638</v>
      </c>
      <c r="AW175" s="165">
        <f t="shared" si="226"/>
        <v>4075</v>
      </c>
      <c r="AX175" s="165">
        <f t="shared" si="226"/>
        <v>4022</v>
      </c>
      <c r="AY175" s="165">
        <f t="shared" si="226"/>
        <v>4036.83</v>
      </c>
      <c r="AZ175" s="165">
        <f t="shared" si="226"/>
        <v>4819.79</v>
      </c>
      <c r="BA175" s="165">
        <f t="shared" si="226"/>
        <v>5855.84</v>
      </c>
      <c r="BB175" s="165">
        <f t="shared" si="226"/>
        <v>6076.53</v>
      </c>
      <c r="BC175" s="165">
        <f t="shared" si="226"/>
        <v>6113.4349000000002</v>
      </c>
      <c r="BD175" s="165">
        <f t="shared" si="226"/>
        <v>6147.3837000000003</v>
      </c>
      <c r="BE175" s="165">
        <f t="shared" si="226"/>
        <v>6184.5151999999998</v>
      </c>
      <c r="BF175" s="165">
        <f t="shared" si="226"/>
        <v>6102.8258999999998</v>
      </c>
      <c r="BG175" s="165">
        <f t="shared" si="226"/>
        <v>6140.837947</v>
      </c>
      <c r="BH175" s="165">
        <f t="shared" si="226"/>
        <v>6175.8052109999999</v>
      </c>
      <c r="BI175" s="165">
        <f t="shared" si="226"/>
        <v>6214.0506560000003</v>
      </c>
      <c r="BJ175" s="165">
        <f t="shared" si="226"/>
        <v>6129.9106769999999</v>
      </c>
      <c r="BK175" s="29"/>
      <c r="BL175" s="96"/>
      <c r="BM175" s="23">
        <f t="shared" si="182"/>
        <v>169</v>
      </c>
      <c r="BN175"/>
      <c r="BO175"/>
      <c r="BP175"/>
      <c r="BQ175"/>
      <c r="BR175"/>
      <c r="BS175"/>
    </row>
    <row r="176" spans="1:71" s="88" customFormat="1" ht="12.75" customHeight="1" outlineLevel="1">
      <c r="A176" s="119"/>
      <c r="B176" s="193" t="s">
        <v>31</v>
      </c>
      <c r="C176" s="21">
        <v>30.98</v>
      </c>
      <c r="D176" s="21">
        <f t="shared" ref="D176:Q176" si="227">D14/D175*1000</f>
        <v>32.881775630378989</v>
      </c>
      <c r="E176" s="21">
        <f t="shared" si="227"/>
        <v>36.560181562059789</v>
      </c>
      <c r="F176" s="21">
        <f t="shared" si="227"/>
        <v>37.654352525054037</v>
      </c>
      <c r="G176" s="21">
        <f t="shared" si="227"/>
        <v>41.065046102263196</v>
      </c>
      <c r="H176" s="21">
        <f t="shared" si="227"/>
        <v>47.002133248529169</v>
      </c>
      <c r="I176" s="21">
        <f t="shared" si="227"/>
        <v>61.623295121747141</v>
      </c>
      <c r="J176" s="9">
        <f t="shared" si="227"/>
        <v>66.836557126615872</v>
      </c>
      <c r="K176" s="9">
        <f t="shared" si="227"/>
        <v>80.228861639824302</v>
      </c>
      <c r="L176" s="9">
        <f t="shared" si="227"/>
        <v>64.14495211492418</v>
      </c>
      <c r="M176" s="9">
        <f t="shared" si="227"/>
        <v>56.670886075949369</v>
      </c>
      <c r="N176" s="9">
        <f t="shared" si="227"/>
        <v>82.023466419883647</v>
      </c>
      <c r="O176" s="9">
        <f t="shared" si="227"/>
        <v>91.860301967531854</v>
      </c>
      <c r="P176" s="9">
        <f t="shared" si="227"/>
        <v>95.005413923020072</v>
      </c>
      <c r="Q176" s="9">
        <f t="shared" si="227"/>
        <v>96.964674586817722</v>
      </c>
      <c r="R176" s="21"/>
      <c r="S176" s="21">
        <f t="shared" ref="S176:BJ176" si="228">S14/S175*1000</f>
        <v>39.820734341252695</v>
      </c>
      <c r="T176" s="21">
        <f t="shared" si="228"/>
        <v>41.059539052496802</v>
      </c>
      <c r="U176" s="21">
        <f t="shared" si="228"/>
        <v>42.412331406551061</v>
      </c>
      <c r="V176" s="21">
        <f t="shared" si="228"/>
        <v>40.817433081674665</v>
      </c>
      <c r="W176" s="21">
        <f t="shared" si="228"/>
        <v>43.891008174386926</v>
      </c>
      <c r="X176" s="21">
        <f t="shared" si="228"/>
        <v>45.143205362583792</v>
      </c>
      <c r="Y176" s="21">
        <f t="shared" si="228"/>
        <v>46.518682710576307</v>
      </c>
      <c r="Z176" s="21">
        <f t="shared" si="228"/>
        <v>52.236986883198</v>
      </c>
      <c r="AA176" s="21">
        <f t="shared" si="228"/>
        <v>58.862241092432157</v>
      </c>
      <c r="AB176" s="21">
        <f t="shared" si="228"/>
        <v>58.652013008859477</v>
      </c>
      <c r="AC176" s="21">
        <f t="shared" si="228"/>
        <v>61.506820232471732</v>
      </c>
      <c r="AD176" s="21">
        <f t="shared" si="228"/>
        <v>67.492330416998072</v>
      </c>
      <c r="AE176" s="21">
        <f t="shared" si="228"/>
        <v>64.862571432359687</v>
      </c>
      <c r="AF176" s="21">
        <f t="shared" si="228"/>
        <v>63.36133338019534</v>
      </c>
      <c r="AG176" s="21">
        <f t="shared" si="228"/>
        <v>68.17752596789424</v>
      </c>
      <c r="AH176" s="21">
        <f t="shared" si="228"/>
        <v>70.616525724004347</v>
      </c>
      <c r="AI176" s="21">
        <f t="shared" si="228"/>
        <v>77.949705678670355</v>
      </c>
      <c r="AJ176" s="21">
        <f t="shared" si="228"/>
        <v>79.063004225893195</v>
      </c>
      <c r="AK176" s="21">
        <f t="shared" si="228"/>
        <v>80.606749081189449</v>
      </c>
      <c r="AL176" s="21">
        <f t="shared" si="228"/>
        <v>82.601601800370673</v>
      </c>
      <c r="AM176" s="21">
        <f t="shared" si="228"/>
        <v>76.360164732309983</v>
      </c>
      <c r="AN176" s="21">
        <f t="shared" si="228"/>
        <v>65.328166519043393</v>
      </c>
      <c r="AO176" s="21">
        <f t="shared" si="228"/>
        <v>59.248189096454432</v>
      </c>
      <c r="AP176" s="21">
        <f t="shared" si="228"/>
        <v>55.061488673139152</v>
      </c>
      <c r="AQ176" s="21">
        <f t="shared" si="228"/>
        <v>53.897932248130218</v>
      </c>
      <c r="AR176" s="21">
        <f t="shared" si="228"/>
        <v>52.299508270004473</v>
      </c>
      <c r="AS176" s="21">
        <f t="shared" si="228"/>
        <v>55.253910950661854</v>
      </c>
      <c r="AT176" s="21">
        <f t="shared" si="228"/>
        <v>63.500348189415035</v>
      </c>
      <c r="AU176" s="21">
        <f t="shared" si="228"/>
        <v>72.147656940760385</v>
      </c>
      <c r="AV176" s="21">
        <f t="shared" si="228"/>
        <v>79.841946124244103</v>
      </c>
      <c r="AW176" s="21">
        <f t="shared" si="228"/>
        <v>84.668220858895708</v>
      </c>
      <c r="AX176" s="21">
        <f t="shared" si="228"/>
        <v>89.648433615116843</v>
      </c>
      <c r="AY176" s="21">
        <f t="shared" si="228"/>
        <v>91.784378881449072</v>
      </c>
      <c r="AZ176" s="21">
        <f t="shared" si="228"/>
        <v>86.55980546870299</v>
      </c>
      <c r="BA176" s="21">
        <f t="shared" si="228"/>
        <v>93.624318389846707</v>
      </c>
      <c r="BB176" s="21">
        <f t="shared" si="228"/>
        <v>94.415044671876885</v>
      </c>
      <c r="BC176" s="21">
        <f t="shared" si="228"/>
        <v>94.471755619826766</v>
      </c>
      <c r="BD176" s="21">
        <f t="shared" si="228"/>
        <v>94.662549719871862</v>
      </c>
      <c r="BE176" s="21">
        <f t="shared" si="228"/>
        <v>94.943200341258759</v>
      </c>
      <c r="BF176" s="21">
        <f t="shared" si="228"/>
        <v>95.948413780055574</v>
      </c>
      <c r="BG176" s="21">
        <f t="shared" si="228"/>
        <v>96.248752758155462</v>
      </c>
      <c r="BH176" s="21">
        <f t="shared" si="228"/>
        <v>97.053407464588133</v>
      </c>
      <c r="BI176" s="21">
        <f t="shared" si="228"/>
        <v>96.948801679150733</v>
      </c>
      <c r="BJ176" s="21">
        <f t="shared" si="228"/>
        <v>97.608566190446282</v>
      </c>
      <c r="BK176" s="29"/>
      <c r="BL176" s="96"/>
      <c r="BM176" s="23">
        <f t="shared" si="182"/>
        <v>170</v>
      </c>
      <c r="BN176"/>
      <c r="BO176"/>
      <c r="BP176"/>
      <c r="BQ176"/>
      <c r="BR176"/>
      <c r="BS176"/>
    </row>
    <row r="177" spans="1:71" s="88" customFormat="1" ht="12.75" customHeight="1" outlineLevel="1">
      <c r="A177" s="119"/>
      <c r="B177" s="193" t="s">
        <v>32</v>
      </c>
      <c r="C177" s="21"/>
      <c r="D177" s="21"/>
      <c r="E177" s="21">
        <f t="shared" ref="E177:Q177" si="229">(E14-E20)/E175*1000</f>
        <v>26.348098293942716</v>
      </c>
      <c r="F177" s="21">
        <f t="shared" si="229"/>
        <v>25.680683827864019</v>
      </c>
      <c r="G177" s="21">
        <f t="shared" si="229"/>
        <v>26.119698239731765</v>
      </c>
      <c r="H177" s="21">
        <f t="shared" si="229"/>
        <v>27.825316584512635</v>
      </c>
      <c r="I177" s="21">
        <f t="shared" si="229"/>
        <v>34.618302513039367</v>
      </c>
      <c r="J177" s="9">
        <f t="shared" si="229"/>
        <v>42.012449085195314</v>
      </c>
      <c r="K177" s="9">
        <f t="shared" si="229"/>
        <v>51.198938506588576</v>
      </c>
      <c r="L177" s="9">
        <f t="shared" si="229"/>
        <v>48.276336791699926</v>
      </c>
      <c r="M177" s="9">
        <f t="shared" si="229"/>
        <v>47.513215189873414</v>
      </c>
      <c r="N177" s="9">
        <f t="shared" si="229"/>
        <v>56.193680592279215</v>
      </c>
      <c r="O177" s="9">
        <f t="shared" si="229"/>
        <v>60.740418365682991</v>
      </c>
      <c r="P177" s="9">
        <f t="shared" si="229"/>
        <v>63.528840544816902</v>
      </c>
      <c r="Q177" s="9">
        <f t="shared" si="229"/>
        <v>65.986252066687058</v>
      </c>
      <c r="R177" s="93"/>
      <c r="S177" s="21">
        <f t="shared" ref="S177:BJ177" si="230">(S14-S20)/S175*1000</f>
        <v>26.465802735781136</v>
      </c>
      <c r="T177" s="21">
        <f t="shared" si="230"/>
        <v>25.377080665813061</v>
      </c>
      <c r="U177" s="21">
        <f t="shared" si="230"/>
        <v>25.798330122029544</v>
      </c>
      <c r="V177" s="21">
        <f t="shared" si="230"/>
        <v>26.929306794783795</v>
      </c>
      <c r="W177" s="21">
        <f t="shared" si="230"/>
        <v>29.297683923705723</v>
      </c>
      <c r="X177" s="21">
        <f t="shared" si="230"/>
        <v>25.925045703839132</v>
      </c>
      <c r="Y177" s="21">
        <f t="shared" si="230"/>
        <v>27.922735908803034</v>
      </c>
      <c r="Z177" s="21">
        <f t="shared" si="230"/>
        <v>28.326930668332288</v>
      </c>
      <c r="AA177" s="21">
        <f t="shared" si="230"/>
        <v>31.653565895920597</v>
      </c>
      <c r="AB177" s="21">
        <f t="shared" si="230"/>
        <v>32.12964001345744</v>
      </c>
      <c r="AC177" s="21">
        <f t="shared" si="230"/>
        <v>35.807547370097133</v>
      </c>
      <c r="AD177" s="21">
        <f t="shared" si="230"/>
        <v>38.802408817179874</v>
      </c>
      <c r="AE177" s="21">
        <f t="shared" si="230"/>
        <v>38.662971851341133</v>
      </c>
      <c r="AF177" s="21">
        <f t="shared" si="230"/>
        <v>38.563523397807643</v>
      </c>
      <c r="AG177" s="21">
        <f t="shared" si="230"/>
        <v>42.398489140698778</v>
      </c>
      <c r="AH177" s="21">
        <f t="shared" si="230"/>
        <v>47.947748854348752</v>
      </c>
      <c r="AI177" s="21">
        <f t="shared" si="230"/>
        <v>54.224376731301938</v>
      </c>
      <c r="AJ177" s="21">
        <f t="shared" si="230"/>
        <v>50.374951978486358</v>
      </c>
      <c r="AK177" s="21">
        <f t="shared" si="230"/>
        <v>49.242231874373552</v>
      </c>
      <c r="AL177" s="21">
        <f t="shared" si="230"/>
        <v>51.53362456976437</v>
      </c>
      <c r="AM177" s="21">
        <f t="shared" si="230"/>
        <v>51.032197678771979</v>
      </c>
      <c r="AN177" s="21">
        <f t="shared" si="230"/>
        <v>50.80735163861825</v>
      </c>
      <c r="AO177" s="21">
        <f t="shared" si="230"/>
        <v>45.33739992375142</v>
      </c>
      <c r="AP177" s="21">
        <f t="shared" si="230"/>
        <v>46.105177993527505</v>
      </c>
      <c r="AQ177" s="21">
        <f t="shared" si="230"/>
        <v>46.091509018917726</v>
      </c>
      <c r="AR177" s="21">
        <f t="shared" si="230"/>
        <v>45.374608851139918</v>
      </c>
      <c r="AS177" s="21">
        <f t="shared" si="230"/>
        <v>47.355796229442433</v>
      </c>
      <c r="AT177" s="21">
        <f t="shared" si="230"/>
        <v>50.440807799442894</v>
      </c>
      <c r="AU177" s="21">
        <f t="shared" si="230"/>
        <v>54.74211612142647</v>
      </c>
      <c r="AV177" s="21">
        <f t="shared" si="230"/>
        <v>53.869158878504685</v>
      </c>
      <c r="AW177" s="21">
        <f t="shared" si="230"/>
        <v>55.204417177914117</v>
      </c>
      <c r="AX177" s="21">
        <f t="shared" si="230"/>
        <v>60.523122824465432</v>
      </c>
      <c r="AY177" s="21">
        <f t="shared" si="230"/>
        <v>64.194841001478892</v>
      </c>
      <c r="AZ177" s="21">
        <f t="shared" si="230"/>
        <v>57.327902253002726</v>
      </c>
      <c r="BA177" s="21">
        <f t="shared" si="230"/>
        <v>60.676910571327078</v>
      </c>
      <c r="BB177" s="21">
        <f t="shared" si="230"/>
        <v>61.213482036622885</v>
      </c>
      <c r="BC177" s="21">
        <f t="shared" si="230"/>
        <v>62.22764469120299</v>
      </c>
      <c r="BD177" s="21">
        <f t="shared" si="230"/>
        <v>62.898615837173125</v>
      </c>
      <c r="BE177" s="21">
        <f t="shared" si="230"/>
        <v>63.733494971440926</v>
      </c>
      <c r="BF177" s="21">
        <f t="shared" si="230"/>
        <v>65.25973062741312</v>
      </c>
      <c r="BG177" s="21">
        <f t="shared" si="230"/>
        <v>65.662319894141959</v>
      </c>
      <c r="BH177" s="21">
        <f t="shared" si="230"/>
        <v>65.879604032899948</v>
      </c>
      <c r="BI177" s="21">
        <f t="shared" si="230"/>
        <v>65.84753232690737</v>
      </c>
      <c r="BJ177" s="21">
        <f t="shared" si="230"/>
        <v>66.558832016892708</v>
      </c>
      <c r="BK177" s="29"/>
      <c r="BL177" s="96"/>
      <c r="BM177" s="23">
        <f t="shared" si="182"/>
        <v>171</v>
      </c>
      <c r="BN177"/>
      <c r="BO177"/>
      <c r="BP177"/>
      <c r="BQ177"/>
      <c r="BR177"/>
      <c r="BS177"/>
    </row>
    <row r="178" spans="1:71" s="88" customFormat="1" ht="12.75" customHeight="1" outlineLevel="1">
      <c r="A178" s="119"/>
      <c r="B178" s="193" t="s">
        <v>268</v>
      </c>
      <c r="C178" s="192"/>
      <c r="D178" s="192"/>
      <c r="E178" s="192">
        <f t="shared" ref="E178:P178" si="231">E176-E177</f>
        <v>10.212083268117073</v>
      </c>
      <c r="F178" s="192">
        <f t="shared" si="231"/>
        <v>11.973668697190018</v>
      </c>
      <c r="G178" s="192">
        <f t="shared" si="231"/>
        <v>14.945347862531431</v>
      </c>
      <c r="H178" s="192">
        <f t="shared" si="231"/>
        <v>19.176816664016535</v>
      </c>
      <c r="I178" s="192">
        <f t="shared" si="231"/>
        <v>27.004992608707774</v>
      </c>
      <c r="J178" s="60">
        <f t="shared" si="231"/>
        <v>24.824108041420558</v>
      </c>
      <c r="K178" s="60">
        <f t="shared" si="231"/>
        <v>29.029923133235727</v>
      </c>
      <c r="L178" s="60">
        <f t="shared" si="231"/>
        <v>15.868615323224255</v>
      </c>
      <c r="M178" s="60">
        <f t="shared" si="231"/>
        <v>9.1576708860759553</v>
      </c>
      <c r="N178" s="60">
        <f t="shared" si="231"/>
        <v>25.829785827604432</v>
      </c>
      <c r="O178" s="60">
        <f t="shared" si="231"/>
        <v>31.119883601848862</v>
      </c>
      <c r="P178" s="60">
        <f t="shared" si="231"/>
        <v>31.47657337820317</v>
      </c>
      <c r="Q178" s="60">
        <f>Q176-Q177</f>
        <v>30.978422520130664</v>
      </c>
      <c r="R178" s="93"/>
      <c r="S178" s="192">
        <f t="shared" ref="S178:BJ178" si="232">S176-S177</f>
        <v>13.35493160547156</v>
      </c>
      <c r="T178" s="192">
        <f t="shared" si="232"/>
        <v>15.682458386683741</v>
      </c>
      <c r="U178" s="192">
        <f t="shared" si="232"/>
        <v>16.614001284521517</v>
      </c>
      <c r="V178" s="192">
        <f t="shared" si="232"/>
        <v>13.88812628689087</v>
      </c>
      <c r="W178" s="192">
        <f t="shared" si="232"/>
        <v>14.593324250681203</v>
      </c>
      <c r="X178" s="192">
        <f t="shared" si="232"/>
        <v>19.218159658744661</v>
      </c>
      <c r="Y178" s="192">
        <f t="shared" si="232"/>
        <v>18.595946801773273</v>
      </c>
      <c r="Z178" s="192">
        <f t="shared" si="232"/>
        <v>23.910056214865712</v>
      </c>
      <c r="AA178" s="192">
        <f t="shared" si="232"/>
        <v>27.20867519651156</v>
      </c>
      <c r="AB178" s="192">
        <f t="shared" si="232"/>
        <v>26.522372995402037</v>
      </c>
      <c r="AC178" s="192">
        <f t="shared" si="232"/>
        <v>25.699272862374599</v>
      </c>
      <c r="AD178" s="192">
        <f t="shared" si="232"/>
        <v>28.689921599818199</v>
      </c>
      <c r="AE178" s="192">
        <f t="shared" si="232"/>
        <v>26.199599581018553</v>
      </c>
      <c r="AF178" s="192">
        <f t="shared" si="232"/>
        <v>24.797809982387697</v>
      </c>
      <c r="AG178" s="192">
        <f t="shared" si="232"/>
        <v>25.779036827195462</v>
      </c>
      <c r="AH178" s="192">
        <f t="shared" si="232"/>
        <v>22.668776869655595</v>
      </c>
      <c r="AI178" s="192">
        <f t="shared" si="232"/>
        <v>23.725328947368418</v>
      </c>
      <c r="AJ178" s="192">
        <f t="shared" si="232"/>
        <v>28.688052247406837</v>
      </c>
      <c r="AK178" s="192">
        <f t="shared" si="232"/>
        <v>31.364517206815897</v>
      </c>
      <c r="AL178" s="192">
        <f t="shared" si="232"/>
        <v>31.067977230606303</v>
      </c>
      <c r="AM178" s="192">
        <f t="shared" si="232"/>
        <v>25.327967053538003</v>
      </c>
      <c r="AN178" s="192">
        <f t="shared" si="232"/>
        <v>14.520814880425142</v>
      </c>
      <c r="AO178" s="192">
        <f t="shared" si="232"/>
        <v>13.910789172703012</v>
      </c>
      <c r="AP178" s="192">
        <f t="shared" si="232"/>
        <v>8.9563106796116472</v>
      </c>
      <c r="AQ178" s="192">
        <f t="shared" si="232"/>
        <v>7.8064232292124913</v>
      </c>
      <c r="AR178" s="192">
        <f t="shared" si="232"/>
        <v>6.9248994188645554</v>
      </c>
      <c r="AS178" s="192">
        <f t="shared" si="232"/>
        <v>7.8981147212194216</v>
      </c>
      <c r="AT178" s="192">
        <f t="shared" si="232"/>
        <v>13.059540389972142</v>
      </c>
      <c r="AU178" s="192">
        <f t="shared" si="232"/>
        <v>17.405540819333915</v>
      </c>
      <c r="AV178" s="192">
        <f>AV176-AV177</f>
        <v>25.972787245739418</v>
      </c>
      <c r="AW178" s="192">
        <f>AW176-AW177</f>
        <v>29.463803680981592</v>
      </c>
      <c r="AX178" s="192">
        <f>AX176-AX177</f>
        <v>29.125310790651412</v>
      </c>
      <c r="AY178" s="192">
        <f t="shared" si="232"/>
        <v>27.58953787997018</v>
      </c>
      <c r="AZ178" s="192">
        <f t="shared" si="232"/>
        <v>29.231903215700264</v>
      </c>
      <c r="BA178" s="192">
        <f t="shared" si="232"/>
        <v>32.947407818519629</v>
      </c>
      <c r="BB178" s="192">
        <f t="shared" si="232"/>
        <v>33.201562635254</v>
      </c>
      <c r="BC178" s="192">
        <f t="shared" si="232"/>
        <v>32.244110928623776</v>
      </c>
      <c r="BD178" s="192">
        <f t="shared" si="232"/>
        <v>31.763933882698737</v>
      </c>
      <c r="BE178" s="192">
        <f t="shared" si="232"/>
        <v>31.209705369817833</v>
      </c>
      <c r="BF178" s="192">
        <f t="shared" si="232"/>
        <v>30.688683152642454</v>
      </c>
      <c r="BG178" s="192">
        <f t="shared" si="232"/>
        <v>30.586432864013503</v>
      </c>
      <c r="BH178" s="192">
        <f t="shared" si="232"/>
        <v>31.173803431688185</v>
      </c>
      <c r="BI178" s="192">
        <f t="shared" si="232"/>
        <v>31.101269352243364</v>
      </c>
      <c r="BJ178" s="192">
        <f t="shared" si="232"/>
        <v>31.049734173553574</v>
      </c>
      <c r="BK178" s="29"/>
      <c r="BL178" s="96"/>
      <c r="BM178" s="23">
        <f t="shared" si="182"/>
        <v>172</v>
      </c>
      <c r="BN178"/>
      <c r="BO178"/>
      <c r="BP178"/>
      <c r="BQ178"/>
      <c r="BR178"/>
      <c r="BS178"/>
    </row>
    <row r="179" spans="1:71" s="88" customFormat="1" ht="12.75" customHeight="1" outlineLevel="1">
      <c r="A179" s="119"/>
      <c r="B179" s="29"/>
      <c r="C179" s="192"/>
      <c r="D179" s="192"/>
      <c r="E179" s="192"/>
      <c r="F179" s="192"/>
      <c r="G179" s="192"/>
      <c r="H179" s="192"/>
      <c r="I179" s="192"/>
      <c r="J179" s="192"/>
      <c r="K179" s="192"/>
      <c r="L179" s="192"/>
      <c r="M179" s="192"/>
      <c r="N179" s="192"/>
      <c r="O179" s="192"/>
      <c r="P179" s="192"/>
      <c r="Q179" s="192"/>
      <c r="R179" s="93"/>
      <c r="S179" s="192"/>
      <c r="T179" s="192"/>
      <c r="U179" s="192"/>
      <c r="V179" s="192"/>
      <c r="W179" s="192"/>
      <c r="X179" s="192"/>
      <c r="Y179" s="192"/>
      <c r="Z179" s="192"/>
      <c r="AA179" s="192"/>
      <c r="AB179" s="192"/>
      <c r="AC179" s="192"/>
      <c r="AD179" s="192"/>
      <c r="AE179" s="192"/>
      <c r="AF179" s="192"/>
      <c r="AG179" s="192"/>
      <c r="AH179" s="192"/>
      <c r="AI179" s="192"/>
      <c r="AJ179" s="192"/>
      <c r="AK179" s="192"/>
      <c r="AL179" s="192"/>
      <c r="AM179" s="192"/>
      <c r="AN179" s="192"/>
      <c r="AO179" s="192"/>
      <c r="AP179" s="192"/>
      <c r="AQ179" s="192"/>
      <c r="AR179" s="192"/>
      <c r="AS179" s="192"/>
      <c r="AT179" s="192"/>
      <c r="AU179" s="192"/>
      <c r="AV179" s="192"/>
      <c r="AW179" s="192"/>
      <c r="AX179" s="192"/>
      <c r="AY179" s="192"/>
      <c r="AZ179" s="192"/>
      <c r="BA179" s="192"/>
      <c r="BB179" s="192"/>
      <c r="BC179" s="192"/>
      <c r="BD179" s="192"/>
      <c r="BE179" s="192"/>
      <c r="BF179" s="192"/>
      <c r="BG179" s="192"/>
      <c r="BH179" s="192"/>
      <c r="BI179" s="192"/>
      <c r="BJ179" s="192"/>
      <c r="BK179" s="29"/>
      <c r="BL179" s="96"/>
      <c r="BM179" s="23">
        <f t="shared" si="182"/>
        <v>173</v>
      </c>
      <c r="BN179"/>
      <c r="BO179"/>
      <c r="BP179"/>
      <c r="BQ179"/>
      <c r="BR179"/>
      <c r="BS179"/>
    </row>
    <row r="180" spans="1:71" ht="12.75" customHeight="1">
      <c r="A180" s="118" t="s">
        <v>29</v>
      </c>
      <c r="B180" s="18" t="s">
        <v>437</v>
      </c>
      <c r="C180" s="4">
        <f t="shared" ref="C180:Q180" si="233">C$7</f>
        <v>2006</v>
      </c>
      <c r="D180" s="4">
        <f t="shared" si="233"/>
        <v>2007</v>
      </c>
      <c r="E180" s="4">
        <f t="shared" si="233"/>
        <v>2008</v>
      </c>
      <c r="F180" s="4">
        <f t="shared" si="233"/>
        <v>2009</v>
      </c>
      <c r="G180" s="4">
        <f t="shared" si="233"/>
        <v>2010</v>
      </c>
      <c r="H180" s="4">
        <f t="shared" si="233"/>
        <v>2011</v>
      </c>
      <c r="I180" s="4">
        <f t="shared" si="233"/>
        <v>2012</v>
      </c>
      <c r="J180" s="4">
        <f t="shared" si="233"/>
        <v>2013</v>
      </c>
      <c r="K180" s="4">
        <f t="shared" si="233"/>
        <v>2014</v>
      </c>
      <c r="L180" s="4">
        <f t="shared" si="233"/>
        <v>2015</v>
      </c>
      <c r="M180" s="4">
        <f t="shared" si="233"/>
        <v>2016</v>
      </c>
      <c r="N180" s="4">
        <f t="shared" si="233"/>
        <v>2017</v>
      </c>
      <c r="O180" s="4" t="str">
        <f t="shared" si="233"/>
        <v>2018E</v>
      </c>
      <c r="P180" s="4" t="str">
        <f t="shared" si="233"/>
        <v>2019E</v>
      </c>
      <c r="Q180" s="4" t="str">
        <f t="shared" si="233"/>
        <v>2020E</v>
      </c>
      <c r="R180" s="313"/>
      <c r="S180" s="4" t="str">
        <f t="shared" ref="S180:BJ180" si="234">S$7</f>
        <v>1Q10</v>
      </c>
      <c r="T180" s="4" t="str">
        <f t="shared" si="234"/>
        <v>2Q10</v>
      </c>
      <c r="U180" s="4" t="str">
        <f t="shared" si="234"/>
        <v>3Q10</v>
      </c>
      <c r="V180" s="4" t="str">
        <f t="shared" si="234"/>
        <v>4Q10</v>
      </c>
      <c r="W180" s="4" t="str">
        <f t="shared" si="234"/>
        <v>1Q11</v>
      </c>
      <c r="X180" s="4" t="str">
        <f t="shared" si="234"/>
        <v>2Q11</v>
      </c>
      <c r="Y180" s="4" t="str">
        <f t="shared" si="234"/>
        <v>3Q11</v>
      </c>
      <c r="Z180" s="68" t="str">
        <f t="shared" si="234"/>
        <v>4Q11</v>
      </c>
      <c r="AA180" s="68" t="str">
        <f t="shared" si="234"/>
        <v>1Q12</v>
      </c>
      <c r="AB180" s="68" t="str">
        <f t="shared" si="234"/>
        <v>2Q12</v>
      </c>
      <c r="AC180" s="68" t="str">
        <f t="shared" si="234"/>
        <v>3Q12</v>
      </c>
      <c r="AD180" s="68" t="str">
        <f t="shared" si="234"/>
        <v>4Q12</v>
      </c>
      <c r="AE180" s="68" t="str">
        <f t="shared" si="234"/>
        <v>1Q13</v>
      </c>
      <c r="AF180" s="68" t="str">
        <f t="shared" si="234"/>
        <v>2Q13</v>
      </c>
      <c r="AG180" s="68" t="str">
        <f t="shared" si="234"/>
        <v>3Q13</v>
      </c>
      <c r="AH180" s="68" t="str">
        <f t="shared" si="234"/>
        <v>4Q13</v>
      </c>
      <c r="AI180" s="68" t="str">
        <f t="shared" si="234"/>
        <v>1Q14</v>
      </c>
      <c r="AJ180" s="68" t="str">
        <f t="shared" si="234"/>
        <v>2Q14</v>
      </c>
      <c r="AK180" s="68" t="str">
        <f t="shared" si="234"/>
        <v>3Q14</v>
      </c>
      <c r="AL180" s="68" t="str">
        <f t="shared" si="234"/>
        <v>4Q14</v>
      </c>
      <c r="AM180" s="68" t="str">
        <f t="shared" si="234"/>
        <v>1Q15</v>
      </c>
      <c r="AN180" s="68" t="str">
        <f t="shared" si="234"/>
        <v>2Q15</v>
      </c>
      <c r="AO180" s="68" t="str">
        <f t="shared" si="234"/>
        <v>3Q15</v>
      </c>
      <c r="AP180" s="68" t="str">
        <f t="shared" si="234"/>
        <v>4Q15</v>
      </c>
      <c r="AQ180" s="68" t="str">
        <f t="shared" si="234"/>
        <v>1Q16</v>
      </c>
      <c r="AR180" s="68" t="str">
        <f t="shared" si="234"/>
        <v>2Q16</v>
      </c>
      <c r="AS180" s="68" t="str">
        <f t="shared" si="234"/>
        <v>3Q16</v>
      </c>
      <c r="AT180" s="68" t="str">
        <f t="shared" si="234"/>
        <v>4Q16</v>
      </c>
      <c r="AU180" s="68" t="str">
        <f t="shared" si="234"/>
        <v>1Q17</v>
      </c>
      <c r="AV180" s="68" t="str">
        <f t="shared" si="234"/>
        <v>2Q17</v>
      </c>
      <c r="AW180" s="68" t="str">
        <f t="shared" si="234"/>
        <v>3Q17</v>
      </c>
      <c r="AX180" s="68" t="str">
        <f t="shared" si="234"/>
        <v>4Q17</v>
      </c>
      <c r="AY180" s="4" t="str">
        <f t="shared" si="234"/>
        <v>1Q18E</v>
      </c>
      <c r="AZ180" s="4" t="str">
        <f t="shared" si="234"/>
        <v>2Q18E</v>
      </c>
      <c r="BA180" s="4" t="str">
        <f t="shared" si="234"/>
        <v>3Q18E</v>
      </c>
      <c r="BB180" s="4" t="str">
        <f t="shared" si="234"/>
        <v>4Q18E</v>
      </c>
      <c r="BC180" s="4" t="str">
        <f t="shared" si="234"/>
        <v>1Q19E</v>
      </c>
      <c r="BD180" s="4" t="str">
        <f t="shared" si="234"/>
        <v>2Q19E</v>
      </c>
      <c r="BE180" s="4" t="str">
        <f t="shared" si="234"/>
        <v>3Q19E</v>
      </c>
      <c r="BF180" s="4" t="str">
        <f t="shared" si="234"/>
        <v>4Q19E</v>
      </c>
      <c r="BG180" s="4" t="str">
        <f t="shared" si="234"/>
        <v>1Q20E</v>
      </c>
      <c r="BH180" s="4" t="str">
        <f t="shared" si="234"/>
        <v>2Q20E</v>
      </c>
      <c r="BI180" s="4" t="str">
        <f t="shared" si="234"/>
        <v>3Q20E</v>
      </c>
      <c r="BJ180" s="4" t="str">
        <f t="shared" si="234"/>
        <v>4Q20E</v>
      </c>
      <c r="BK180" s="1"/>
      <c r="BL180" s="91"/>
      <c r="BM180" s="23">
        <f t="shared" si="182"/>
        <v>174</v>
      </c>
    </row>
    <row r="181" spans="1:71" s="47" customFormat="1" ht="12.75" customHeight="1" outlineLevel="1">
      <c r="A181" s="118"/>
      <c r="B181" s="28" t="s">
        <v>436</v>
      </c>
      <c r="C181" s="253"/>
      <c r="D181" s="198">
        <f t="shared" ref="D181:Q181" si="235">D14/C14-1</f>
        <v>3.7191558673505876E-2</v>
      </c>
      <c r="E181" s="198">
        <f t="shared" si="235"/>
        <v>7.2583755785761372E-2</v>
      </c>
      <c r="F181" s="198">
        <f t="shared" si="235"/>
        <v>-0.17963636052281207</v>
      </c>
      <c r="G181" s="198">
        <f t="shared" si="235"/>
        <v>0.27830688382918534</v>
      </c>
      <c r="H181" s="198">
        <f t="shared" si="235"/>
        <v>0.20674748217004901</v>
      </c>
      <c r="I181" s="198">
        <f t="shared" si="235"/>
        <v>0.49486250875247451</v>
      </c>
      <c r="J181" s="198">
        <f t="shared" si="235"/>
        <v>0.23558192796169042</v>
      </c>
      <c r="K181" s="198">
        <f t="shared" si="235"/>
        <v>0.60582921531061928</v>
      </c>
      <c r="L181" s="198">
        <f t="shared" si="235"/>
        <v>-0.26661465586758226</v>
      </c>
      <c r="M181" s="198">
        <f t="shared" si="235"/>
        <v>-0.12965074052588776</v>
      </c>
      <c r="N181" s="198">
        <f t="shared" si="235"/>
        <v>1.217290149653786</v>
      </c>
      <c r="O181" s="198">
        <f t="shared" si="235"/>
        <v>0.53901064591961489</v>
      </c>
      <c r="P181" s="198">
        <f t="shared" si="235"/>
        <v>0.22125410169832604</v>
      </c>
      <c r="Q181" s="198">
        <f t="shared" si="235"/>
        <v>2.529766400836686E-2</v>
      </c>
      <c r="R181" s="254"/>
      <c r="S181" s="198"/>
      <c r="T181" s="198">
        <f t="shared" ref="T181:BJ181" si="236">T14/S14-1</f>
        <v>0.15953426985590591</v>
      </c>
      <c r="U181" s="198">
        <f t="shared" si="236"/>
        <v>2.9640601855461135E-2</v>
      </c>
      <c r="V181" s="198">
        <f t="shared" si="236"/>
        <v>-9.9415470349506485E-2</v>
      </c>
      <c r="W181" s="198">
        <f t="shared" si="236"/>
        <v>8.3418809167493668E-2</v>
      </c>
      <c r="X181" s="198">
        <f t="shared" si="236"/>
        <v>0.14973925999503357</v>
      </c>
      <c r="Y181" s="198">
        <f t="shared" si="236"/>
        <v>-8.4638228941688043E-3</v>
      </c>
      <c r="Z181" s="198">
        <f t="shared" si="236"/>
        <v>0.1385704600220552</v>
      </c>
      <c r="AA181" s="198">
        <f t="shared" si="236"/>
        <v>0.22670408928625596</v>
      </c>
      <c r="AB181" s="198">
        <f t="shared" si="236"/>
        <v>1.9582614459357828E-2</v>
      </c>
      <c r="AC181" s="198">
        <f t="shared" si="236"/>
        <v>0.10788718929254304</v>
      </c>
      <c r="AD181" s="198">
        <f t="shared" si="236"/>
        <v>2.5154247745610148E-2</v>
      </c>
      <c r="AE181" s="198">
        <f t="shared" si="236"/>
        <v>2.946127946127941E-2</v>
      </c>
      <c r="AF181" s="198">
        <f t="shared" si="236"/>
        <v>6.1324611610793278E-2</v>
      </c>
      <c r="AG181" s="198">
        <f t="shared" si="236"/>
        <v>0.11248073959938365</v>
      </c>
      <c r="AH181" s="198">
        <f t="shared" si="236"/>
        <v>3.513850415512465E-2</v>
      </c>
      <c r="AI181" s="198">
        <f t="shared" si="236"/>
        <v>0.20485837001752816</v>
      </c>
      <c r="AJ181" s="198">
        <f t="shared" si="236"/>
        <v>0.14273577833920981</v>
      </c>
      <c r="AK181" s="198">
        <f t="shared" si="236"/>
        <v>0.17227807445056165</v>
      </c>
      <c r="AL181" s="198">
        <f t="shared" si="236"/>
        <v>3.4540073614749423E-2</v>
      </c>
      <c r="AM181" s="198">
        <f t="shared" si="236"/>
        <v>-0.18282456358252974</v>
      </c>
      <c r="AN181" s="198">
        <f t="shared" si="236"/>
        <v>-0.27675795997215102</v>
      </c>
      <c r="AO181" s="198">
        <f t="shared" si="236"/>
        <v>5.3534990610869748E-2</v>
      </c>
      <c r="AP181" s="198">
        <f t="shared" si="236"/>
        <v>-0.12416349222691236</v>
      </c>
      <c r="AQ181" s="198">
        <f t="shared" si="236"/>
        <v>-9.9932408604678558E-2</v>
      </c>
      <c r="AR181" s="198">
        <f t="shared" si="236"/>
        <v>-4.5024895926863095E-2</v>
      </c>
      <c r="AS181" s="198">
        <f t="shared" si="236"/>
        <v>0.17739371249807667</v>
      </c>
      <c r="AT181" s="198">
        <f t="shared" si="236"/>
        <v>0.32396114644132767</v>
      </c>
      <c r="AU181" s="198">
        <f t="shared" si="236"/>
        <v>0.34228750966425947</v>
      </c>
      <c r="AV181" s="198">
        <f t="shared" si="236"/>
        <v>0.18655457378971163</v>
      </c>
      <c r="AW181" s="198">
        <f t="shared" si="236"/>
        <v>0.18782985901915894</v>
      </c>
      <c r="AX181" s="198">
        <f t="shared" si="236"/>
        <v>4.5049170635000912E-2</v>
      </c>
      <c r="AY181" s="198">
        <f t="shared" si="236"/>
        <v>2.7600866970263427E-2</v>
      </c>
      <c r="AZ181" s="198">
        <f t="shared" si="236"/>
        <v>0.12599160874842208</v>
      </c>
      <c r="BA181" s="198">
        <f t="shared" si="236"/>
        <v>0.314115333564285</v>
      </c>
      <c r="BB181" s="198">
        <f t="shared" si="236"/>
        <v>4.6451195481425067E-2</v>
      </c>
      <c r="BC181" s="198">
        <f t="shared" si="236"/>
        <v>6.6776549073401803E-3</v>
      </c>
      <c r="BD181" s="198">
        <f t="shared" si="236"/>
        <v>7.5839504401999935E-3</v>
      </c>
      <c r="BE181" s="198">
        <f t="shared" si="236"/>
        <v>9.0228677516221989E-3</v>
      </c>
      <c r="BF181" s="198">
        <f t="shared" si="236"/>
        <v>-2.7610058440031837E-3</v>
      </c>
      <c r="BG181" s="198">
        <f t="shared" si="236"/>
        <v>9.3783075400850624E-3</v>
      </c>
      <c r="BH181" s="198">
        <f t="shared" si="236"/>
        <v>1.4101978808912952E-2</v>
      </c>
      <c r="BI181" s="198">
        <f t="shared" si="236"/>
        <v>5.1082953910106532E-3</v>
      </c>
      <c r="BJ181" s="198">
        <f t="shared" si="236"/>
        <v>-6.8271364554010061E-3</v>
      </c>
      <c r="BK181" s="28"/>
      <c r="BL181" s="203"/>
      <c r="BM181" s="23">
        <f t="shared" si="182"/>
        <v>175</v>
      </c>
      <c r="BN181"/>
      <c r="BO181"/>
      <c r="BP181"/>
      <c r="BQ181"/>
      <c r="BR181"/>
      <c r="BS181"/>
    </row>
    <row r="182" spans="1:71" ht="12.75" customHeight="1" outlineLevel="1">
      <c r="A182" s="118"/>
      <c r="B182" s="46" t="s">
        <v>482</v>
      </c>
      <c r="C182" s="170"/>
      <c r="D182" s="11">
        <f t="shared" ref="D182:Q182" si="237">D11/C11-1</f>
        <v>0.6855940130963516</v>
      </c>
      <c r="E182" s="11">
        <f t="shared" si="237"/>
        <v>1.101947943837061</v>
      </c>
      <c r="F182" s="11">
        <f t="shared" si="237"/>
        <v>-5.383498349834992E-2</v>
      </c>
      <c r="G182" s="11">
        <f t="shared" si="237"/>
        <v>0.94095323138743159</v>
      </c>
      <c r="H182" s="11">
        <f t="shared" si="237"/>
        <v>0.53936649606072806</v>
      </c>
      <c r="I182" s="11">
        <f t="shared" si="237"/>
        <v>1.2764831079925005</v>
      </c>
      <c r="J182" s="11">
        <f t="shared" si="237"/>
        <v>0.42569785187981002</v>
      </c>
      <c r="K182" s="11">
        <f t="shared" si="237"/>
        <v>0.90719142703396449</v>
      </c>
      <c r="L182" s="11">
        <f t="shared" si="237"/>
        <v>-0.35054845572370497</v>
      </c>
      <c r="M182" s="11">
        <f t="shared" si="237"/>
        <v>-0.15771646024853825</v>
      </c>
      <c r="N182" s="11">
        <f t="shared" si="237"/>
        <v>1.8144145635084818</v>
      </c>
      <c r="O182" s="11">
        <f t="shared" si="237"/>
        <v>0.51920522881005438</v>
      </c>
      <c r="P182" s="11">
        <f t="shared" si="237"/>
        <v>0.1806454054401625</v>
      </c>
      <c r="Q182" s="11">
        <f t="shared" si="237"/>
        <v>2.4025064310895461E-2</v>
      </c>
      <c r="R182" s="51"/>
      <c r="S182" s="11"/>
      <c r="T182" s="11">
        <f t="shared" ref="T182:BJ182" si="238">T11/S11-1</f>
        <v>0.16831615589379578</v>
      </c>
      <c r="U182" s="11">
        <f t="shared" si="238"/>
        <v>0.13436934042180315</v>
      </c>
      <c r="V182" s="11">
        <f t="shared" si="238"/>
        <v>-5.3870319822836299E-2</v>
      </c>
      <c r="W182" s="11">
        <f t="shared" si="238"/>
        <v>4.7193946981656465E-2</v>
      </c>
      <c r="X182" s="11">
        <f t="shared" si="238"/>
        <v>0.34307100530200629</v>
      </c>
      <c r="Y182" s="11">
        <f t="shared" si="238"/>
        <v>-6.1614676058518447E-2</v>
      </c>
      <c r="Z182" s="11">
        <f t="shared" si="238"/>
        <v>0.55696510764662177</v>
      </c>
      <c r="AA182" s="11">
        <f t="shared" si="238"/>
        <v>0.42542381789160411</v>
      </c>
      <c r="AB182" s="11">
        <f t="shared" si="238"/>
        <v>1.2822895372607279E-2</v>
      </c>
      <c r="AC182" s="11">
        <f t="shared" si="238"/>
        <v>0.18418348623853209</v>
      </c>
      <c r="AD182" s="11">
        <f t="shared" si="238"/>
        <v>9.8577582199634417E-2</v>
      </c>
      <c r="AE182" s="11">
        <f t="shared" si="238"/>
        <v>3.8081805359661436E-2</v>
      </c>
      <c r="AF182" s="11">
        <f t="shared" si="238"/>
        <v>5.5706521739130599E-2</v>
      </c>
      <c r="AG182" s="11">
        <f t="shared" si="238"/>
        <v>0.21235521235521237</v>
      </c>
      <c r="AH182" s="11">
        <f t="shared" si="238"/>
        <v>8.2919320594479817E-2</v>
      </c>
      <c r="AI182" s="11">
        <f t="shared" si="238"/>
        <v>0.2800972444148182</v>
      </c>
      <c r="AJ182" s="11">
        <f t="shared" si="238"/>
        <v>0.14356276419775771</v>
      </c>
      <c r="AK182" s="11">
        <f t="shared" si="238"/>
        <v>0.25099276104760593</v>
      </c>
      <c r="AL182" s="11">
        <f t="shared" si="238"/>
        <v>4.9413313919876689E-2</v>
      </c>
      <c r="AM182" s="11">
        <f t="shared" si="238"/>
        <v>-0.24122258892181825</v>
      </c>
      <c r="AN182" s="11">
        <f t="shared" si="238"/>
        <v>-0.38922240223726567</v>
      </c>
      <c r="AO182" s="11">
        <f t="shared" si="238"/>
        <v>0.1225249023168784</v>
      </c>
      <c r="AP182" s="11">
        <f t="shared" si="238"/>
        <v>-0.12888897604596661</v>
      </c>
      <c r="AQ182" s="11">
        <f t="shared" si="238"/>
        <v>-0.16858017604286268</v>
      </c>
      <c r="AR182" s="11">
        <f t="shared" si="238"/>
        <v>-0.12101807351248894</v>
      </c>
      <c r="AS182" s="11">
        <f t="shared" si="238"/>
        <v>0.33662939346332732</v>
      </c>
      <c r="AT182" s="11">
        <f t="shared" si="238"/>
        <v>0.57840335553455802</v>
      </c>
      <c r="AU182" s="11">
        <f t="shared" si="238"/>
        <v>0.40869635048219766</v>
      </c>
      <c r="AV182" s="11">
        <f t="shared" si="238"/>
        <v>0.21796858399970986</v>
      </c>
      <c r="AW182" s="11">
        <f t="shared" si="238"/>
        <v>0.21849815758792945</v>
      </c>
      <c r="AX182" s="11">
        <f t="shared" si="238"/>
        <v>6.8621254395552445E-2</v>
      </c>
      <c r="AY182" s="11">
        <f t="shared" si="238"/>
        <v>3.1053525913339097E-2</v>
      </c>
      <c r="AZ182" s="11">
        <f t="shared" si="238"/>
        <v>0.13581692142886581</v>
      </c>
      <c r="BA182" s="11">
        <f t="shared" si="238"/>
        <v>0.18178274104224723</v>
      </c>
      <c r="BB182" s="11">
        <f t="shared" si="238"/>
        <v>6.894548820252977E-2</v>
      </c>
      <c r="BC182" s="11">
        <f t="shared" si="238"/>
        <v>7.2671368585206508E-3</v>
      </c>
      <c r="BD182" s="11">
        <f t="shared" si="238"/>
        <v>-6.1401758283208263E-4</v>
      </c>
      <c r="BE182" s="11">
        <f t="shared" si="238"/>
        <v>5.0907000370830069E-3</v>
      </c>
      <c r="BF182" s="11">
        <f t="shared" si="238"/>
        <v>5.0649160686644379E-3</v>
      </c>
      <c r="BG182" s="11">
        <f t="shared" si="238"/>
        <v>1.2028290103894168E-2</v>
      </c>
      <c r="BH182" s="11">
        <f t="shared" si="238"/>
        <v>7.5121724022102487E-3</v>
      </c>
      <c r="BI182" s="11">
        <f t="shared" si="238"/>
        <v>0</v>
      </c>
      <c r="BJ182" s="11">
        <f t="shared" si="238"/>
        <v>0</v>
      </c>
      <c r="BK182" s="1"/>
      <c r="BL182" s="91"/>
      <c r="BM182" s="23">
        <f t="shared" si="182"/>
        <v>176</v>
      </c>
    </row>
    <row r="183" spans="1:71" ht="12.75" customHeight="1" outlineLevel="1">
      <c r="A183" s="118"/>
      <c r="B183" s="46" t="s">
        <v>18</v>
      </c>
      <c r="C183" s="170"/>
      <c r="D183" s="11">
        <f t="shared" ref="D183:Q183" si="239">D12/C12-1</f>
        <v>2.4087074775314132E-3</v>
      </c>
      <c r="E183" s="11">
        <f t="shared" si="239"/>
        <v>-2.0269627597531037E-2</v>
      </c>
      <c r="F183" s="11">
        <f t="shared" si="239"/>
        <v>-0.20398246367036599</v>
      </c>
      <c r="G183" s="11">
        <f t="shared" si="239"/>
        <v>0.12587699872261471</v>
      </c>
      <c r="H183" s="11">
        <f t="shared" si="239"/>
        <v>7.4843013278448334E-2</v>
      </c>
      <c r="I183" s="11">
        <f t="shared" si="239"/>
        <v>5.0941778097076673E-2</v>
      </c>
      <c r="J183" s="11">
        <f t="shared" si="239"/>
        <v>1.6908261326009644E-3</v>
      </c>
      <c r="K183" s="11">
        <f t="shared" si="239"/>
        <v>7.8140509817951065E-2</v>
      </c>
      <c r="L183" s="11">
        <f t="shared" si="239"/>
        <v>-6.6317398152087037E-3</v>
      </c>
      <c r="M183" s="11">
        <f t="shared" si="239"/>
        <v>-7.2815122887575745E-2</v>
      </c>
      <c r="N183" s="11">
        <f t="shared" si="239"/>
        <v>0.1187872637320817</v>
      </c>
      <c r="O183" s="11">
        <f t="shared" si="239"/>
        <v>6.0900000000000176E-2</v>
      </c>
      <c r="P183" s="11">
        <f t="shared" si="239"/>
        <v>5.0599999999999978E-2</v>
      </c>
      <c r="Q183" s="11">
        <f t="shared" si="239"/>
        <v>4.0300000000000002E-2</v>
      </c>
      <c r="R183" s="51"/>
      <c r="S183" s="11"/>
      <c r="T183" s="11">
        <f t="shared" ref="T183:BJ183" si="240">T12/S12-1</f>
        <v>0.15636989670437784</v>
      </c>
      <c r="U183" s="11">
        <f t="shared" si="240"/>
        <v>-8.4861117019013887E-3</v>
      </c>
      <c r="V183" s="11">
        <f t="shared" si="240"/>
        <v>-0.11838520774791406</v>
      </c>
      <c r="W183" s="11">
        <f t="shared" si="240"/>
        <v>9.9610705596107296E-2</v>
      </c>
      <c r="X183" s="11">
        <f t="shared" si="240"/>
        <v>6.7442580873567248E-2</v>
      </c>
      <c r="Y183" s="11">
        <f t="shared" si="240"/>
        <v>2.0003316612080324E-2</v>
      </c>
      <c r="Z183" s="11">
        <f t="shared" si="240"/>
        <v>-6.7587131912126064E-2</v>
      </c>
      <c r="AA183" s="11">
        <f t="shared" si="240"/>
        <v>6.3201430475723797E-2</v>
      </c>
      <c r="AB183" s="11">
        <f t="shared" si="240"/>
        <v>2.7039216088231122E-2</v>
      </c>
      <c r="AC183" s="11">
        <f t="shared" si="240"/>
        <v>2.4890219560878224E-2</v>
      </c>
      <c r="AD183" s="11">
        <f t="shared" si="240"/>
        <v>-6.7131477983134458E-2</v>
      </c>
      <c r="AE183" s="11">
        <f t="shared" si="240"/>
        <v>1.6701461377870652E-2</v>
      </c>
      <c r="AF183" s="11">
        <f t="shared" si="240"/>
        <v>6.9815195071868619E-2</v>
      </c>
      <c r="AG183" s="11">
        <f t="shared" si="240"/>
        <v>-3.6468330134357019E-2</v>
      </c>
      <c r="AH183" s="11">
        <f t="shared" si="240"/>
        <v>-5.4521912350597668E-2</v>
      </c>
      <c r="AI183" s="11">
        <f t="shared" si="240"/>
        <v>4.3149400585719366E-2</v>
      </c>
      <c r="AJ183" s="11">
        <f t="shared" si="240"/>
        <v>0.1405546242249196</v>
      </c>
      <c r="AK183" s="11">
        <f t="shared" si="240"/>
        <v>-3.5877457056844309E-2</v>
      </c>
      <c r="AL183" s="11">
        <f t="shared" si="240"/>
        <v>-1.6494012196017982E-2</v>
      </c>
      <c r="AM183" s="11">
        <f t="shared" si="240"/>
        <v>3.098270645799861E-2</v>
      </c>
      <c r="AN183" s="11">
        <f t="shared" si="240"/>
        <v>2.6283851100443734E-2</v>
      </c>
      <c r="AO183" s="11">
        <f t="shared" si="240"/>
        <v>-5.7098983338040088E-2</v>
      </c>
      <c r="AP183" s="11">
        <f t="shared" si="240"/>
        <v>-0.11514198536156184</v>
      </c>
      <c r="AQ183" s="11">
        <f t="shared" si="240"/>
        <v>2.9088216627882302E-2</v>
      </c>
      <c r="AR183" s="11">
        <f t="shared" si="240"/>
        <v>7.0366944187480573E-2</v>
      </c>
      <c r="AS183" s="11">
        <f t="shared" si="240"/>
        <v>-2.1164630867327228E-2</v>
      </c>
      <c r="AT183" s="11">
        <f t="shared" si="240"/>
        <v>-0.10928854530471299</v>
      </c>
      <c r="AU183" s="11">
        <f t="shared" si="240"/>
        <v>0.14190677592739442</v>
      </c>
      <c r="AV183" s="11">
        <f t="shared" si="240"/>
        <v>6.9620741540954434E-2</v>
      </c>
      <c r="AW183" s="11">
        <f t="shared" si="240"/>
        <v>5.7839017440078022E-2</v>
      </c>
      <c r="AX183" s="11">
        <f t="shared" si="240"/>
        <v>-7.0037849081051706E-2</v>
      </c>
      <c r="AY183" s="11">
        <f t="shared" si="240"/>
        <v>8.2303780295531759E-3</v>
      </c>
      <c r="AZ183" s="11">
        <f t="shared" si="240"/>
        <v>6.9620741540954434E-2</v>
      </c>
      <c r="BA183" s="11">
        <f t="shared" si="240"/>
        <v>5.7839017440078022E-2</v>
      </c>
      <c r="BB183" s="11">
        <f t="shared" si="240"/>
        <v>-7.0037849081051706E-2</v>
      </c>
      <c r="BC183" s="11">
        <f t="shared" si="240"/>
        <v>-1.5582664173358074E-3</v>
      </c>
      <c r="BD183" s="11">
        <f t="shared" si="240"/>
        <v>6.9620741540954434E-2</v>
      </c>
      <c r="BE183" s="11">
        <f t="shared" si="240"/>
        <v>5.78390174400778E-2</v>
      </c>
      <c r="BF183" s="11">
        <f t="shared" si="240"/>
        <v>-7.0037849081051595E-2</v>
      </c>
      <c r="BG183" s="11">
        <f t="shared" si="240"/>
        <v>-1.134691086422468E-2</v>
      </c>
      <c r="BH183" s="11">
        <f t="shared" si="240"/>
        <v>6.9620741540954656E-2</v>
      </c>
      <c r="BI183" s="11">
        <f t="shared" si="240"/>
        <v>5.7839017440078244E-2</v>
      </c>
      <c r="BJ183" s="11">
        <f t="shared" si="240"/>
        <v>-7.0037849081051706E-2</v>
      </c>
      <c r="BK183" s="1"/>
      <c r="BL183" s="91"/>
      <c r="BM183" s="23">
        <f t="shared" si="182"/>
        <v>177</v>
      </c>
    </row>
    <row r="184" spans="1:71" ht="12.75" customHeight="1" outlineLevel="1">
      <c r="A184" s="118"/>
      <c r="B184" s="46" t="s">
        <v>477</v>
      </c>
      <c r="C184" s="170"/>
      <c r="D184" s="170"/>
      <c r="E184" s="170"/>
      <c r="F184" s="170"/>
      <c r="G184" s="170"/>
      <c r="H184" s="170"/>
      <c r="I184" s="170"/>
      <c r="J184" s="170"/>
      <c r="K184" s="170"/>
      <c r="L184" s="170"/>
      <c r="M184" s="170"/>
      <c r="N184" s="170"/>
      <c r="O184" s="170"/>
      <c r="P184" s="11">
        <f t="shared" ref="P184:Q184" si="241">IFERROR(P13/O13-1,"NM")</f>
        <v>1.0400999999999998</v>
      </c>
      <c r="Q184" s="11">
        <f t="shared" si="241"/>
        <v>2.000000000000024E-2</v>
      </c>
      <c r="R184" s="51"/>
      <c r="S184" s="11"/>
      <c r="T184" s="170"/>
      <c r="U184" s="170"/>
      <c r="V184" s="170"/>
      <c r="W184" s="170"/>
      <c r="X184" s="170"/>
      <c r="Y184" s="170"/>
      <c r="Z184" s="170"/>
      <c r="AA184" s="170"/>
      <c r="AB184" s="170"/>
      <c r="AC184" s="170"/>
      <c r="AD184" s="170"/>
      <c r="AE184" s="170"/>
      <c r="AF184" s="170"/>
      <c r="AG184" s="170"/>
      <c r="AH184" s="170"/>
      <c r="AI184" s="170"/>
      <c r="AJ184" s="170"/>
      <c r="AK184" s="170"/>
      <c r="AL184" s="170"/>
      <c r="AM184" s="170"/>
      <c r="AN184" s="170"/>
      <c r="AO184" s="170"/>
      <c r="AP184" s="170"/>
      <c r="AQ184" s="170"/>
      <c r="AR184" s="170"/>
      <c r="AS184" s="170"/>
      <c r="AT184" s="170"/>
      <c r="AU184" s="170"/>
      <c r="AV184" s="170"/>
      <c r="AW184" s="170"/>
      <c r="AX184" s="170"/>
      <c r="AY184" s="170"/>
      <c r="AZ184" s="170"/>
      <c r="BA184" s="170"/>
      <c r="BB184" s="11">
        <f t="shared" ref="BB184" si="242">BB13/BA13-1</f>
        <v>1.0000000000000009E-2</v>
      </c>
      <c r="BC184" s="11">
        <f t="shared" ref="BC184" si="243">BC13/BB13-1</f>
        <v>1.0000000000000009E-2</v>
      </c>
      <c r="BD184" s="11">
        <f t="shared" ref="BD184" si="244">BD13/BC13-1</f>
        <v>1.0000000000000009E-2</v>
      </c>
      <c r="BE184" s="11">
        <f t="shared" ref="BE184" si="245">BE13/BD13-1</f>
        <v>-9.9980491138026428E-3</v>
      </c>
      <c r="BF184" s="11">
        <f t="shared" ref="BF184" si="246">BF13/BE13-1</f>
        <v>1.0000000000000009E-2</v>
      </c>
      <c r="BG184" s="11">
        <f t="shared" ref="BG184" si="247">BG13/BF13-1</f>
        <v>1.0000000000000009E-2</v>
      </c>
      <c r="BH184" s="11">
        <f t="shared" ref="BH184" si="248">BH13/BG13-1</f>
        <v>1.0000000000000009E-2</v>
      </c>
      <c r="BI184" s="11">
        <f t="shared" ref="BI184" si="249">BI13/BH13-1</f>
        <v>-9.9980491138024208E-3</v>
      </c>
      <c r="BJ184" s="11">
        <f t="shared" ref="BJ184" si="250">BJ13/BI13-1</f>
        <v>1.0000000000000009E-2</v>
      </c>
      <c r="BK184" s="1"/>
      <c r="BL184" s="91"/>
      <c r="BM184" s="23">
        <f t="shared" si="182"/>
        <v>178</v>
      </c>
    </row>
    <row r="185" spans="1:71" s="47" customFormat="1" ht="12.75" customHeight="1" outlineLevel="1">
      <c r="A185" s="118"/>
      <c r="B185" s="28" t="s">
        <v>435</v>
      </c>
      <c r="C185" s="255"/>
      <c r="D185" s="255"/>
      <c r="E185" s="198">
        <f t="shared" ref="E185:Q185" si="251">E20/E14</f>
        <v>0.27932255343924861</v>
      </c>
      <c r="F185" s="198">
        <f t="shared" si="251"/>
        <v>0.31798896792138731</v>
      </c>
      <c r="G185" s="198">
        <f t="shared" si="251"/>
        <v>0.36394328707956225</v>
      </c>
      <c r="H185" s="198">
        <f t="shared" si="251"/>
        <v>0.4079988574692327</v>
      </c>
      <c r="I185" s="198">
        <f t="shared" si="251"/>
        <v>0.43822701391340552</v>
      </c>
      <c r="J185" s="198">
        <f t="shared" si="251"/>
        <v>0.37141512233183271</v>
      </c>
      <c r="K185" s="198">
        <f t="shared" si="251"/>
        <v>0.36183890111218708</v>
      </c>
      <c r="L185" s="198">
        <f t="shared" si="251"/>
        <v>0.24738681377130869</v>
      </c>
      <c r="M185" s="198">
        <f t="shared" si="251"/>
        <v>0.16159392450301543</v>
      </c>
      <c r="N185" s="198">
        <f t="shared" si="251"/>
        <v>0.3149072692853534</v>
      </c>
      <c r="O185" s="198">
        <f t="shared" si="251"/>
        <v>0.33877401810466756</v>
      </c>
      <c r="P185" s="198">
        <f t="shared" si="251"/>
        <v>0.33131347023768204</v>
      </c>
      <c r="Q185" s="198">
        <f t="shared" si="251"/>
        <v>0.31948152924902584</v>
      </c>
      <c r="R185" s="254"/>
      <c r="S185" s="198">
        <f t="shared" ref="S185:BJ185" si="252">S20/S14</f>
        <v>0.33537632658964761</v>
      </c>
      <c r="T185" s="198">
        <f t="shared" si="252"/>
        <v>0.38194433616590007</v>
      </c>
      <c r="U185" s="198">
        <f t="shared" si="252"/>
        <v>0.39172572536192385</v>
      </c>
      <c r="V185" s="198">
        <f t="shared" si="252"/>
        <v>0.34024986968438403</v>
      </c>
      <c r="W185" s="198">
        <f t="shared" si="252"/>
        <v>0.33249006704742984</v>
      </c>
      <c r="X185" s="198">
        <f t="shared" si="252"/>
        <v>0.42571544276457873</v>
      </c>
      <c r="Y185" s="198">
        <f t="shared" si="252"/>
        <v>0.39975222250963205</v>
      </c>
      <c r="Z185" s="198">
        <f t="shared" si="252"/>
        <v>0.45772272945850884</v>
      </c>
      <c r="AA185" s="198">
        <f t="shared" si="252"/>
        <v>0.46224327670068516</v>
      </c>
      <c r="AB185" s="198">
        <f t="shared" si="252"/>
        <v>0.45219885277246652</v>
      </c>
      <c r="AC185" s="198">
        <f t="shared" si="252"/>
        <v>0.4178280191569228</v>
      </c>
      <c r="AD185" s="198">
        <f t="shared" si="252"/>
        <v>0.42508417508417506</v>
      </c>
      <c r="AE185" s="198">
        <f t="shared" si="252"/>
        <v>0.40392477514309083</v>
      </c>
      <c r="AF185" s="198">
        <f t="shared" si="252"/>
        <v>0.39137134052388284</v>
      </c>
      <c r="AG185" s="198">
        <f t="shared" si="252"/>
        <v>0.37811634349030471</v>
      </c>
      <c r="AH185" s="198">
        <f t="shared" si="252"/>
        <v>0.32101234997390848</v>
      </c>
      <c r="AI185" s="198">
        <f t="shared" si="252"/>
        <v>0.30436713956522943</v>
      </c>
      <c r="AJ185" s="198">
        <f t="shared" si="252"/>
        <v>0.36285052064858775</v>
      </c>
      <c r="AK185" s="198">
        <f t="shared" si="252"/>
        <v>0.38910534867526603</v>
      </c>
      <c r="AL185" s="198">
        <f t="shared" si="252"/>
        <v>0.37611833854857385</v>
      </c>
      <c r="AM185" s="198">
        <f t="shared" si="252"/>
        <v>0.33169083830984813</v>
      </c>
      <c r="AN185" s="198">
        <f t="shared" si="252"/>
        <v>0.22227494898685521</v>
      </c>
      <c r="AO185" s="198">
        <f t="shared" si="252"/>
        <v>0.23478842788016063</v>
      </c>
      <c r="AP185" s="198">
        <f t="shared" si="252"/>
        <v>0.16266016221934879</v>
      </c>
      <c r="AQ185" s="198">
        <f t="shared" si="252"/>
        <v>0.14483715615051834</v>
      </c>
      <c r="AR185" s="198">
        <f t="shared" si="252"/>
        <v>0.13240849958117509</v>
      </c>
      <c r="AS185" s="198">
        <f t="shared" si="252"/>
        <v>0.14294218427853764</v>
      </c>
      <c r="AT185" s="198">
        <f t="shared" si="252"/>
        <v>0.20566092568527145</v>
      </c>
      <c r="AU185" s="198">
        <f t="shared" si="252"/>
        <v>0.2412488715139483</v>
      </c>
      <c r="AV185" s="198">
        <f t="shared" si="252"/>
        <v>0.32530253214673016</v>
      </c>
      <c r="AW185" s="198">
        <f t="shared" si="252"/>
        <v>0.34799129333406753</v>
      </c>
      <c r="AX185" s="198">
        <f t="shared" si="252"/>
        <v>0.32488365514219314</v>
      </c>
      <c r="AY185" s="198">
        <f t="shared" si="252"/>
        <v>0.30059077825874375</v>
      </c>
      <c r="AZ185" s="198">
        <f t="shared" si="252"/>
        <v>0.3377075890757345</v>
      </c>
      <c r="BA185" s="198">
        <f t="shared" si="252"/>
        <v>0.35191078968744388</v>
      </c>
      <c r="BB185" s="198">
        <f t="shared" si="252"/>
        <v>0.35165542473278782</v>
      </c>
      <c r="BC185" s="198">
        <f t="shared" si="252"/>
        <v>0.34130953444308293</v>
      </c>
      <c r="BD185" s="198">
        <f t="shared" si="252"/>
        <v>0.33554910549837808</v>
      </c>
      <c r="BE185" s="198">
        <f t="shared" si="252"/>
        <v>0.32871975304855255</v>
      </c>
      <c r="BF185" s="198">
        <f t="shared" si="252"/>
        <v>0.31984565396766973</v>
      </c>
      <c r="BG185" s="198">
        <f t="shared" si="252"/>
        <v>0.31778523863959174</v>
      </c>
      <c r="BH185" s="198">
        <f t="shared" si="252"/>
        <v>0.32120256512438866</v>
      </c>
      <c r="BI185" s="198">
        <f t="shared" si="252"/>
        <v>0.32080096724838447</v>
      </c>
      <c r="BJ185" s="198">
        <f t="shared" si="252"/>
        <v>0.31810460275557928</v>
      </c>
      <c r="BK185" s="28"/>
      <c r="BL185" s="203"/>
      <c r="BM185" s="23">
        <f t="shared" si="182"/>
        <v>179</v>
      </c>
      <c r="BN185"/>
      <c r="BO185"/>
      <c r="BP185"/>
      <c r="BQ185"/>
      <c r="BR185"/>
      <c r="BS185"/>
    </row>
    <row r="186" spans="1:71" ht="12.75" customHeight="1" outlineLevel="1">
      <c r="A186" s="118"/>
      <c r="B186" s="46" t="s">
        <v>482</v>
      </c>
      <c r="C186" s="170"/>
      <c r="D186" s="170"/>
      <c r="E186" s="11">
        <f t="shared" ref="E186:Q186" si="253">E17/E11</f>
        <v>0.62196699669967004</v>
      </c>
      <c r="F186" s="11">
        <f t="shared" si="253"/>
        <v>0.65618372586226148</v>
      </c>
      <c r="G186" s="11">
        <f t="shared" si="253"/>
        <v>0.61990338719880389</v>
      </c>
      <c r="H186" s="11">
        <f t="shared" si="253"/>
        <v>0.63125643397776843</v>
      </c>
      <c r="I186" s="11">
        <f t="shared" si="253"/>
        <v>0.57477804946091859</v>
      </c>
      <c r="J186" s="11">
        <f t="shared" si="253"/>
        <v>0.41998670545680578</v>
      </c>
      <c r="K186" s="11">
        <f t="shared" si="253"/>
        <v>0.38646438432638774</v>
      </c>
      <c r="L186" s="11">
        <f t="shared" si="253"/>
        <v>0.20660166296113019</v>
      </c>
      <c r="M186" s="11">
        <f t="shared" si="253"/>
        <v>3.1568059577989249E-2</v>
      </c>
      <c r="N186" s="11">
        <f t="shared" si="253"/>
        <v>0.29594576847915349</v>
      </c>
      <c r="O186" s="11">
        <f t="shared" si="253"/>
        <v>0.3243813932965916</v>
      </c>
      <c r="P186" s="11">
        <f t="shared" si="253"/>
        <v>0.31105273165582248</v>
      </c>
      <c r="Q186" s="11">
        <f t="shared" si="253"/>
        <v>0.29500165942602002</v>
      </c>
      <c r="R186" s="51"/>
      <c r="S186" s="11">
        <f t="shared" ref="S186:BJ186" si="254">S17/S11</f>
        <v>0.62248310695515685</v>
      </c>
      <c r="T186" s="11">
        <f t="shared" si="254"/>
        <v>0.59695040018694856</v>
      </c>
      <c r="U186" s="11">
        <f t="shared" si="254"/>
        <v>0.64675284544471323</v>
      </c>
      <c r="V186" s="11">
        <f t="shared" si="254"/>
        <v>0.61085406346959914</v>
      </c>
      <c r="W186" s="11">
        <f t="shared" si="254"/>
        <v>0.5972554319575839</v>
      </c>
      <c r="X186" s="11">
        <f t="shared" si="254"/>
        <v>0.64652836906881328</v>
      </c>
      <c r="Y186" s="11">
        <f t="shared" si="254"/>
        <v>0.64476614699331836</v>
      </c>
      <c r="Z186" s="11">
        <f t="shared" si="254"/>
        <v>0.62945401896934228</v>
      </c>
      <c r="AA186" s="11">
        <f t="shared" si="254"/>
        <v>0.6516446757108344</v>
      </c>
      <c r="AB186" s="11">
        <f t="shared" si="254"/>
        <v>0.61100917431192658</v>
      </c>
      <c r="AC186" s="11">
        <f t="shared" si="254"/>
        <v>0.53047816790108149</v>
      </c>
      <c r="AD186" s="11">
        <f t="shared" si="254"/>
        <v>0.52891396332863183</v>
      </c>
      <c r="AE186" s="11">
        <f t="shared" si="254"/>
        <v>0.4918478260869566</v>
      </c>
      <c r="AF186" s="11">
        <f t="shared" si="254"/>
        <v>0.45688545688545684</v>
      </c>
      <c r="AG186" s="11">
        <f t="shared" si="254"/>
        <v>0.42569002123142252</v>
      </c>
      <c r="AH186" s="11">
        <f t="shared" si="254"/>
        <v>0.33476781915675763</v>
      </c>
      <c r="AI186" s="11">
        <f t="shared" si="254"/>
        <v>0.31878331189119646</v>
      </c>
      <c r="AJ186" s="11">
        <f t="shared" si="254"/>
        <v>0.38210418466359969</v>
      </c>
      <c r="AK186" s="11">
        <f t="shared" si="254"/>
        <v>0.41233967839325097</v>
      </c>
      <c r="AL186" s="11">
        <f t="shared" si="254"/>
        <v>0.41021102513224139</v>
      </c>
      <c r="AM186" s="11">
        <f t="shared" si="254"/>
        <v>0.35088367965688089</v>
      </c>
      <c r="AN186" s="11">
        <f t="shared" si="254"/>
        <v>0.14591381872213965</v>
      </c>
      <c r="AO186" s="11">
        <f t="shared" si="254"/>
        <v>0.16199123417690492</v>
      </c>
      <c r="AP186" s="11">
        <f t="shared" si="254"/>
        <v>7.8296301298935195E-2</v>
      </c>
      <c r="AQ186" s="11">
        <f t="shared" si="254"/>
        <v>1.1521018073512489E-2</v>
      </c>
      <c r="AR186" s="11">
        <f t="shared" si="254"/>
        <v>-9.2335890090256598E-2</v>
      </c>
      <c r="AS186" s="11">
        <f t="shared" si="254"/>
        <v>-2.1859371759120557E-2</v>
      </c>
      <c r="AT186" s="11">
        <f t="shared" si="254"/>
        <v>0.13495696357782694</v>
      </c>
      <c r="AU186" s="11">
        <f t="shared" si="254"/>
        <v>0.20129146606273871</v>
      </c>
      <c r="AV186" s="11">
        <f t="shared" si="254"/>
        <v>0.30304912815188623</v>
      </c>
      <c r="AW186" s="11">
        <f t="shared" si="254"/>
        <v>0.33553562012648014</v>
      </c>
      <c r="AX186" s="11">
        <f t="shared" si="254"/>
        <v>0.31312659303313506</v>
      </c>
      <c r="AY186" s="11">
        <f t="shared" si="254"/>
        <v>0.28191288749156168</v>
      </c>
      <c r="AZ186" s="11">
        <f t="shared" si="254"/>
        <v>0.32148691865803514</v>
      </c>
      <c r="BA186" s="11">
        <f t="shared" si="254"/>
        <v>0.3398280612859278</v>
      </c>
      <c r="BB186" s="11">
        <f t="shared" si="254"/>
        <v>0.34182049509302598</v>
      </c>
      <c r="BC186" s="11">
        <f t="shared" si="254"/>
        <v>0.32601044268474805</v>
      </c>
      <c r="BD186" s="11">
        <f t="shared" si="254"/>
        <v>0.314076443882712</v>
      </c>
      <c r="BE186" s="11">
        <f t="shared" si="254"/>
        <v>0.30608903336513454</v>
      </c>
      <c r="BF186" s="11">
        <f t="shared" si="254"/>
        <v>0.29818212623242452</v>
      </c>
      <c r="BG186" s="11">
        <f t="shared" si="254"/>
        <v>0.29525520459401539</v>
      </c>
      <c r="BH186" s="11">
        <f t="shared" si="254"/>
        <v>0.29491777452783863</v>
      </c>
      <c r="BI186" s="11">
        <f t="shared" si="254"/>
        <v>0.29491777452783863</v>
      </c>
      <c r="BJ186" s="11">
        <f t="shared" si="254"/>
        <v>0.29491777452783863</v>
      </c>
      <c r="BK186" s="1"/>
      <c r="BL186" s="91"/>
      <c r="BM186" s="23">
        <f t="shared" si="182"/>
        <v>180</v>
      </c>
    </row>
    <row r="187" spans="1:71" ht="12.75" customHeight="1" outlineLevel="1">
      <c r="A187" s="118"/>
      <c r="B187" s="46" t="s">
        <v>18</v>
      </c>
      <c r="C187" s="170"/>
      <c r="D187" s="170"/>
      <c r="E187" s="11">
        <f t="shared" ref="E187:Q188" si="255">E18/E12</f>
        <v>0.21301122079833218</v>
      </c>
      <c r="F187" s="11">
        <f t="shared" si="255"/>
        <v>0.24019334090777789</v>
      </c>
      <c r="G187" s="11">
        <f t="shared" si="255"/>
        <v>0.26243892426894416</v>
      </c>
      <c r="H187" s="11">
        <f t="shared" si="255"/>
        <v>0.2811999136026222</v>
      </c>
      <c r="I187" s="11">
        <f t="shared" si="255"/>
        <v>0.27023439392715815</v>
      </c>
      <c r="J187" s="11">
        <f t="shared" si="255"/>
        <v>0.28636572056252296</v>
      </c>
      <c r="K187" s="11">
        <f t="shared" si="255"/>
        <v>0.28556206214860896</v>
      </c>
      <c r="L187" s="11">
        <f t="shared" si="255"/>
        <v>0.32998042831871727</v>
      </c>
      <c r="M187" s="11">
        <f t="shared" si="255"/>
        <v>0.40079665102118489</v>
      </c>
      <c r="N187" s="11">
        <f t="shared" si="255"/>
        <v>0.4026577771730504</v>
      </c>
      <c r="O187" s="11">
        <f t="shared" si="255"/>
        <v>0.42005609434276725</v>
      </c>
      <c r="P187" s="11">
        <f t="shared" si="255"/>
        <v>0.4314275434733012</v>
      </c>
      <c r="Q187" s="11">
        <f t="shared" si="255"/>
        <v>0.43705697373594182</v>
      </c>
      <c r="R187" s="51"/>
      <c r="S187" s="11">
        <f t="shared" ref="S187:BJ188" si="256">S18/S12</f>
        <v>0.2319232661091982</v>
      </c>
      <c r="T187" s="11">
        <f t="shared" si="256"/>
        <v>0.30367093453570976</v>
      </c>
      <c r="U187" s="11">
        <f t="shared" si="256"/>
        <v>0.2855059096076708</v>
      </c>
      <c r="V187" s="11">
        <f t="shared" si="256"/>
        <v>0.21929440389294402</v>
      </c>
      <c r="W187" s="11">
        <f t="shared" si="256"/>
        <v>0.21978581227596583</v>
      </c>
      <c r="X187" s="11">
        <f t="shared" si="256"/>
        <v>0.30744993988640601</v>
      </c>
      <c r="Y187" s="11">
        <f t="shared" si="256"/>
        <v>0.27902534192289724</v>
      </c>
      <c r="Z187" s="11">
        <f t="shared" si="256"/>
        <v>0.31642562406770175</v>
      </c>
      <c r="AA187" s="11">
        <f t="shared" si="256"/>
        <v>0.25331584018367809</v>
      </c>
      <c r="AB187" s="11">
        <f t="shared" si="256"/>
        <v>0.27944111776447106</v>
      </c>
      <c r="AC187" s="11">
        <f t="shared" si="256"/>
        <v>0.27623814439012989</v>
      </c>
      <c r="AD187" s="11">
        <f t="shared" si="256"/>
        <v>0.27139874739039666</v>
      </c>
      <c r="AE187" s="11">
        <f t="shared" si="256"/>
        <v>0.27104722792607799</v>
      </c>
      <c r="AF187" s="11">
        <f t="shared" si="256"/>
        <v>0.29366602687140114</v>
      </c>
      <c r="AG187" s="11">
        <f t="shared" si="256"/>
        <v>0.28884462151394419</v>
      </c>
      <c r="AH187" s="11">
        <f t="shared" si="256"/>
        <v>0.29144807534289868</v>
      </c>
      <c r="AI187" s="11">
        <f t="shared" si="256"/>
        <v>0.26634485265900504</v>
      </c>
      <c r="AJ187" s="11">
        <f t="shared" si="256"/>
        <v>0.3119355409952187</v>
      </c>
      <c r="AK187" s="11">
        <f t="shared" si="256"/>
        <v>0.30938211740504007</v>
      </c>
      <c r="AL187" s="11">
        <f t="shared" si="256"/>
        <v>0.25129794942666117</v>
      </c>
      <c r="AM187" s="11">
        <f t="shared" si="256"/>
        <v>0.27997463997826283</v>
      </c>
      <c r="AN187" s="11">
        <f t="shared" si="256"/>
        <v>0.34472959615927701</v>
      </c>
      <c r="AO187" s="11">
        <f t="shared" si="256"/>
        <v>0.37376687070627657</v>
      </c>
      <c r="AP187" s="11">
        <f t="shared" si="256"/>
        <v>0.32121853183837523</v>
      </c>
      <c r="AQ187" s="11">
        <f t="shared" si="256"/>
        <v>0.34727104532839964</v>
      </c>
      <c r="AR187" s="11">
        <f t="shared" si="256"/>
        <v>0.41265268495044943</v>
      </c>
      <c r="AS187" s="11">
        <f t="shared" si="256"/>
        <v>0.42355688105796019</v>
      </c>
      <c r="AT187" s="11">
        <f t="shared" si="256"/>
        <v>0.41900167415631334</v>
      </c>
      <c r="AU187" s="11">
        <f t="shared" si="256"/>
        <v>0.38998418148848335</v>
      </c>
      <c r="AV187" s="11">
        <f t="shared" si="256"/>
        <v>0.41962594910455026</v>
      </c>
      <c r="AW187" s="11">
        <f t="shared" si="256"/>
        <v>0.40880417362839705</v>
      </c>
      <c r="AX187" s="11">
        <f t="shared" si="256"/>
        <v>0.39084442488908444</v>
      </c>
      <c r="AY187" s="11">
        <f t="shared" si="256"/>
        <v>0.4077516325130906</v>
      </c>
      <c r="AZ187" s="11">
        <f t="shared" si="256"/>
        <v>0.43653004767432046</v>
      </c>
      <c r="BA187" s="11">
        <f t="shared" si="256"/>
        <v>0.42602346954213299</v>
      </c>
      <c r="BB187" s="11">
        <f t="shared" si="256"/>
        <v>0.40858682028066451</v>
      </c>
      <c r="BC187" s="11">
        <f t="shared" si="256"/>
        <v>0.41936434560106928</v>
      </c>
      <c r="BD187" s="11">
        <f t="shared" si="256"/>
        <v>0.44757847811207879</v>
      </c>
      <c r="BE187" s="11">
        <f t="shared" si="256"/>
        <v>0.43727791131581678</v>
      </c>
      <c r="BF187" s="11">
        <f t="shared" si="256"/>
        <v>0.42018315713790627</v>
      </c>
      <c r="BG187" s="11">
        <f t="shared" si="256"/>
        <v>0.42511321346640524</v>
      </c>
      <c r="BH187" s="11">
        <f t="shared" si="256"/>
        <v>0.45304799813077107</v>
      </c>
      <c r="BI187" s="11">
        <f t="shared" si="256"/>
        <v>0.44284941714437298</v>
      </c>
      <c r="BJ187" s="11">
        <f t="shared" si="256"/>
        <v>0.42592391795832307</v>
      </c>
      <c r="BK187" s="1"/>
      <c r="BL187" s="91"/>
      <c r="BM187" s="23">
        <f t="shared" si="182"/>
        <v>181</v>
      </c>
    </row>
    <row r="188" spans="1:71" ht="12.75" customHeight="1" outlineLevel="1">
      <c r="A188" s="118"/>
      <c r="B188" s="46" t="s">
        <v>477</v>
      </c>
      <c r="C188" s="170"/>
      <c r="D188" s="170"/>
      <c r="E188" s="170"/>
      <c r="F188" s="170"/>
      <c r="G188" s="170"/>
      <c r="H188" s="170"/>
      <c r="I188" s="170"/>
      <c r="J188" s="170"/>
      <c r="K188" s="170"/>
      <c r="L188" s="170"/>
      <c r="M188" s="170"/>
      <c r="N188" s="170"/>
      <c r="O188" s="11">
        <f t="shared" si="255"/>
        <v>0.36502487562189057</v>
      </c>
      <c r="P188" s="11">
        <f t="shared" si="255"/>
        <v>0.38000000000000006</v>
      </c>
      <c r="Q188" s="11">
        <f t="shared" si="255"/>
        <v>0.37999999999999995</v>
      </c>
      <c r="R188" s="51"/>
      <c r="S188" s="170"/>
      <c r="T188" s="170"/>
      <c r="U188" s="170"/>
      <c r="V188" s="170"/>
      <c r="W188" s="170"/>
      <c r="X188" s="170"/>
      <c r="Y188" s="170"/>
      <c r="Z188" s="170"/>
      <c r="AA188" s="170"/>
      <c r="AB188" s="170"/>
      <c r="AC188" s="170"/>
      <c r="AD188" s="170"/>
      <c r="AE188" s="170"/>
      <c r="AF188" s="170"/>
      <c r="AG188" s="170"/>
      <c r="AH188" s="170"/>
      <c r="AI188" s="170"/>
      <c r="AJ188" s="170"/>
      <c r="AK188" s="170"/>
      <c r="AL188" s="170"/>
      <c r="AM188" s="170"/>
      <c r="AN188" s="170"/>
      <c r="AO188" s="170"/>
      <c r="AP188" s="170"/>
      <c r="AQ188" s="170"/>
      <c r="AR188" s="170"/>
      <c r="AS188" s="170"/>
      <c r="AT188" s="170"/>
      <c r="AU188" s="170"/>
      <c r="AV188" s="170"/>
      <c r="AW188" s="170"/>
      <c r="AX188" s="170"/>
      <c r="AY188" s="170"/>
      <c r="AZ188" s="170"/>
      <c r="BA188" s="11">
        <f t="shared" si="256"/>
        <v>0.36</v>
      </c>
      <c r="BB188" s="11">
        <f t="shared" si="256"/>
        <v>0.37</v>
      </c>
      <c r="BC188" s="11">
        <f t="shared" si="256"/>
        <v>0.38</v>
      </c>
      <c r="BD188" s="11">
        <f t="shared" si="256"/>
        <v>0.38</v>
      </c>
      <c r="BE188" s="11">
        <f t="shared" si="256"/>
        <v>0.38</v>
      </c>
      <c r="BF188" s="11">
        <f t="shared" si="256"/>
        <v>0.38</v>
      </c>
      <c r="BG188" s="11">
        <f t="shared" si="256"/>
        <v>0.38</v>
      </c>
      <c r="BH188" s="11">
        <f t="shared" si="256"/>
        <v>0.38</v>
      </c>
      <c r="BI188" s="11">
        <f t="shared" si="256"/>
        <v>0.38</v>
      </c>
      <c r="BJ188" s="11">
        <f t="shared" si="256"/>
        <v>0.38</v>
      </c>
      <c r="BK188" s="1"/>
      <c r="BL188" s="91"/>
      <c r="BM188" s="23">
        <f t="shared" si="182"/>
        <v>182</v>
      </c>
    </row>
    <row r="189" spans="1:71" ht="12.75" customHeight="1" outlineLevel="1">
      <c r="A189" s="118"/>
      <c r="B189" s="29" t="s">
        <v>124</v>
      </c>
      <c r="C189" s="170"/>
      <c r="D189" s="170"/>
      <c r="E189" s="9">
        <f t="shared" ref="E189:Q189" si="257">E14-E190</f>
        <v>168.221</v>
      </c>
      <c r="F189" s="9">
        <f t="shared" si="257"/>
        <v>136.19999999999999</v>
      </c>
      <c r="G189" s="9">
        <f t="shared" si="257"/>
        <v>157.99399999999997</v>
      </c>
      <c r="H189" s="9">
        <f t="shared" si="257"/>
        <v>181.19641599999997</v>
      </c>
      <c r="I189" s="9">
        <f t="shared" si="257"/>
        <v>256.51230000000004</v>
      </c>
      <c r="J189" s="9">
        <f t="shared" si="257"/>
        <v>348.52599999999995</v>
      </c>
      <c r="K189" s="9">
        <f t="shared" si="257"/>
        <v>566.58299999999997</v>
      </c>
      <c r="L189" s="9">
        <f t="shared" si="257"/>
        <v>495.06600000000003</v>
      </c>
      <c r="M189" s="9">
        <f t="shared" si="257"/>
        <v>477.29499999999996</v>
      </c>
      <c r="N189" s="9">
        <f t="shared" si="257"/>
        <v>862.01499999999987</v>
      </c>
      <c r="O189" s="9">
        <f t="shared" si="257"/>
        <v>1277.7319499999999</v>
      </c>
      <c r="P189" s="9">
        <f t="shared" si="257"/>
        <v>1571.5161232500002</v>
      </c>
      <c r="Q189" s="9">
        <f t="shared" si="257"/>
        <v>1639.2608640600006</v>
      </c>
      <c r="R189" s="93"/>
      <c r="S189" s="9">
        <f t="shared" ref="S189:BJ189" si="258">S14-S190</f>
        <v>37.698999999999998</v>
      </c>
      <c r="T189" s="9">
        <f t="shared" si="258"/>
        <v>40.087000000000003</v>
      </c>
      <c r="U189" s="9">
        <f t="shared" si="258"/>
        <v>40.167999999999999</v>
      </c>
      <c r="V189" s="9">
        <f t="shared" si="258"/>
        <v>40.039999999999992</v>
      </c>
      <c r="W189" s="9">
        <f t="shared" si="258"/>
        <v>43.274999999999999</v>
      </c>
      <c r="X189" s="9">
        <f t="shared" si="258"/>
        <v>42.629000000000012</v>
      </c>
      <c r="Y189" s="9">
        <f t="shared" si="258"/>
        <v>45.240999999999985</v>
      </c>
      <c r="Z189" s="9">
        <f t="shared" si="258"/>
        <v>50.051415999999996</v>
      </c>
      <c r="AA189" s="9">
        <f t="shared" si="258"/>
        <v>56.921000000000014</v>
      </c>
      <c r="AB189" s="9">
        <f t="shared" si="258"/>
        <v>58.92</v>
      </c>
      <c r="AC189" s="9">
        <f t="shared" si="258"/>
        <v>69.705999999999989</v>
      </c>
      <c r="AD189" s="9">
        <f t="shared" si="258"/>
        <v>70.965300000000013</v>
      </c>
      <c r="AE189" s="9">
        <f t="shared" si="258"/>
        <v>74.400999999999996</v>
      </c>
      <c r="AF189" s="9">
        <f t="shared" si="258"/>
        <v>80.269000000000005</v>
      </c>
      <c r="AG189" s="9">
        <f t="shared" si="258"/>
        <v>90.981000000000009</v>
      </c>
      <c r="AH189" s="9">
        <f t="shared" si="258"/>
        <v>102.875</v>
      </c>
      <c r="AI189" s="9">
        <f t="shared" si="258"/>
        <v>126.77000000000001</v>
      </c>
      <c r="AJ189" s="9">
        <f t="shared" si="258"/>
        <v>132.41699999999997</v>
      </c>
      <c r="AK189" s="9">
        <f t="shared" si="258"/>
        <v>149.69700000000003</v>
      </c>
      <c r="AL189" s="9">
        <f t="shared" si="258"/>
        <v>157.69900000000001</v>
      </c>
      <c r="AM189" s="9">
        <f t="shared" si="258"/>
        <v>138.65299999999996</v>
      </c>
      <c r="AN189" s="9">
        <f t="shared" si="258"/>
        <v>117.2</v>
      </c>
      <c r="AO189" s="9">
        <f t="shared" si="258"/>
        <v>122.59899999999999</v>
      </c>
      <c r="AP189" s="9">
        <f t="shared" si="258"/>
        <v>116.61399999999999</v>
      </c>
      <c r="AQ189" s="9">
        <f t="shared" si="258"/>
        <v>106.75099999999999</v>
      </c>
      <c r="AR189" s="9">
        <f t="shared" si="258"/>
        <v>102.70699999999999</v>
      </c>
      <c r="AS189" s="9">
        <f t="shared" si="258"/>
        <v>119.42599999999999</v>
      </c>
      <c r="AT189" s="9">
        <f t="shared" si="258"/>
        <v>148.411</v>
      </c>
      <c r="AU189" s="9">
        <f t="shared" si="258"/>
        <v>187.47499999999999</v>
      </c>
      <c r="AV189" s="9">
        <f t="shared" si="258"/>
        <v>197.41100000000006</v>
      </c>
      <c r="AW189" s="9">
        <f t="shared" si="258"/>
        <v>227.92300000000003</v>
      </c>
      <c r="AX189" s="9">
        <f t="shared" si="258"/>
        <v>249.20599999999996</v>
      </c>
      <c r="AY189" s="9">
        <f t="shared" si="258"/>
        <v>265.14366000000001</v>
      </c>
      <c r="AZ189" s="9">
        <f t="shared" si="258"/>
        <v>279.30844999999999</v>
      </c>
      <c r="BA189" s="9">
        <f t="shared" si="258"/>
        <v>358.31427999999994</v>
      </c>
      <c r="BB189" s="9">
        <f t="shared" si="258"/>
        <v>374.96556000000004</v>
      </c>
      <c r="BC189" s="9">
        <f t="shared" si="258"/>
        <v>383.4246548000001</v>
      </c>
      <c r="BD189" s="9">
        <f t="shared" si="258"/>
        <v>389.66192574999997</v>
      </c>
      <c r="BE189" s="9">
        <f t="shared" si="258"/>
        <v>397.16076839999999</v>
      </c>
      <c r="BF189" s="9">
        <f t="shared" si="258"/>
        <v>401.26877430000002</v>
      </c>
      <c r="BG189" s="9">
        <f t="shared" si="258"/>
        <v>406.22166569399997</v>
      </c>
      <c r="BH189" s="9">
        <f t="shared" si="258"/>
        <v>409.85960188500007</v>
      </c>
      <c r="BI189" s="9">
        <f t="shared" si="258"/>
        <v>412.17990145200002</v>
      </c>
      <c r="BJ189" s="9">
        <f t="shared" si="258"/>
        <v>410.99969502900001</v>
      </c>
      <c r="BK189" s="1"/>
      <c r="BL189" s="91"/>
      <c r="BM189" s="23">
        <f t="shared" si="182"/>
        <v>183</v>
      </c>
    </row>
    <row r="190" spans="1:71" ht="12.75" customHeight="1" outlineLevel="1">
      <c r="A190" s="118"/>
      <c r="B190" s="29" t="s">
        <v>264</v>
      </c>
      <c r="C190" s="170"/>
      <c r="D190" s="170"/>
      <c r="E190" s="9">
        <f t="shared" ref="E190:Q190" si="259">E20+E21</f>
        <v>65.362000000000009</v>
      </c>
      <c r="F190" s="9">
        <f t="shared" si="259"/>
        <v>55.422999999999995</v>
      </c>
      <c r="G190" s="9">
        <f t="shared" si="259"/>
        <v>86.959000000000003</v>
      </c>
      <c r="H190" s="9">
        <f t="shared" si="259"/>
        <v>114.4</v>
      </c>
      <c r="I190" s="9">
        <f t="shared" si="259"/>
        <v>185.36369999999999</v>
      </c>
      <c r="J190" s="9">
        <f t="shared" si="259"/>
        <v>197.44800000000001</v>
      </c>
      <c r="K190" s="9">
        <f t="shared" si="259"/>
        <v>310.15800000000002</v>
      </c>
      <c r="L190" s="9">
        <f t="shared" si="259"/>
        <v>147.923</v>
      </c>
      <c r="M190" s="9">
        <f t="shared" si="259"/>
        <v>82.330000000000013</v>
      </c>
      <c r="N190" s="9">
        <f t="shared" si="259"/>
        <v>378.83600000000001</v>
      </c>
      <c r="O190" s="9">
        <f t="shared" si="259"/>
        <v>631.95094900000004</v>
      </c>
      <c r="P190" s="9">
        <f t="shared" si="259"/>
        <v>760.69195009689997</v>
      </c>
      <c r="Q190" s="9">
        <f t="shared" si="259"/>
        <v>751.94662552403008</v>
      </c>
      <c r="R190" s="93"/>
      <c r="S190" s="9">
        <f t="shared" ref="S190:BJ190" si="260">S20+S21</f>
        <v>17.611999999999998</v>
      </c>
      <c r="T190" s="9">
        <f t="shared" si="260"/>
        <v>24.048000000000002</v>
      </c>
      <c r="U190" s="9">
        <f t="shared" si="260"/>
        <v>25.868000000000002</v>
      </c>
      <c r="V190" s="9">
        <f t="shared" si="260"/>
        <v>19.431000000000001</v>
      </c>
      <c r="W190" s="9">
        <f t="shared" si="260"/>
        <v>21.157000000000004</v>
      </c>
      <c r="X190" s="9">
        <f t="shared" si="260"/>
        <v>31.451000000000001</v>
      </c>
      <c r="Y190" s="9">
        <f t="shared" si="260"/>
        <v>28.212</v>
      </c>
      <c r="Z190" s="9">
        <f t="shared" si="260"/>
        <v>33.580000000000005</v>
      </c>
      <c r="AA190" s="9">
        <f t="shared" si="260"/>
        <v>45.669999999999995</v>
      </c>
      <c r="AB190" s="9">
        <f t="shared" si="260"/>
        <v>45.679999999999993</v>
      </c>
      <c r="AC190" s="9">
        <f t="shared" si="260"/>
        <v>46.178999999999995</v>
      </c>
      <c r="AD190" s="9">
        <f t="shared" si="260"/>
        <v>47.834700000000005</v>
      </c>
      <c r="AE190" s="9">
        <f t="shared" si="260"/>
        <v>47.899000000000001</v>
      </c>
      <c r="AF190" s="9">
        <f t="shared" si="260"/>
        <v>49.531000000000006</v>
      </c>
      <c r="AG190" s="9">
        <f t="shared" si="260"/>
        <v>53.418999999999997</v>
      </c>
      <c r="AH190" s="9">
        <f t="shared" si="260"/>
        <v>46.598999999999997</v>
      </c>
      <c r="AI190" s="9">
        <f t="shared" si="260"/>
        <v>53.324999999999996</v>
      </c>
      <c r="AJ190" s="9">
        <f t="shared" si="260"/>
        <v>73.384</v>
      </c>
      <c r="AK190" s="9">
        <f t="shared" si="260"/>
        <v>91.558999999999997</v>
      </c>
      <c r="AL190" s="9">
        <f t="shared" si="260"/>
        <v>91.89</v>
      </c>
      <c r="AM190" s="9">
        <f t="shared" si="260"/>
        <v>65.304999999999993</v>
      </c>
      <c r="AN190" s="9">
        <f t="shared" si="260"/>
        <v>30.310999999999996</v>
      </c>
      <c r="AO190" s="9">
        <f t="shared" si="260"/>
        <v>32.808999999999997</v>
      </c>
      <c r="AP190" s="9">
        <f t="shared" si="260"/>
        <v>19.498000000000001</v>
      </c>
      <c r="AQ190" s="9">
        <f t="shared" si="260"/>
        <v>15.759</v>
      </c>
      <c r="AR190" s="9">
        <f t="shared" si="260"/>
        <v>14.286999999999999</v>
      </c>
      <c r="AS190" s="9">
        <f t="shared" si="260"/>
        <v>18.322000000000003</v>
      </c>
      <c r="AT190" s="9">
        <f t="shared" si="260"/>
        <v>33.962000000000003</v>
      </c>
      <c r="AU190" s="9">
        <f t="shared" si="260"/>
        <v>57.322000000000003</v>
      </c>
      <c r="AV190" s="9">
        <f t="shared" si="260"/>
        <v>93.053999999999988</v>
      </c>
      <c r="AW190" s="9">
        <f t="shared" si="260"/>
        <v>117.1</v>
      </c>
      <c r="AX190" s="9">
        <f t="shared" si="260"/>
        <v>111.36</v>
      </c>
      <c r="AY190" s="9">
        <f t="shared" si="260"/>
        <v>105.37427420000002</v>
      </c>
      <c r="AZ190" s="9">
        <f t="shared" si="260"/>
        <v>137.89163479999999</v>
      </c>
      <c r="BA190" s="9">
        <f t="shared" si="260"/>
        <v>189.93474860000001</v>
      </c>
      <c r="BB190" s="9">
        <f t="shared" si="260"/>
        <v>198.75029139999998</v>
      </c>
      <c r="BC190" s="9">
        <f t="shared" si="260"/>
        <v>194.12227307052001</v>
      </c>
      <c r="BD190" s="9">
        <f t="shared" si="260"/>
        <v>192.26508939837998</v>
      </c>
      <c r="BE190" s="9">
        <f t="shared" si="260"/>
        <v>190.01689724715999</v>
      </c>
      <c r="BF190" s="9">
        <f t="shared" si="260"/>
        <v>184.28769038083999</v>
      </c>
      <c r="BG190" s="9">
        <f t="shared" si="260"/>
        <v>184.82632759470198</v>
      </c>
      <c r="BH190" s="9">
        <f t="shared" si="260"/>
        <v>189.52333768010968</v>
      </c>
      <c r="BI190" s="9">
        <f t="shared" si="260"/>
        <v>190.26486322074055</v>
      </c>
      <c r="BJ190" s="9">
        <f t="shared" si="260"/>
        <v>187.33209702847785</v>
      </c>
      <c r="BK190" s="1"/>
      <c r="BL190" s="91"/>
      <c r="BM190" s="23">
        <f t="shared" si="182"/>
        <v>184</v>
      </c>
    </row>
    <row r="191" spans="1:71" s="47" customFormat="1" ht="12.75" customHeight="1" outlineLevel="1">
      <c r="A191" s="118"/>
      <c r="B191" s="197" t="s">
        <v>125</v>
      </c>
      <c r="C191" s="253"/>
      <c r="D191" s="253"/>
      <c r="E191" s="198">
        <f t="shared" ref="E191:Q191" si="261">E190/E14</f>
        <v>0.27982344605557774</v>
      </c>
      <c r="F191" s="198">
        <f t="shared" si="261"/>
        <v>0.28922937225698375</v>
      </c>
      <c r="G191" s="198">
        <f t="shared" si="261"/>
        <v>0.35500279645483018</v>
      </c>
      <c r="H191" s="198">
        <f t="shared" si="261"/>
        <v>0.38701416461016908</v>
      </c>
      <c r="I191" s="198">
        <f t="shared" si="261"/>
        <v>0.41949257257692196</v>
      </c>
      <c r="J191" s="198">
        <f t="shared" si="261"/>
        <v>0.36164359474993318</v>
      </c>
      <c r="K191" s="198">
        <f t="shared" si="261"/>
        <v>0.35376239961402517</v>
      </c>
      <c r="L191" s="198">
        <f t="shared" si="261"/>
        <v>0.23005525755495038</v>
      </c>
      <c r="M191" s="198">
        <f t="shared" si="261"/>
        <v>0.14711637257091806</v>
      </c>
      <c r="N191" s="198">
        <f t="shared" si="261"/>
        <v>0.30530337647308181</v>
      </c>
      <c r="O191" s="198">
        <f t="shared" si="261"/>
        <v>0.33091931091330368</v>
      </c>
      <c r="P191" s="198">
        <f t="shared" si="261"/>
        <v>0.32616813173330961</v>
      </c>
      <c r="Q191" s="198">
        <f t="shared" si="261"/>
        <v>0.31446314416438914</v>
      </c>
      <c r="R191" s="39"/>
      <c r="S191" s="198">
        <f t="shared" ref="S191:BJ191" si="262">S190/S14</f>
        <v>0.31841767460360509</v>
      </c>
      <c r="T191" s="198">
        <f t="shared" si="262"/>
        <v>0.37495907071022061</v>
      </c>
      <c r="U191" s="198">
        <f t="shared" si="262"/>
        <v>0.39172572536192385</v>
      </c>
      <c r="V191" s="198">
        <f t="shared" si="262"/>
        <v>0.32673067545526396</v>
      </c>
      <c r="W191" s="198">
        <f t="shared" si="262"/>
        <v>0.3283616836354607</v>
      </c>
      <c r="X191" s="198">
        <f t="shared" si="262"/>
        <v>0.42455453563714896</v>
      </c>
      <c r="Y191" s="198">
        <f t="shared" si="262"/>
        <v>0.38408233836603001</v>
      </c>
      <c r="Z191" s="198">
        <f t="shared" si="262"/>
        <v>0.4015237527486083</v>
      </c>
      <c r="AA191" s="198">
        <f t="shared" si="262"/>
        <v>0.44516575528067753</v>
      </c>
      <c r="AB191" s="198">
        <f t="shared" si="262"/>
        <v>0.43671128107074564</v>
      </c>
      <c r="AC191" s="198">
        <f t="shared" si="262"/>
        <v>0.39848988221081244</v>
      </c>
      <c r="AD191" s="198">
        <f t="shared" si="262"/>
        <v>0.4026489898989899</v>
      </c>
      <c r="AE191" s="198">
        <f t="shared" si="262"/>
        <v>0.39165167620605074</v>
      </c>
      <c r="AF191" s="198">
        <f t="shared" si="262"/>
        <v>0.38159476117103236</v>
      </c>
      <c r="AG191" s="198">
        <f t="shared" si="262"/>
        <v>0.36993767313019388</v>
      </c>
      <c r="AH191" s="198">
        <f t="shared" si="262"/>
        <v>0.31175321460588462</v>
      </c>
      <c r="AI191" s="198">
        <f t="shared" si="262"/>
        <v>0.29609372831005853</v>
      </c>
      <c r="AJ191" s="198">
        <f t="shared" si="262"/>
        <v>0.35657747046904537</v>
      </c>
      <c r="AK191" s="198">
        <f t="shared" si="262"/>
        <v>0.37950973240043767</v>
      </c>
      <c r="AL191" s="198">
        <f t="shared" si="262"/>
        <v>0.36816526369351216</v>
      </c>
      <c r="AM191" s="198">
        <f t="shared" si="262"/>
        <v>0.32018847017523216</v>
      </c>
      <c r="AN191" s="198">
        <f t="shared" si="262"/>
        <v>0.2054829809302357</v>
      </c>
      <c r="AO191" s="198">
        <f t="shared" si="262"/>
        <v>0.21111525790178112</v>
      </c>
      <c r="AP191" s="198">
        <f t="shared" si="262"/>
        <v>0.143249676736805</v>
      </c>
      <c r="AQ191" s="198">
        <f t="shared" si="262"/>
        <v>0.12863439719206596</v>
      </c>
      <c r="AR191" s="198">
        <f t="shared" si="262"/>
        <v>0.12211737354052343</v>
      </c>
      <c r="AS191" s="198">
        <f t="shared" si="262"/>
        <v>0.13301100560443713</v>
      </c>
      <c r="AT191" s="198">
        <f t="shared" si="262"/>
        <v>0.1862227413049081</v>
      </c>
      <c r="AU191" s="198">
        <f t="shared" si="262"/>
        <v>0.23416136635661386</v>
      </c>
      <c r="AV191" s="198">
        <f t="shared" si="262"/>
        <v>0.3203621778871808</v>
      </c>
      <c r="AW191" s="198">
        <f t="shared" si="262"/>
        <v>0.33939766334418281</v>
      </c>
      <c r="AX191" s="198">
        <f t="shared" si="262"/>
        <v>0.30884775602802261</v>
      </c>
      <c r="AY191" s="198">
        <f t="shared" si="262"/>
        <v>0.28439723013008211</v>
      </c>
      <c r="AZ191" s="198">
        <f t="shared" si="262"/>
        <v>0.33051679475593432</v>
      </c>
      <c r="BA191" s="198">
        <f t="shared" si="262"/>
        <v>0.3464388237677582</v>
      </c>
      <c r="BB191" s="198">
        <f t="shared" si="262"/>
        <v>0.34642635533775662</v>
      </c>
      <c r="BC191" s="198">
        <f t="shared" si="262"/>
        <v>0.3361151513458317</v>
      </c>
      <c r="BD191" s="198">
        <f t="shared" si="262"/>
        <v>0.33039381983212479</v>
      </c>
      <c r="BE191" s="198">
        <f t="shared" si="262"/>
        <v>0.32361056689329654</v>
      </c>
      <c r="BF191" s="198">
        <f t="shared" si="262"/>
        <v>0.31472232226363817</v>
      </c>
      <c r="BG191" s="198">
        <f t="shared" si="262"/>
        <v>0.31270950869199909</v>
      </c>
      <c r="BH191" s="198">
        <f t="shared" si="262"/>
        <v>0.31619741766027049</v>
      </c>
      <c r="BI191" s="198">
        <f t="shared" si="262"/>
        <v>0.31582125761205021</v>
      </c>
      <c r="BJ191" s="198">
        <f t="shared" si="262"/>
        <v>0.31309066226332505</v>
      </c>
      <c r="BK191" s="28"/>
      <c r="BL191" s="203"/>
      <c r="BM191" s="23">
        <f t="shared" si="182"/>
        <v>185</v>
      </c>
      <c r="BN191"/>
      <c r="BO191"/>
      <c r="BP191"/>
      <c r="BQ191"/>
      <c r="BR191"/>
      <c r="BS191"/>
    </row>
    <row r="192" spans="1:71" ht="12.75" customHeight="1" outlineLevel="1">
      <c r="A192" s="118"/>
      <c r="B192" s="1" t="s">
        <v>21</v>
      </c>
      <c r="C192" s="170"/>
      <c r="D192" s="170"/>
      <c r="E192" s="11">
        <f t="shared" ref="E192:Q192" si="263">-E22/E14</f>
        <v>9.2994781298296539E-2</v>
      </c>
      <c r="F192" s="11">
        <f t="shared" si="263"/>
        <v>6.2215913538562706E-2</v>
      </c>
      <c r="G192" s="11">
        <f t="shared" si="263"/>
        <v>8.8437373700260877E-2</v>
      </c>
      <c r="H192" s="11">
        <f t="shared" si="263"/>
        <v>7.8986072686348135E-2</v>
      </c>
      <c r="I192" s="11">
        <f t="shared" si="263"/>
        <v>9.3462871936923472E-2</v>
      </c>
      <c r="J192" s="11">
        <f t="shared" si="263"/>
        <v>8.5390513101356494E-2</v>
      </c>
      <c r="K192" s="11">
        <f t="shared" si="263"/>
        <v>9.9997604765831638E-2</v>
      </c>
      <c r="L192" s="11">
        <f t="shared" si="263"/>
        <v>9.1603215607109906E-2</v>
      </c>
      <c r="M192" s="11">
        <f t="shared" si="263"/>
        <v>0.10576546794728614</v>
      </c>
      <c r="N192" s="11">
        <f t="shared" si="263"/>
        <v>8.6708234912975052E-2</v>
      </c>
      <c r="O192" s="11">
        <f t="shared" si="263"/>
        <v>7.5448547020789972E-2</v>
      </c>
      <c r="P192" s="11">
        <f t="shared" si="263"/>
        <v>7.3803524406737417E-2</v>
      </c>
      <c r="Q192" s="11">
        <f t="shared" si="263"/>
        <v>7.7916210231944505E-2</v>
      </c>
      <c r="R192" s="51"/>
      <c r="S192" s="11">
        <f t="shared" ref="S192:BJ192" si="264">-S22/S14</f>
        <v>8.4702861998517481E-2</v>
      </c>
      <c r="T192" s="11">
        <f t="shared" si="264"/>
        <v>8.9046542449520552E-2</v>
      </c>
      <c r="U192" s="11">
        <f t="shared" si="264"/>
        <v>7.5307408080440952E-2</v>
      </c>
      <c r="V192" s="11">
        <f t="shared" si="264"/>
        <v>0.10583309512199225</v>
      </c>
      <c r="W192" s="11">
        <f t="shared" si="264"/>
        <v>8.2629749192947605E-2</v>
      </c>
      <c r="X192" s="11">
        <f t="shared" si="264"/>
        <v>8.034557235421165E-2</v>
      </c>
      <c r="Y192" s="11">
        <f t="shared" si="264"/>
        <v>7.1011395041727376E-2</v>
      </c>
      <c r="Z192" s="11">
        <f t="shared" si="264"/>
        <v>8.1978762621931447E-2</v>
      </c>
      <c r="AA192" s="11">
        <f t="shared" si="264"/>
        <v>9.6538682730453934E-2</v>
      </c>
      <c r="AB192" s="11">
        <f t="shared" si="264"/>
        <v>9.2906309751434032E-2</v>
      </c>
      <c r="AC192" s="11">
        <f t="shared" si="264"/>
        <v>8.7457393105233636E-2</v>
      </c>
      <c r="AD192" s="11">
        <f t="shared" si="264"/>
        <v>9.7154882154882147E-2</v>
      </c>
      <c r="AE192" s="11">
        <f t="shared" si="264"/>
        <v>0.10142273098937041</v>
      </c>
      <c r="AF192" s="11">
        <f t="shared" si="264"/>
        <v>7.7804314329738056E-2</v>
      </c>
      <c r="AG192" s="11">
        <f t="shared" si="264"/>
        <v>8.1232686980609412E-2</v>
      </c>
      <c r="AH192" s="11">
        <f t="shared" si="264"/>
        <v>8.2877289695866843E-2</v>
      </c>
      <c r="AI192" s="11">
        <f t="shared" si="264"/>
        <v>8.5760293178600192E-2</v>
      </c>
      <c r="AJ192" s="11">
        <f t="shared" si="264"/>
        <v>9.3619564530784599E-2</v>
      </c>
      <c r="AK192" s="11">
        <f t="shared" si="264"/>
        <v>7.170806114666578E-2</v>
      </c>
      <c r="AL192" s="11">
        <f t="shared" si="264"/>
        <v>0.14287488631309872</v>
      </c>
      <c r="AM192" s="11">
        <f t="shared" si="264"/>
        <v>8.8062248109904984E-2</v>
      </c>
      <c r="AN192" s="11">
        <f t="shared" si="264"/>
        <v>9.692741558256672E-2</v>
      </c>
      <c r="AO192" s="11">
        <f t="shared" si="264"/>
        <v>8.4030423144239683E-2</v>
      </c>
      <c r="AP192" s="11">
        <f t="shared" si="264"/>
        <v>9.9785470788762209E-2</v>
      </c>
      <c r="AQ192" s="11">
        <f t="shared" si="264"/>
        <v>0.1085870541180312</v>
      </c>
      <c r="AR192" s="11">
        <f t="shared" si="264"/>
        <v>0.11526232114467409</v>
      </c>
      <c r="AS192" s="11">
        <f t="shared" si="264"/>
        <v>0.10747887446641695</v>
      </c>
      <c r="AT192" s="11">
        <f t="shared" si="264"/>
        <v>9.6483580354548099E-2</v>
      </c>
      <c r="AU192" s="11">
        <f t="shared" si="264"/>
        <v>9.1263373325653513E-2</v>
      </c>
      <c r="AV192" s="11">
        <f t="shared" si="264"/>
        <v>8.9552958187733456E-2</v>
      </c>
      <c r="AW192" s="11">
        <f t="shared" si="264"/>
        <v>8.579717873880871E-2</v>
      </c>
      <c r="AX192" s="11">
        <f t="shared" si="264"/>
        <v>8.2195769983858719E-2</v>
      </c>
      <c r="AY192" s="11">
        <f t="shared" si="264"/>
        <v>8.3666665331418658E-2</v>
      </c>
      <c r="AZ192" s="11">
        <f t="shared" si="264"/>
        <v>7.670180607786875E-2</v>
      </c>
      <c r="BA192" s="11">
        <f t="shared" si="264"/>
        <v>7.3214904005394904E-2</v>
      </c>
      <c r="BB192" s="11">
        <f t="shared" si="264"/>
        <v>7.1364247475627612E-2</v>
      </c>
      <c r="BC192" s="11">
        <f t="shared" si="264"/>
        <v>7.2308680013206686E-2</v>
      </c>
      <c r="BD192" s="11">
        <f t="shared" si="264"/>
        <v>7.3199710635772131E-2</v>
      </c>
      <c r="BE192" s="11">
        <f t="shared" si="264"/>
        <v>7.3996048290618677E-2</v>
      </c>
      <c r="BF192" s="11">
        <f t="shared" si="264"/>
        <v>7.5684935806495809E-2</v>
      </c>
      <c r="BG192" s="11">
        <f t="shared" si="264"/>
        <v>7.6481368725630106E-2</v>
      </c>
      <c r="BH192" s="11">
        <f t="shared" si="264"/>
        <v>7.6926184674019168E-2</v>
      </c>
      <c r="BI192" s="11">
        <f t="shared" si="264"/>
        <v>7.8065924564849953E-2</v>
      </c>
      <c r="BJ192" s="11">
        <f t="shared" si="264"/>
        <v>8.0174606031783946E-2</v>
      </c>
      <c r="BK192" s="1"/>
      <c r="BL192" s="91"/>
      <c r="BM192" s="23">
        <f t="shared" si="182"/>
        <v>186</v>
      </c>
    </row>
    <row r="193" spans="1:71" s="47" customFormat="1" ht="12.75" customHeight="1" outlineLevel="1">
      <c r="A193" s="118"/>
      <c r="B193" s="67" t="s">
        <v>128</v>
      </c>
      <c r="C193" s="48"/>
      <c r="D193" s="48"/>
      <c r="E193" s="198">
        <f t="shared" ref="E193:Q193" si="265">E23/E$14</f>
        <v>0.18682866475728116</v>
      </c>
      <c r="F193" s="198">
        <f t="shared" si="265"/>
        <v>0.22701345871842102</v>
      </c>
      <c r="G193" s="198">
        <f t="shared" si="265"/>
        <v>0.26656542275456929</v>
      </c>
      <c r="H193" s="198">
        <f t="shared" si="265"/>
        <v>0.30802809192382091</v>
      </c>
      <c r="I193" s="198">
        <f t="shared" si="265"/>
        <v>0.32602970063999848</v>
      </c>
      <c r="J193" s="198">
        <f t="shared" si="265"/>
        <v>0.2762530816485767</v>
      </c>
      <c r="K193" s="198">
        <f t="shared" si="265"/>
        <v>0.25376479484819353</v>
      </c>
      <c r="L193" s="198">
        <f t="shared" si="265"/>
        <v>0.1384520419478405</v>
      </c>
      <c r="M193" s="198">
        <f t="shared" si="265"/>
        <v>4.1350904623631904E-2</v>
      </c>
      <c r="N193" s="198">
        <f t="shared" si="265"/>
        <v>0.21859514156010679</v>
      </c>
      <c r="O193" s="198">
        <f t="shared" si="265"/>
        <v>0.25547076389251366</v>
      </c>
      <c r="P193" s="198">
        <f t="shared" si="265"/>
        <v>0.25236460732657223</v>
      </c>
      <c r="Q193" s="198">
        <f t="shared" si="265"/>
        <v>0.23654693393244469</v>
      </c>
      <c r="R193" s="254"/>
      <c r="S193" s="198">
        <f t="shared" ref="S193:BJ193" si="266">S23/S$14</f>
        <v>0.23371481260508761</v>
      </c>
      <c r="T193" s="198">
        <f t="shared" si="266"/>
        <v>0.28591252826070007</v>
      </c>
      <c r="U193" s="198">
        <f t="shared" si="266"/>
        <v>0.31641831728148284</v>
      </c>
      <c r="V193" s="198">
        <f t="shared" si="266"/>
        <v>0.22089758033327173</v>
      </c>
      <c r="W193" s="198">
        <f t="shared" si="266"/>
        <v>0.24573193444251309</v>
      </c>
      <c r="X193" s="198">
        <f t="shared" si="266"/>
        <v>0.34420896328293732</v>
      </c>
      <c r="Y193" s="198">
        <f t="shared" si="266"/>
        <v>0.31307094332430263</v>
      </c>
      <c r="Z193" s="198">
        <f t="shared" si="266"/>
        <v>0.31954499012667686</v>
      </c>
      <c r="AA193" s="198">
        <f t="shared" si="266"/>
        <v>0.34862707255022357</v>
      </c>
      <c r="AB193" s="198">
        <f t="shared" si="266"/>
        <v>0.34380497131931159</v>
      </c>
      <c r="AC193" s="198">
        <f t="shared" si="266"/>
        <v>0.31103248910557879</v>
      </c>
      <c r="AD193" s="198">
        <f t="shared" si="266"/>
        <v>0.30549410774410773</v>
      </c>
      <c r="AE193" s="198">
        <f t="shared" si="266"/>
        <v>0.29022894521668036</v>
      </c>
      <c r="AF193" s="198">
        <f t="shared" si="266"/>
        <v>0.3037904468412943</v>
      </c>
      <c r="AG193" s="198">
        <f t="shared" si="266"/>
        <v>0.28870498614958445</v>
      </c>
      <c r="AH193" s="198">
        <f t="shared" si="266"/>
        <v>0.22887592491001779</v>
      </c>
      <c r="AI193" s="198">
        <f t="shared" si="266"/>
        <v>0.21033343513145838</v>
      </c>
      <c r="AJ193" s="198">
        <f t="shared" si="266"/>
        <v>0.26295790593826079</v>
      </c>
      <c r="AK193" s="198">
        <f t="shared" si="266"/>
        <v>0.30780167125377189</v>
      </c>
      <c r="AL193" s="198">
        <f t="shared" si="266"/>
        <v>0.22529037738041341</v>
      </c>
      <c r="AM193" s="198">
        <f t="shared" si="266"/>
        <v>0.23212622206532718</v>
      </c>
      <c r="AN193" s="198">
        <f t="shared" si="266"/>
        <v>0.10855556534766897</v>
      </c>
      <c r="AO193" s="198">
        <f t="shared" si="266"/>
        <v>0.12708483475754145</v>
      </c>
      <c r="AP193" s="198">
        <f t="shared" si="266"/>
        <v>4.3464205948042796E-2</v>
      </c>
      <c r="AQ193" s="198">
        <f t="shared" si="266"/>
        <v>2.004734307403477E-2</v>
      </c>
      <c r="AR193" s="198">
        <f t="shared" si="266"/>
        <v>6.8550523958493415E-3</v>
      </c>
      <c r="AS193" s="198">
        <f t="shared" si="266"/>
        <v>2.5532131138020164E-2</v>
      </c>
      <c r="AT193" s="198">
        <f t="shared" si="266"/>
        <v>8.9739160950359997E-2</v>
      </c>
      <c r="AU193" s="198">
        <f t="shared" si="266"/>
        <v>0.14289799303096035</v>
      </c>
      <c r="AV193" s="198">
        <f t="shared" si="266"/>
        <v>0.23080921969944737</v>
      </c>
      <c r="AW193" s="198">
        <f t="shared" si="266"/>
        <v>0.2536004846053741</v>
      </c>
      <c r="AX193" s="198">
        <f t="shared" si="266"/>
        <v>0.22665198604416392</v>
      </c>
      <c r="AY193" s="198">
        <f t="shared" si="266"/>
        <v>0.20073056479866344</v>
      </c>
      <c r="AZ193" s="198">
        <f t="shared" si="266"/>
        <v>0.25381498867806557</v>
      </c>
      <c r="BA193" s="198">
        <f t="shared" si="266"/>
        <v>0.27322391976236327</v>
      </c>
      <c r="BB193" s="198">
        <f t="shared" si="266"/>
        <v>0.27506210786212898</v>
      </c>
      <c r="BC193" s="198">
        <f t="shared" si="266"/>
        <v>0.26380647133262497</v>
      </c>
      <c r="BD193" s="198">
        <f t="shared" si="266"/>
        <v>0.2571941091963526</v>
      </c>
      <c r="BE193" s="198">
        <f t="shared" si="266"/>
        <v>0.24961451860267786</v>
      </c>
      <c r="BF193" s="198">
        <f t="shared" si="266"/>
        <v>0.23903738645714234</v>
      </c>
      <c r="BG193" s="198">
        <f t="shared" si="266"/>
        <v>0.23622813996636902</v>
      </c>
      <c r="BH193" s="198">
        <f t="shared" si="266"/>
        <v>0.23927123298625133</v>
      </c>
      <c r="BI193" s="198">
        <f t="shared" si="266"/>
        <v>0.2377553330472002</v>
      </c>
      <c r="BJ193" s="198">
        <f t="shared" si="266"/>
        <v>0.23291605623154113</v>
      </c>
      <c r="BK193" s="28"/>
      <c r="BL193" s="203"/>
      <c r="BM193" s="23">
        <f t="shared" si="182"/>
        <v>187</v>
      </c>
      <c r="BN193"/>
      <c r="BO193"/>
      <c r="BP193"/>
      <c r="BQ193"/>
      <c r="BR193"/>
      <c r="BS193"/>
    </row>
    <row r="194" spans="1:71" ht="12.75" customHeight="1" outlineLevel="1">
      <c r="A194" s="118"/>
      <c r="B194" s="29" t="s">
        <v>429</v>
      </c>
      <c r="C194" s="170"/>
      <c r="D194" s="170"/>
      <c r="E194" s="170"/>
      <c r="F194" s="170"/>
      <c r="G194" s="170"/>
      <c r="H194" s="11">
        <f t="shared" ref="H194:Q194" si="267">-H24/G260</f>
        <v>7.3015873015873006E-2</v>
      </c>
      <c r="I194" s="11">
        <f t="shared" si="267"/>
        <v>7.4524626768174645E-2</v>
      </c>
      <c r="J194" s="11">
        <f t="shared" si="267"/>
        <v>8.7919887595420756E-2</v>
      </c>
      <c r="K194" s="11">
        <f t="shared" si="267"/>
        <v>0.10182621755376418</v>
      </c>
      <c r="L194" s="11">
        <f t="shared" si="267"/>
        <v>0.10141138832180008</v>
      </c>
      <c r="M194" s="11">
        <f t="shared" si="267"/>
        <v>0.12140856314015068</v>
      </c>
      <c r="N194" s="11">
        <f t="shared" si="267"/>
        <v>0.12413045615226609</v>
      </c>
      <c r="O194" s="11">
        <f t="shared" si="267"/>
        <v>0.12615982420387792</v>
      </c>
      <c r="P194" s="11">
        <f t="shared" si="267"/>
        <v>9.3858947339611573E-2</v>
      </c>
      <c r="Q194" s="11">
        <f t="shared" si="267"/>
        <v>9.340239422151668E-2</v>
      </c>
      <c r="R194" s="93"/>
      <c r="S194" s="11"/>
      <c r="T194" s="11"/>
      <c r="U194" s="11"/>
      <c r="V194" s="11"/>
      <c r="W194" s="11">
        <f t="shared" ref="W194:AX194" si="268">-W24*4/V260</f>
        <v>7.0780090057198486E-2</v>
      </c>
      <c r="X194" s="11">
        <f t="shared" si="268"/>
        <v>7.3047167023070611E-2</v>
      </c>
      <c r="Y194" s="11">
        <f t="shared" si="268"/>
        <v>7.3645230271736292E-2</v>
      </c>
      <c r="Z194" s="11">
        <f t="shared" si="268"/>
        <v>7.1184202230562224E-2</v>
      </c>
      <c r="AA194" s="11">
        <f t="shared" si="268"/>
        <v>7.1000154399800466E-2</v>
      </c>
      <c r="AB194" s="11">
        <f t="shared" si="268"/>
        <v>6.9208200951699661E-2</v>
      </c>
      <c r="AC194" s="11">
        <f t="shared" si="268"/>
        <v>6.5613421726750012E-2</v>
      </c>
      <c r="AD194" s="11">
        <f t="shared" si="268"/>
        <v>7.292841251942829E-2</v>
      </c>
      <c r="AE194" s="11">
        <f t="shared" si="268"/>
        <v>7.9938583064956131E-2</v>
      </c>
      <c r="AF194" s="11">
        <f t="shared" si="268"/>
        <v>8.2772554706467022E-2</v>
      </c>
      <c r="AG194" s="11">
        <f t="shared" si="268"/>
        <v>8.5260990674579137E-2</v>
      </c>
      <c r="AH194" s="11">
        <f t="shared" si="268"/>
        <v>9.22722662353683E-2</v>
      </c>
      <c r="AI194" s="11">
        <f t="shared" si="268"/>
        <v>8.6755512128038809E-2</v>
      </c>
      <c r="AJ194" s="11">
        <f t="shared" si="268"/>
        <v>9.3286964993707797E-2</v>
      </c>
      <c r="AK194" s="11">
        <f t="shared" si="268"/>
        <v>0.11258353154377621</v>
      </c>
      <c r="AL194" s="11">
        <f t="shared" si="268"/>
        <v>9.4380506818253801E-2</v>
      </c>
      <c r="AM194" s="11">
        <f t="shared" si="268"/>
        <v>9.3630635168933551E-2</v>
      </c>
      <c r="AN194" s="11">
        <f t="shared" si="268"/>
        <v>9.6897956440141014E-2</v>
      </c>
      <c r="AO194" s="11">
        <f t="shared" si="268"/>
        <v>0.10689760347815662</v>
      </c>
      <c r="AP194" s="11">
        <f t="shared" si="268"/>
        <v>0.10849657885673099</v>
      </c>
      <c r="AQ194" s="11">
        <f t="shared" si="268"/>
        <v>0.10374984853776575</v>
      </c>
      <c r="AR194" s="11">
        <f t="shared" si="268"/>
        <v>0.11000985524543178</v>
      </c>
      <c r="AS194" s="11">
        <f t="shared" si="268"/>
        <v>0.12367526152727248</v>
      </c>
      <c r="AT194" s="11">
        <f t="shared" si="268"/>
        <v>0.10723469923409207</v>
      </c>
      <c r="AU194" s="11">
        <f t="shared" si="268"/>
        <v>0.1102956289503685</v>
      </c>
      <c r="AV194" s="11">
        <f t="shared" si="268"/>
        <v>0.11720873930903102</v>
      </c>
      <c r="AW194" s="11">
        <f t="shared" si="268"/>
        <v>0.10729257262132544</v>
      </c>
      <c r="AX194" s="11">
        <f t="shared" si="268"/>
        <v>0.10415267597315692</v>
      </c>
      <c r="AY194" s="22">
        <v>0.113</v>
      </c>
      <c r="AZ194" s="22">
        <v>0.105</v>
      </c>
      <c r="BA194" s="22">
        <v>9.5000000000000001E-2</v>
      </c>
      <c r="BB194" s="22">
        <f t="shared" ref="BB194:BJ194" si="269">BA194</f>
        <v>9.5000000000000001E-2</v>
      </c>
      <c r="BC194" s="22">
        <f t="shared" si="269"/>
        <v>9.5000000000000001E-2</v>
      </c>
      <c r="BD194" s="22">
        <f t="shared" si="269"/>
        <v>9.5000000000000001E-2</v>
      </c>
      <c r="BE194" s="22">
        <f t="shared" si="269"/>
        <v>9.5000000000000001E-2</v>
      </c>
      <c r="BF194" s="22">
        <f t="shared" si="269"/>
        <v>9.5000000000000001E-2</v>
      </c>
      <c r="BG194" s="22">
        <f t="shared" si="269"/>
        <v>9.5000000000000001E-2</v>
      </c>
      <c r="BH194" s="22">
        <f t="shared" si="269"/>
        <v>9.5000000000000001E-2</v>
      </c>
      <c r="BI194" s="22">
        <f t="shared" si="269"/>
        <v>9.5000000000000001E-2</v>
      </c>
      <c r="BJ194" s="22">
        <f t="shared" si="269"/>
        <v>9.5000000000000001E-2</v>
      </c>
      <c r="BK194" s="1"/>
      <c r="BL194" s="91"/>
      <c r="BM194" s="23">
        <f t="shared" si="182"/>
        <v>188</v>
      </c>
    </row>
    <row r="195" spans="1:71" s="47" customFormat="1" ht="12.75" customHeight="1" outlineLevel="1">
      <c r="A195" s="118"/>
      <c r="B195" s="197" t="s">
        <v>434</v>
      </c>
      <c r="C195" s="253"/>
      <c r="D195" s="253"/>
      <c r="E195" s="198">
        <f t="shared" ref="E195:Q195" si="270">E25/E$14</f>
        <v>0.11376255977532615</v>
      </c>
      <c r="F195" s="198">
        <f t="shared" si="270"/>
        <v>0.13366871408964473</v>
      </c>
      <c r="G195" s="198">
        <f t="shared" si="270"/>
        <v>0.18775438553518434</v>
      </c>
      <c r="H195" s="198">
        <f t="shared" si="270"/>
        <v>0.23698866497758897</v>
      </c>
      <c r="I195" s="198">
        <f t="shared" si="270"/>
        <v>0.26922869764368279</v>
      </c>
      <c r="J195" s="198">
        <f t="shared" si="270"/>
        <v>0.20955027162465614</v>
      </c>
      <c r="K195" s="198">
        <f t="shared" si="270"/>
        <v>0.20241667721710291</v>
      </c>
      <c r="L195" s="198">
        <f t="shared" si="270"/>
        <v>4.9221899597038217E-2</v>
      </c>
      <c r="M195" s="198">
        <f t="shared" si="270"/>
        <v>-8.0398481125753846E-2</v>
      </c>
      <c r="N195" s="198">
        <f t="shared" si="270"/>
        <v>0.14023520954570698</v>
      </c>
      <c r="O195" s="198">
        <f t="shared" si="270"/>
        <v>0.17823260600550372</v>
      </c>
      <c r="P195" s="198">
        <f t="shared" si="270"/>
        <v>0.18277534837253775</v>
      </c>
      <c r="Q195" s="198">
        <f t="shared" si="270"/>
        <v>0.17112569971582245</v>
      </c>
      <c r="R195" s="39"/>
      <c r="S195" s="198">
        <f t="shared" ref="S195:BJ195" si="271">S25/S$14</f>
        <v>0.14837916508470289</v>
      </c>
      <c r="T195" s="198">
        <f t="shared" si="271"/>
        <v>0.21149138535900833</v>
      </c>
      <c r="U195" s="198">
        <f t="shared" si="271"/>
        <v>0.24415470349506335</v>
      </c>
      <c r="V195" s="198">
        <f t="shared" si="271"/>
        <v>0.13615039262833992</v>
      </c>
      <c r="W195" s="198">
        <f t="shared" si="271"/>
        <v>0.16674944127141797</v>
      </c>
      <c r="X195" s="198">
        <f t="shared" si="271"/>
        <v>0.27331263498920089</v>
      </c>
      <c r="Y195" s="198">
        <f t="shared" si="271"/>
        <v>0.24098403060460435</v>
      </c>
      <c r="Z195" s="198">
        <f t="shared" si="271"/>
        <v>0.25541837053195421</v>
      </c>
      <c r="AA195" s="198">
        <f t="shared" si="271"/>
        <v>0.29035685391506066</v>
      </c>
      <c r="AB195" s="198">
        <f t="shared" si="271"/>
        <v>0.2866921606118546</v>
      </c>
      <c r="AC195" s="198">
        <f t="shared" si="271"/>
        <v>0.2595331578720283</v>
      </c>
      <c r="AD195" s="198">
        <f t="shared" si="271"/>
        <v>0.24506481481481479</v>
      </c>
      <c r="AE195" s="198">
        <f t="shared" si="271"/>
        <v>0.2225429272281276</v>
      </c>
      <c r="AF195" s="198">
        <f t="shared" si="271"/>
        <v>0.23530046224961479</v>
      </c>
      <c r="AG195" s="198">
        <f t="shared" si="271"/>
        <v>0.22532548476454287</v>
      </c>
      <c r="AH195" s="198">
        <f t="shared" si="271"/>
        <v>0.16131902538234075</v>
      </c>
      <c r="AI195" s="198">
        <f t="shared" si="271"/>
        <v>0.15708931397318079</v>
      </c>
      <c r="AJ195" s="198">
        <f t="shared" si="271"/>
        <v>0.21271033668446707</v>
      </c>
      <c r="AK195" s="198">
        <f t="shared" si="271"/>
        <v>0.25630036144178797</v>
      </c>
      <c r="AL195" s="198">
        <f t="shared" si="271"/>
        <v>0.17455096178116825</v>
      </c>
      <c r="AM195" s="198">
        <f t="shared" si="271"/>
        <v>0.16719618745035741</v>
      </c>
      <c r="AN195" s="198">
        <f t="shared" si="271"/>
        <v>1.5715031421385497E-2</v>
      </c>
      <c r="AO195" s="198">
        <f t="shared" si="271"/>
        <v>2.954802841552559E-2</v>
      </c>
      <c r="AP195" s="198">
        <f t="shared" si="271"/>
        <v>-6.8781591630422009E-2</v>
      </c>
      <c r="AQ195" s="198">
        <f t="shared" si="271"/>
        <v>-9.8767447555301618E-2</v>
      </c>
      <c r="AR195" s="198">
        <f t="shared" si="271"/>
        <v>-0.12314306716583757</v>
      </c>
      <c r="AS195" s="198">
        <f t="shared" si="271"/>
        <v>-9.9152074803263934E-2</v>
      </c>
      <c r="AT195" s="198">
        <f t="shared" si="271"/>
        <v>-2.6473216978390422E-2</v>
      </c>
      <c r="AU195" s="198">
        <f t="shared" si="271"/>
        <v>5.4665702602564578E-2</v>
      </c>
      <c r="AV195" s="198">
        <f t="shared" si="271"/>
        <v>0.14947067632933392</v>
      </c>
      <c r="AW195" s="198">
        <f t="shared" si="271"/>
        <v>0.18208930998802975</v>
      </c>
      <c r="AX195" s="198">
        <f t="shared" si="271"/>
        <v>0.15084062279859997</v>
      </c>
      <c r="AY195" s="198">
        <f t="shared" si="271"/>
        <v>0.11158878325085947</v>
      </c>
      <c r="AZ195" s="198">
        <f t="shared" si="271"/>
        <v>0.1773756352186808</v>
      </c>
      <c r="BA195" s="198">
        <f t="shared" si="271"/>
        <v>0.19777239195005056</v>
      </c>
      <c r="BB195" s="198">
        <f t="shared" si="271"/>
        <v>0.20322335904298486</v>
      </c>
      <c r="BC195" s="198">
        <f t="shared" si="271"/>
        <v>0.19269983042930153</v>
      </c>
      <c r="BD195" s="198">
        <f t="shared" si="271"/>
        <v>0.18719680769299485</v>
      </c>
      <c r="BE195" s="198">
        <f t="shared" si="271"/>
        <v>0.1807986273845345</v>
      </c>
      <c r="BF195" s="198">
        <f t="shared" si="271"/>
        <v>0.17057475839857841</v>
      </c>
      <c r="BG195" s="198">
        <f t="shared" si="271"/>
        <v>0.16892755277675181</v>
      </c>
      <c r="BH195" s="198">
        <f t="shared" si="271"/>
        <v>0.17341283125173854</v>
      </c>
      <c r="BI195" s="198">
        <f t="shared" si="271"/>
        <v>0.17321620406965935</v>
      </c>
      <c r="BJ195" s="198">
        <f t="shared" si="271"/>
        <v>0.1689010633066563</v>
      </c>
      <c r="BK195" s="28"/>
      <c r="BL195" s="203"/>
      <c r="BM195" s="23">
        <f t="shared" si="182"/>
        <v>189</v>
      </c>
      <c r="BN195"/>
      <c r="BO195"/>
      <c r="BP195"/>
      <c r="BQ195"/>
      <c r="BR195"/>
      <c r="BS195"/>
    </row>
    <row r="196" spans="1:71" ht="12.75" customHeight="1" outlineLevel="1">
      <c r="A196" s="118"/>
      <c r="B196" s="42" t="s">
        <v>431</v>
      </c>
      <c r="C196" s="1"/>
      <c r="D196" s="1"/>
      <c r="E196" s="1"/>
      <c r="F196" s="1"/>
      <c r="G196" s="1"/>
      <c r="H196" s="11"/>
      <c r="I196" s="11">
        <f t="shared" ref="I196:Q196" si="272">-I26/AVERAGE(H291:I291)</f>
        <v>5.3343490315420704E-2</v>
      </c>
      <c r="J196" s="11">
        <f t="shared" si="272"/>
        <v>4.8944288822669879E-2</v>
      </c>
      <c r="K196" s="11">
        <f t="shared" si="272"/>
        <v>4.1664186928038749E-2</v>
      </c>
      <c r="L196" s="11">
        <f t="shared" si="272"/>
        <v>5.3529067345940963E-2</v>
      </c>
      <c r="M196" s="11">
        <f t="shared" si="272"/>
        <v>5.5545185567624458E-2</v>
      </c>
      <c r="N196" s="11">
        <f t="shared" si="272"/>
        <v>6.1053207767326929E-2</v>
      </c>
      <c r="O196" s="11">
        <f t="shared" si="272"/>
        <v>6.000658619447586E-2</v>
      </c>
      <c r="P196" s="11">
        <f t="shared" si="272"/>
        <v>6.0010090161842354E-2</v>
      </c>
      <c r="Q196" s="11">
        <f t="shared" si="272"/>
        <v>6.0010103754978741E-2</v>
      </c>
      <c r="R196" s="51"/>
      <c r="S196" s="1"/>
      <c r="T196" s="1"/>
      <c r="U196" s="1"/>
      <c r="V196" s="1"/>
      <c r="W196" s="1"/>
      <c r="X196" s="1"/>
      <c r="Y196" s="11"/>
      <c r="Z196" s="11">
        <f t="shared" ref="Z196:AX196" si="273">-Z26/AVERAGE(Y291:Z291)*4</f>
        <v>6.0001576156216312E-2</v>
      </c>
      <c r="AA196" s="11">
        <f t="shared" si="273"/>
        <v>5.8083637684762032E-2</v>
      </c>
      <c r="AB196" s="11">
        <f t="shared" si="273"/>
        <v>5.2561168673359485E-2</v>
      </c>
      <c r="AC196" s="11">
        <f t="shared" si="273"/>
        <v>5.1116443211529632E-2</v>
      </c>
      <c r="AD196" s="11">
        <f t="shared" si="273"/>
        <v>5.0354198479206969E-2</v>
      </c>
      <c r="AE196" s="11">
        <f t="shared" si="273"/>
        <v>5.4931613904180741E-2</v>
      </c>
      <c r="AF196" s="11">
        <f t="shared" si="273"/>
        <v>5.3719118155466324E-2</v>
      </c>
      <c r="AG196" s="11">
        <f t="shared" si="273"/>
        <v>5.2318112810930746E-2</v>
      </c>
      <c r="AH196" s="11">
        <f t="shared" si="273"/>
        <v>4.3933180921967803E-2</v>
      </c>
      <c r="AI196" s="11">
        <f t="shared" si="273"/>
        <v>4.1054943870193927E-2</v>
      </c>
      <c r="AJ196" s="11">
        <f t="shared" si="273"/>
        <v>4.3367023015429176E-2</v>
      </c>
      <c r="AK196" s="11">
        <f t="shared" si="273"/>
        <v>5.3619157745937264E-2</v>
      </c>
      <c r="AL196" s="11">
        <f t="shared" si="273"/>
        <v>4.9875334622077938E-2</v>
      </c>
      <c r="AM196" s="11">
        <f t="shared" si="273"/>
        <v>5.4880575940976895E-2</v>
      </c>
      <c r="AN196" s="11">
        <f t="shared" si="273"/>
        <v>5.0621785635086104E-2</v>
      </c>
      <c r="AO196" s="11">
        <f t="shared" si="273"/>
        <v>5.4236738005882947E-2</v>
      </c>
      <c r="AP196" s="11">
        <f t="shared" si="273"/>
        <v>5.5555555555555552E-2</v>
      </c>
      <c r="AQ196" s="11">
        <f t="shared" si="273"/>
        <v>5.4086291368217077E-2</v>
      </c>
      <c r="AR196" s="11">
        <f t="shared" si="273"/>
        <v>5.421066474736827E-2</v>
      </c>
      <c r="AS196" s="11">
        <f t="shared" si="273"/>
        <v>5.3650549027162396E-2</v>
      </c>
      <c r="AT196" s="11">
        <f t="shared" si="273"/>
        <v>6.2600160844374267E-2</v>
      </c>
      <c r="AU196" s="11">
        <f t="shared" si="273"/>
        <v>5.9351373170012253E-2</v>
      </c>
      <c r="AV196" s="11">
        <f t="shared" si="273"/>
        <v>6.3051910859923441E-2</v>
      </c>
      <c r="AW196" s="11">
        <f t="shared" si="273"/>
        <v>6.5097271560985312E-2</v>
      </c>
      <c r="AX196" s="11">
        <f t="shared" si="273"/>
        <v>5.6604916204173086E-2</v>
      </c>
      <c r="AY196" s="22">
        <v>0.06</v>
      </c>
      <c r="AZ196" s="22">
        <v>0.06</v>
      </c>
      <c r="BA196" s="22">
        <v>0.06</v>
      </c>
      <c r="BB196" s="22">
        <v>0.06</v>
      </c>
      <c r="BC196" s="22">
        <v>0.06</v>
      </c>
      <c r="BD196" s="22">
        <v>0.06</v>
      </c>
      <c r="BE196" s="22">
        <v>0.06</v>
      </c>
      <c r="BF196" s="22">
        <v>0.06</v>
      </c>
      <c r="BG196" s="22">
        <v>0.06</v>
      </c>
      <c r="BH196" s="22">
        <v>0.06</v>
      </c>
      <c r="BI196" s="22">
        <v>0.06</v>
      </c>
      <c r="BJ196" s="22">
        <v>0.06</v>
      </c>
      <c r="BK196" s="1"/>
      <c r="BL196" s="12"/>
      <c r="BM196" s="23">
        <f t="shared" si="182"/>
        <v>190</v>
      </c>
    </row>
    <row r="197" spans="1:71" ht="12.75" customHeight="1" outlineLevel="1">
      <c r="A197" s="118"/>
      <c r="B197" s="8" t="s">
        <v>432</v>
      </c>
      <c r="C197" s="11"/>
      <c r="D197" s="11"/>
      <c r="E197" s="11">
        <f t="shared" ref="E197:Q197" si="274">-E29/E28</f>
        <v>0.28195004363908394</v>
      </c>
      <c r="F197" s="11">
        <f t="shared" si="274"/>
        <v>-1.4293859649122878</v>
      </c>
      <c r="G197" s="11">
        <f t="shared" si="274"/>
        <v>9.7199616042736081E-2</v>
      </c>
      <c r="H197" s="11">
        <f t="shared" si="274"/>
        <v>0.22292441375123312</v>
      </c>
      <c r="I197" s="11">
        <f t="shared" si="274"/>
        <v>0.27847141899668842</v>
      </c>
      <c r="J197" s="11">
        <f t="shared" si="274"/>
        <v>0.22011373448777757</v>
      </c>
      <c r="K197" s="11">
        <f t="shared" si="274"/>
        <v>0.23236034819994622</v>
      </c>
      <c r="L197" s="11">
        <f t="shared" si="274"/>
        <v>2.8984087598691685E-2</v>
      </c>
      <c r="M197" s="11">
        <f t="shared" si="274"/>
        <v>0.48017537160394297</v>
      </c>
      <c r="N197" s="11">
        <f t="shared" si="274"/>
        <v>0.21068457316990943</v>
      </c>
      <c r="O197" s="11">
        <f t="shared" si="274"/>
        <v>0.19</v>
      </c>
      <c r="P197" s="11">
        <f t="shared" si="274"/>
        <v>0.18999999999999995</v>
      </c>
      <c r="Q197" s="11">
        <f t="shared" si="274"/>
        <v>0.18999999999999992</v>
      </c>
      <c r="R197" s="51"/>
      <c r="S197" s="11">
        <f t="shared" ref="S197:AF197" si="275">-S29/S28</f>
        <v>0.78703703703703642</v>
      </c>
      <c r="T197" s="11">
        <f t="shared" si="275"/>
        <v>-1.3315082130413141E-2</v>
      </c>
      <c r="U197" s="11">
        <f t="shared" si="275"/>
        <v>8.8526601805592048E-2</v>
      </c>
      <c r="V197" s="11">
        <f t="shared" si="275"/>
        <v>5.2140883977900544E-2</v>
      </c>
      <c r="W197" s="11">
        <f t="shared" si="275"/>
        <v>0.31826659352715281</v>
      </c>
      <c r="X197" s="11">
        <f t="shared" si="275"/>
        <v>0.28847622810483331</v>
      </c>
      <c r="Y197" s="11">
        <f t="shared" si="275"/>
        <v>0.24922508175742927</v>
      </c>
      <c r="Z197" s="11">
        <f t="shared" si="275"/>
        <v>0.11802412853727691</v>
      </c>
      <c r="AA197" s="11">
        <f t="shared" si="275"/>
        <v>0.26896156052782572</v>
      </c>
      <c r="AB197" s="11">
        <f t="shared" si="275"/>
        <v>0.27252328060136893</v>
      </c>
      <c r="AC197" s="11">
        <f t="shared" si="275"/>
        <v>0.30636947376190127</v>
      </c>
      <c r="AD197" s="11">
        <f t="shared" si="275"/>
        <v>0.2651269889313313</v>
      </c>
      <c r="AE197" s="11">
        <f t="shared" si="275"/>
        <v>0.27672496736636182</v>
      </c>
      <c r="AF197" s="11">
        <f t="shared" si="275"/>
        <v>0.25408200960472849</v>
      </c>
      <c r="AG197" s="11">
        <v>0.27</v>
      </c>
      <c r="AH197" s="11">
        <f t="shared" ref="AH197:AX197" si="276">-AH29/AH28</f>
        <v>0.10778532137370532</v>
      </c>
      <c r="AI197" s="11">
        <f t="shared" si="276"/>
        <v>0.25080543207862654</v>
      </c>
      <c r="AJ197" s="11">
        <f t="shared" si="276"/>
        <v>0.28336334533813523</v>
      </c>
      <c r="AK197" s="11">
        <f t="shared" si="276"/>
        <v>0.25308750263139429</v>
      </c>
      <c r="AL197" s="11">
        <f t="shared" si="276"/>
        <v>0.13698914680375965</v>
      </c>
      <c r="AM197" s="11">
        <f t="shared" si="276"/>
        <v>0.2177749670039596</v>
      </c>
      <c r="AN197" s="11">
        <f t="shared" si="276"/>
        <v>0.62797882223616497</v>
      </c>
      <c r="AO197" s="11">
        <f t="shared" si="276"/>
        <v>-0.17766685361749801</v>
      </c>
      <c r="AP197" s="11">
        <f t="shared" si="276"/>
        <v>0.21655307914287467</v>
      </c>
      <c r="AQ197" s="11">
        <f t="shared" si="276"/>
        <v>0.4431799707364657</v>
      </c>
      <c r="AR197" s="11">
        <f t="shared" si="276"/>
        <v>0.44311845837816688</v>
      </c>
      <c r="AS197" s="11">
        <f t="shared" si="276"/>
        <v>0.54496448183787582</v>
      </c>
      <c r="AT197" s="11">
        <f t="shared" si="276"/>
        <v>0.49308136131783614</v>
      </c>
      <c r="AU197" s="11">
        <f t="shared" si="276"/>
        <v>6.9077096229600385E-2</v>
      </c>
      <c r="AV197" s="11">
        <f t="shared" si="276"/>
        <v>0.19442697366622014</v>
      </c>
      <c r="AW197" s="11">
        <f t="shared" si="276"/>
        <v>0.26271882815291181</v>
      </c>
      <c r="AX197" s="11">
        <f t="shared" si="276"/>
        <v>0.18373091701082819</v>
      </c>
      <c r="AY197" s="98">
        <v>0.19</v>
      </c>
      <c r="AZ197" s="98">
        <v>0.19</v>
      </c>
      <c r="BA197" s="98">
        <v>0.19</v>
      </c>
      <c r="BB197" s="98">
        <v>0.19</v>
      </c>
      <c r="BC197" s="98">
        <v>0.19</v>
      </c>
      <c r="BD197" s="98">
        <v>0.19</v>
      </c>
      <c r="BE197" s="98">
        <v>0.19</v>
      </c>
      <c r="BF197" s="98">
        <v>0.19</v>
      </c>
      <c r="BG197" s="98">
        <v>0.19</v>
      </c>
      <c r="BH197" s="98">
        <v>0.19</v>
      </c>
      <c r="BI197" s="98">
        <v>0.19</v>
      </c>
      <c r="BJ197" s="98">
        <v>0.19</v>
      </c>
      <c r="BK197" s="1"/>
      <c r="BL197" s="91"/>
      <c r="BM197" s="23">
        <f t="shared" si="182"/>
        <v>191</v>
      </c>
    </row>
    <row r="198" spans="1:71" ht="12.75" customHeight="1" outlineLevel="1">
      <c r="A198" s="118"/>
      <c r="B198" s="42"/>
      <c r="C198" s="1"/>
      <c r="D198" s="1"/>
      <c r="E198" s="1"/>
      <c r="F198" s="1"/>
      <c r="G198" s="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51"/>
      <c r="S198" s="1"/>
      <c r="T198" s="1"/>
      <c r="U198" s="1"/>
      <c r="V198" s="1"/>
      <c r="W198" s="1"/>
      <c r="X198" s="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22"/>
      <c r="AZ198" s="22"/>
      <c r="BA198" s="22"/>
      <c r="BB198" s="22"/>
      <c r="BC198" s="22"/>
      <c r="BD198" s="22"/>
      <c r="BE198" s="22"/>
      <c r="BF198" s="22"/>
      <c r="BG198" s="22"/>
      <c r="BH198" s="22"/>
      <c r="BI198" s="22"/>
      <c r="BJ198" s="22"/>
      <c r="BK198" s="1"/>
      <c r="BL198" s="12"/>
      <c r="BM198" s="23">
        <f t="shared" si="182"/>
        <v>192</v>
      </c>
    </row>
    <row r="199" spans="1:71" ht="12.75" customHeight="1" outlineLevel="1">
      <c r="A199" s="118"/>
      <c r="B199" s="248" t="s">
        <v>433</v>
      </c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1"/>
      <c r="BL199" s="91"/>
      <c r="BM199" s="23">
        <f t="shared" si="182"/>
        <v>193</v>
      </c>
    </row>
    <row r="200" spans="1:71" s="257" customFormat="1" ht="12.75" customHeight="1" outlineLevel="1">
      <c r="A200" s="144"/>
      <c r="B200" s="5" t="s">
        <v>38</v>
      </c>
      <c r="C200" s="9"/>
      <c r="D200" s="9"/>
      <c r="E200" s="9">
        <f t="shared" ref="E200:Q200" si="277">E23</f>
        <v>43.640000000000008</v>
      </c>
      <c r="F200" s="9">
        <f t="shared" si="277"/>
        <v>43.500999999999991</v>
      </c>
      <c r="G200" s="9">
        <f t="shared" si="277"/>
        <v>65.296000000000006</v>
      </c>
      <c r="H200" s="9">
        <f t="shared" si="277"/>
        <v>91.052000000000007</v>
      </c>
      <c r="I200" s="9">
        <f t="shared" si="277"/>
        <v>144.06469999999999</v>
      </c>
      <c r="J200" s="9">
        <f t="shared" si="277"/>
        <v>150.827</v>
      </c>
      <c r="K200" s="9">
        <f t="shared" si="277"/>
        <v>222.48600000000002</v>
      </c>
      <c r="L200" s="9">
        <f t="shared" si="277"/>
        <v>89.023140000000012</v>
      </c>
      <c r="M200" s="9">
        <f t="shared" si="277"/>
        <v>23.141000000000005</v>
      </c>
      <c r="N200" s="9">
        <f t="shared" si="277"/>
        <v>271.24400000000003</v>
      </c>
      <c r="O200" s="9">
        <f t="shared" si="277"/>
        <v>487.86814900000002</v>
      </c>
      <c r="P200" s="9">
        <f t="shared" si="277"/>
        <v>588.56677463405197</v>
      </c>
      <c r="Q200" s="9">
        <f t="shared" si="277"/>
        <v>565.63280005740057</v>
      </c>
      <c r="R200" s="51"/>
      <c r="S200" s="9">
        <f t="shared" ref="S200:BJ200" si="278">S23</f>
        <v>12.927</v>
      </c>
      <c r="T200" s="9">
        <f t="shared" si="278"/>
        <v>18.337</v>
      </c>
      <c r="U200" s="9">
        <f t="shared" si="278"/>
        <v>20.895000000000003</v>
      </c>
      <c r="V200" s="9">
        <f t="shared" si="278"/>
        <v>13.137</v>
      </c>
      <c r="W200" s="9">
        <f t="shared" si="278"/>
        <v>15.833000000000004</v>
      </c>
      <c r="X200" s="9">
        <f t="shared" si="278"/>
        <v>25.499000000000002</v>
      </c>
      <c r="Y200" s="9">
        <f t="shared" si="278"/>
        <v>22.995999999999999</v>
      </c>
      <c r="Z200" s="9">
        <f t="shared" si="278"/>
        <v>26.724000000000004</v>
      </c>
      <c r="AA200" s="9">
        <f t="shared" si="278"/>
        <v>35.765999999999991</v>
      </c>
      <c r="AB200" s="9">
        <f t="shared" si="278"/>
        <v>35.961999999999989</v>
      </c>
      <c r="AC200" s="9">
        <f t="shared" si="278"/>
        <v>36.043999999999997</v>
      </c>
      <c r="AD200" s="9">
        <f t="shared" si="278"/>
        <v>36.292700000000004</v>
      </c>
      <c r="AE200" s="9">
        <f t="shared" si="278"/>
        <v>35.495000000000005</v>
      </c>
      <c r="AF200" s="9">
        <f t="shared" si="278"/>
        <v>39.432000000000002</v>
      </c>
      <c r="AG200" s="9">
        <f t="shared" si="278"/>
        <v>41.688999999999993</v>
      </c>
      <c r="AH200" s="9">
        <f t="shared" si="278"/>
        <v>34.210999999999999</v>
      </c>
      <c r="AI200" s="9">
        <f t="shared" si="278"/>
        <v>37.879999999999995</v>
      </c>
      <c r="AJ200" s="9">
        <f t="shared" si="278"/>
        <v>54.117000000000004</v>
      </c>
      <c r="AK200" s="9">
        <f t="shared" si="278"/>
        <v>74.259</v>
      </c>
      <c r="AL200" s="9">
        <f t="shared" si="278"/>
        <v>56.230000000000004</v>
      </c>
      <c r="AM200" s="9">
        <f t="shared" si="278"/>
        <v>47.343999999999994</v>
      </c>
      <c r="AN200" s="9">
        <f t="shared" si="278"/>
        <v>16.013139999999996</v>
      </c>
      <c r="AO200" s="9">
        <f t="shared" si="278"/>
        <v>19.75</v>
      </c>
      <c r="AP200" s="9">
        <f t="shared" si="278"/>
        <v>5.9160000000000004</v>
      </c>
      <c r="AQ200" s="9">
        <f t="shared" si="278"/>
        <v>2.4559999999999995</v>
      </c>
      <c r="AR200" s="9">
        <f t="shared" si="278"/>
        <v>0.80199999999999783</v>
      </c>
      <c r="AS200" s="9">
        <f t="shared" si="278"/>
        <v>3.5170000000000012</v>
      </c>
      <c r="AT200" s="9">
        <f t="shared" si="278"/>
        <v>16.366000000000003</v>
      </c>
      <c r="AU200" s="9">
        <f t="shared" si="278"/>
        <v>34.981000000000002</v>
      </c>
      <c r="AV200" s="9">
        <f t="shared" si="278"/>
        <v>67.041999999999987</v>
      </c>
      <c r="AW200" s="9">
        <f t="shared" si="278"/>
        <v>87.49799999999999</v>
      </c>
      <c r="AX200" s="9">
        <f t="shared" si="278"/>
        <v>81.722999999999999</v>
      </c>
      <c r="AY200" s="9">
        <f t="shared" si="278"/>
        <v>74.374274200000016</v>
      </c>
      <c r="AZ200" s="9">
        <f t="shared" si="278"/>
        <v>105.89163479999999</v>
      </c>
      <c r="BA200" s="9">
        <f t="shared" si="278"/>
        <v>149.79474859999999</v>
      </c>
      <c r="BB200" s="9">
        <f t="shared" si="278"/>
        <v>157.80749139999998</v>
      </c>
      <c r="BC200" s="9">
        <f t="shared" si="278"/>
        <v>152.36061707051999</v>
      </c>
      <c r="BD200" s="9">
        <f t="shared" si="278"/>
        <v>149.66820027837997</v>
      </c>
      <c r="BE200" s="9">
        <f t="shared" si="278"/>
        <v>146.56807034475997</v>
      </c>
      <c r="BF200" s="9">
        <f t="shared" si="278"/>
        <v>139.96988694039197</v>
      </c>
      <c r="BG200" s="9">
        <f t="shared" si="278"/>
        <v>139.62216808544503</v>
      </c>
      <c r="BH200" s="9">
        <f t="shared" si="278"/>
        <v>143.41509498066756</v>
      </c>
      <c r="BI200" s="9">
        <f t="shared" si="278"/>
        <v>143.23445566730959</v>
      </c>
      <c r="BJ200" s="9">
        <f t="shared" si="278"/>
        <v>139.36108132397828</v>
      </c>
      <c r="BK200" s="51"/>
      <c r="BL200" s="256"/>
      <c r="BM200" s="23">
        <f t="shared" si="182"/>
        <v>194</v>
      </c>
      <c r="BN200"/>
      <c r="BO200"/>
      <c r="BP200"/>
      <c r="BQ200"/>
      <c r="BR200"/>
      <c r="BS200"/>
    </row>
    <row r="201" spans="1:71" ht="12.75" customHeight="1" outlineLevel="1">
      <c r="A201" s="118"/>
      <c r="B201" s="5" t="s">
        <v>269</v>
      </c>
      <c r="C201" s="9"/>
      <c r="D201" s="9"/>
      <c r="E201" s="11"/>
      <c r="F201" s="11"/>
      <c r="G201" s="9">
        <v>72.152000000000001</v>
      </c>
      <c r="H201" s="9">
        <v>93.557000000000002</v>
      </c>
      <c r="I201" s="9">
        <f t="shared" ref="I201:Q201" si="279">I202+I200</f>
        <v>150.589</v>
      </c>
      <c r="J201" s="9">
        <f t="shared" si="279"/>
        <v>160.691</v>
      </c>
      <c r="K201" s="9">
        <f t="shared" si="279"/>
        <v>246.21300000000002</v>
      </c>
      <c r="L201" s="9">
        <f t="shared" si="279"/>
        <v>109.50800000000002</v>
      </c>
      <c r="M201" s="9">
        <f t="shared" si="279"/>
        <v>39.554000000000002</v>
      </c>
      <c r="N201" s="9">
        <f t="shared" si="279"/>
        <v>307.70300000000003</v>
      </c>
      <c r="O201" s="9">
        <f t="shared" si="279"/>
        <v>526.86814900000002</v>
      </c>
      <c r="P201" s="9">
        <f t="shared" si="279"/>
        <v>624.56677463405197</v>
      </c>
      <c r="Q201" s="9">
        <f t="shared" si="279"/>
        <v>601.63280005740057</v>
      </c>
      <c r="R201" s="51"/>
      <c r="S201" s="11"/>
      <c r="T201" s="11"/>
      <c r="U201" s="11"/>
      <c r="V201" s="9">
        <v>15.641</v>
      </c>
      <c r="W201" s="9">
        <v>16.728999999999999</v>
      </c>
      <c r="X201" s="11"/>
      <c r="Y201" s="11"/>
      <c r="Z201" s="132">
        <v>27.452000000000002</v>
      </c>
      <c r="AA201" s="132">
        <v>36.987000000000002</v>
      </c>
      <c r="AB201" s="132">
        <v>37.112000000000002</v>
      </c>
      <c r="AC201" s="132">
        <v>37.518999999999998</v>
      </c>
      <c r="AD201" s="132">
        <v>38.970999999999997</v>
      </c>
      <c r="AE201" s="132">
        <v>38.786999999999999</v>
      </c>
      <c r="AF201" s="132">
        <v>40.984999999999999</v>
      </c>
      <c r="AG201" s="132">
        <v>45.024000000000001</v>
      </c>
      <c r="AH201" s="132">
        <v>35.895000000000003</v>
      </c>
      <c r="AI201" s="132">
        <v>41.927999999999997</v>
      </c>
      <c r="AJ201" s="132">
        <v>59.784999999999997</v>
      </c>
      <c r="AK201" s="132">
        <v>77.486999999999995</v>
      </c>
      <c r="AL201" s="132">
        <v>67.013000000000005</v>
      </c>
      <c r="AM201" s="132">
        <v>51.283000000000001</v>
      </c>
      <c r="AN201" s="132">
        <v>23.443000000000001</v>
      </c>
      <c r="AO201" s="132">
        <v>24.004999999999999</v>
      </c>
      <c r="AP201" s="132">
        <v>10.776999999999999</v>
      </c>
      <c r="AQ201" s="132">
        <v>5.2519999999999998</v>
      </c>
      <c r="AR201" s="132">
        <v>5.3730000000000002</v>
      </c>
      <c r="AS201" s="132">
        <v>8.2579999999999991</v>
      </c>
      <c r="AT201" s="132">
        <v>20.670999999999999</v>
      </c>
      <c r="AU201" s="132">
        <v>42.712000000000003</v>
      </c>
      <c r="AV201" s="132">
        <v>75.072000000000003</v>
      </c>
      <c r="AW201" s="132">
        <v>96.676000000000002</v>
      </c>
      <c r="AX201" s="132">
        <v>93.242999999999995</v>
      </c>
      <c r="AY201" s="9">
        <f t="shared" ref="AY201:BJ201" si="280">AY200+AY202</f>
        <v>86.374274200000016</v>
      </c>
      <c r="AZ201" s="9">
        <f t="shared" si="280"/>
        <v>114.89163479999999</v>
      </c>
      <c r="BA201" s="9">
        <f t="shared" si="280"/>
        <v>158.79474859999999</v>
      </c>
      <c r="BB201" s="9">
        <f t="shared" si="280"/>
        <v>166.80749139999998</v>
      </c>
      <c r="BC201" s="9">
        <f t="shared" si="280"/>
        <v>161.36061707051999</v>
      </c>
      <c r="BD201" s="9">
        <f t="shared" si="280"/>
        <v>158.66820027837997</v>
      </c>
      <c r="BE201" s="9">
        <f t="shared" si="280"/>
        <v>155.56807034475997</v>
      </c>
      <c r="BF201" s="9">
        <f t="shared" si="280"/>
        <v>148.96988694039197</v>
      </c>
      <c r="BG201" s="9">
        <f t="shared" si="280"/>
        <v>148.62216808544503</v>
      </c>
      <c r="BH201" s="9">
        <f t="shared" si="280"/>
        <v>152.41509498066756</v>
      </c>
      <c r="BI201" s="9">
        <f t="shared" si="280"/>
        <v>152.23445566730959</v>
      </c>
      <c r="BJ201" s="9">
        <f t="shared" si="280"/>
        <v>148.36108132397828</v>
      </c>
      <c r="BK201" s="1"/>
      <c r="BL201" s="91"/>
      <c r="BM201" s="23">
        <f t="shared" si="182"/>
        <v>195</v>
      </c>
    </row>
    <row r="202" spans="1:71" ht="12.75" customHeight="1" outlineLevel="1">
      <c r="A202" s="118"/>
      <c r="B202" s="5" t="s">
        <v>270</v>
      </c>
      <c r="C202" s="9"/>
      <c r="D202" s="9"/>
      <c r="E202" s="11"/>
      <c r="F202" s="11"/>
      <c r="G202" s="9">
        <f>G201-G200</f>
        <v>6.8559999999999945</v>
      </c>
      <c r="H202" s="9">
        <f>H201-H200</f>
        <v>2.5049999999999955</v>
      </c>
      <c r="I202" s="9">
        <f>SUM(INDEX($S202:$AH202,I$5):INDEX($S202:$AH202,I$6))</f>
        <v>6.524300000000018</v>
      </c>
      <c r="J202" s="9">
        <f>SUM(INDEX($S202:$AH202,J$5):INDEX($S202:$AH202,J$6))</f>
        <v>9.8640000000000043</v>
      </c>
      <c r="K202" s="9">
        <f>SUM(INDEX($S202:$BK202,K$5):INDEX($S202:$BK202,K$6))</f>
        <v>23.72699999999999</v>
      </c>
      <c r="L202" s="9">
        <f>SUM(INDEX($S202:$BK202,L$5):INDEX($S202:$BK202,L$6))</f>
        <v>20.484860000000012</v>
      </c>
      <c r="M202" s="9">
        <f>SUM(INDEX($S202:$BK202,M$5):INDEX($S202:$BK202,M$6))</f>
        <v>16.412999999999997</v>
      </c>
      <c r="N202" s="9">
        <f>SUM(INDEX($S202:$BK202,N$5):INDEX($S202:$BK202,N$6))</f>
        <v>36.459000000000024</v>
      </c>
      <c r="O202" s="9">
        <f>SUM(INDEX($S202:$BK202,O$5):INDEX($S202:$BK202,O$6))</f>
        <v>39</v>
      </c>
      <c r="P202" s="9">
        <f>SUM(INDEX($S202:$BK202,P$5):INDEX($S202:$BK202,P$6))</f>
        <v>36</v>
      </c>
      <c r="Q202" s="9">
        <f>SUM(INDEX($S202:$BK202,Q$5):INDEX($S202:$BK202,Q$6))</f>
        <v>36</v>
      </c>
      <c r="R202" s="51"/>
      <c r="S202" s="11"/>
      <c r="T202" s="11"/>
      <c r="U202" s="11"/>
      <c r="V202" s="9">
        <f>V201-V200</f>
        <v>2.5039999999999996</v>
      </c>
      <c r="W202" s="9">
        <f>W201-W200</f>
        <v>0.89599999999999547</v>
      </c>
      <c r="X202" s="9"/>
      <c r="Y202" s="9"/>
      <c r="Z202" s="9">
        <f t="shared" ref="Z202:AX202" si="281">Z201-Z200</f>
        <v>0.72799999999999798</v>
      </c>
      <c r="AA202" s="9">
        <f t="shared" si="281"/>
        <v>1.2210000000000107</v>
      </c>
      <c r="AB202" s="9">
        <f t="shared" si="281"/>
        <v>1.1500000000000128</v>
      </c>
      <c r="AC202" s="9">
        <f t="shared" si="281"/>
        <v>1.4750000000000014</v>
      </c>
      <c r="AD202" s="9">
        <f t="shared" si="281"/>
        <v>2.678299999999993</v>
      </c>
      <c r="AE202" s="9">
        <f t="shared" si="281"/>
        <v>3.2919999999999945</v>
      </c>
      <c r="AF202" s="9">
        <f t="shared" si="281"/>
        <v>1.5529999999999973</v>
      </c>
      <c r="AG202" s="9">
        <f t="shared" si="281"/>
        <v>3.335000000000008</v>
      </c>
      <c r="AH202" s="9">
        <f t="shared" si="281"/>
        <v>1.6840000000000046</v>
      </c>
      <c r="AI202" s="9">
        <f t="shared" si="281"/>
        <v>4.0480000000000018</v>
      </c>
      <c r="AJ202" s="9">
        <f t="shared" si="281"/>
        <v>5.6679999999999922</v>
      </c>
      <c r="AK202" s="9">
        <f t="shared" si="281"/>
        <v>3.2279999999999944</v>
      </c>
      <c r="AL202" s="9">
        <f t="shared" si="281"/>
        <v>10.783000000000001</v>
      </c>
      <c r="AM202" s="9">
        <f t="shared" si="281"/>
        <v>3.9390000000000072</v>
      </c>
      <c r="AN202" s="9">
        <f t="shared" si="281"/>
        <v>7.429860000000005</v>
      </c>
      <c r="AO202" s="9">
        <f t="shared" si="281"/>
        <v>4.254999999999999</v>
      </c>
      <c r="AP202" s="9">
        <f t="shared" si="281"/>
        <v>4.8609999999999989</v>
      </c>
      <c r="AQ202" s="9">
        <f t="shared" si="281"/>
        <v>2.7960000000000003</v>
      </c>
      <c r="AR202" s="9">
        <f t="shared" si="281"/>
        <v>4.5710000000000024</v>
      </c>
      <c r="AS202" s="9">
        <f t="shared" si="281"/>
        <v>4.7409999999999979</v>
      </c>
      <c r="AT202" s="9">
        <f t="shared" si="281"/>
        <v>4.3049999999999962</v>
      </c>
      <c r="AU202" s="9">
        <f t="shared" si="281"/>
        <v>7.7310000000000016</v>
      </c>
      <c r="AV202" s="9">
        <f t="shared" si="281"/>
        <v>8.0300000000000153</v>
      </c>
      <c r="AW202" s="9">
        <f t="shared" si="281"/>
        <v>9.1780000000000115</v>
      </c>
      <c r="AX202" s="9">
        <f t="shared" si="281"/>
        <v>11.519999999999996</v>
      </c>
      <c r="AY202" s="26">
        <v>12</v>
      </c>
      <c r="AZ202" s="26">
        <v>9</v>
      </c>
      <c r="BA202" s="26">
        <f t="shared" ref="BA202:BF202" si="282">AZ202</f>
        <v>9</v>
      </c>
      <c r="BB202" s="26">
        <f t="shared" si="282"/>
        <v>9</v>
      </c>
      <c r="BC202" s="26">
        <f t="shared" si="282"/>
        <v>9</v>
      </c>
      <c r="BD202" s="26">
        <f t="shared" si="282"/>
        <v>9</v>
      </c>
      <c r="BE202" s="26">
        <f t="shared" si="282"/>
        <v>9</v>
      </c>
      <c r="BF202" s="26">
        <f t="shared" si="282"/>
        <v>9</v>
      </c>
      <c r="BG202" s="26">
        <f>AVERAGE(BC202:BF202)</f>
        <v>9</v>
      </c>
      <c r="BH202" s="26">
        <f>AVERAGE(BD202:BG202)</f>
        <v>9</v>
      </c>
      <c r="BI202" s="26">
        <f>AVERAGE(BE202:BH202)</f>
        <v>9</v>
      </c>
      <c r="BJ202" s="26">
        <f>AVERAGE(BF202:BI202)</f>
        <v>9</v>
      </c>
      <c r="BK202" s="1"/>
      <c r="BL202" s="91"/>
      <c r="BM202" s="23">
        <f t="shared" ref="BM202:BM265" si="283">BM201+1</f>
        <v>196</v>
      </c>
    </row>
    <row r="203" spans="1:71" ht="12.75" customHeight="1" outlineLevel="1">
      <c r="A203" s="118"/>
      <c r="B203" s="8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7"/>
      <c r="P203" s="9"/>
      <c r="Q203" s="9"/>
      <c r="R203" s="90"/>
      <c r="S203" s="1"/>
      <c r="T203" s="1"/>
      <c r="U203" s="1"/>
      <c r="V203" s="1"/>
      <c r="W203" s="1"/>
      <c r="X203" s="1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  <c r="AJ203" s="12"/>
      <c r="AK203" s="60"/>
      <c r="AL203" s="60"/>
      <c r="AM203" s="60"/>
      <c r="AN203" s="60"/>
      <c r="AO203" s="60"/>
      <c r="AP203" s="60"/>
      <c r="AQ203" s="60"/>
      <c r="AR203" s="60"/>
      <c r="AS203" s="60"/>
      <c r="AT203" s="60"/>
      <c r="AU203" s="60"/>
      <c r="AV203" s="60"/>
      <c r="AW203" s="60"/>
      <c r="AX203" s="60"/>
      <c r="AY203" s="12"/>
      <c r="AZ203" s="12"/>
      <c r="BA203" s="12"/>
      <c r="BB203" s="12"/>
      <c r="BC203" s="12"/>
      <c r="BD203" s="12"/>
      <c r="BE203" s="12"/>
      <c r="BF203" s="12"/>
      <c r="BG203" s="12"/>
      <c r="BH203" s="12"/>
      <c r="BI203" s="12"/>
      <c r="BJ203" s="12"/>
      <c r="BK203" s="1"/>
      <c r="BL203" s="91"/>
      <c r="BM203" s="23">
        <f t="shared" si="283"/>
        <v>197</v>
      </c>
    </row>
    <row r="204" spans="1:71" ht="12.75" customHeight="1">
      <c r="A204" s="118" t="s">
        <v>29</v>
      </c>
      <c r="B204" s="249" t="s">
        <v>395</v>
      </c>
      <c r="C204" s="1"/>
      <c r="D204" s="1"/>
      <c r="E204" s="1"/>
      <c r="F204" s="1"/>
      <c r="G204" s="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51"/>
      <c r="S204" s="183"/>
      <c r="T204" s="183"/>
      <c r="U204" s="183"/>
      <c r="V204" s="183"/>
      <c r="W204" s="183"/>
      <c r="X204" s="183"/>
      <c r="Y204" s="183"/>
      <c r="Z204" s="183"/>
      <c r="AA204" s="183"/>
      <c r="AB204" s="183"/>
      <c r="AC204" s="183"/>
      <c r="AD204" s="183"/>
      <c r="AE204" s="183"/>
      <c r="AF204" s="183"/>
      <c r="AG204" s="183"/>
      <c r="AH204" s="183"/>
      <c r="AI204" s="183"/>
      <c r="AJ204" s="183"/>
      <c r="AK204" s="183"/>
      <c r="AL204" s="183"/>
      <c r="AM204" s="183"/>
      <c r="AN204" s="183"/>
      <c r="AO204" s="183"/>
      <c r="AP204" s="183"/>
      <c r="AQ204" s="183"/>
      <c r="AR204" s="183"/>
      <c r="AS204" s="183"/>
      <c r="AT204" s="183"/>
      <c r="AU204" s="183"/>
      <c r="AV204" s="183"/>
      <c r="AW204" s="183"/>
      <c r="AX204" s="183"/>
      <c r="AY204" s="205"/>
      <c r="AZ204" s="183"/>
      <c r="BA204" s="183"/>
      <c r="BB204" s="183"/>
      <c r="BC204" s="183"/>
      <c r="BD204" s="183"/>
      <c r="BE204" s="183"/>
      <c r="BF204" s="183"/>
      <c r="BG204" s="183"/>
      <c r="BH204" s="183"/>
      <c r="BI204" s="183"/>
      <c r="BJ204" s="183"/>
      <c r="BK204" s="1"/>
      <c r="BL204" s="12"/>
      <c r="BM204" s="23">
        <f t="shared" si="283"/>
        <v>198</v>
      </c>
    </row>
    <row r="205" spans="1:71" ht="12.75" hidden="1" customHeight="1" outlineLevel="2">
      <c r="A205" s="118"/>
      <c r="B205" s="181" t="s">
        <v>396</v>
      </c>
      <c r="C205" s="1"/>
      <c r="D205" s="1"/>
      <c r="E205" s="20">
        <f>SUM(INDEX($S205:$BK205,E$5):INDEX($S205:$BK205,E$6))</f>
        <v>-252</v>
      </c>
      <c r="F205" s="20">
        <f>SUM(INDEX($S205:$BK205,F$5):INDEX($S205:$BK205,F$6))</f>
        <v>-252</v>
      </c>
      <c r="G205" s="20">
        <f>SUM(INDEX($S205:$BK205,G$5):INDEX($S205:$BK205,G$6))</f>
        <v>-10</v>
      </c>
      <c r="H205" s="20">
        <f>SUM(INDEX($S205:$BK205,H$5):INDEX($S205:$BK205,H$6))</f>
        <v>-10</v>
      </c>
      <c r="I205" s="20">
        <f>SUM(INDEX($S205:$BK205,I$5):INDEX($S205:$BK205,I$6))</f>
        <v>-10</v>
      </c>
      <c r="J205" s="20">
        <f>SUM(INDEX($S205:$BK205,J$5):INDEX($S205:$BK205,J$6))</f>
        <v>-11.5</v>
      </c>
      <c r="K205" s="20">
        <f>SUM(INDEX($S205:$BK205,K$5):INDEX($S205:$BK205,K$6))</f>
        <v>-15</v>
      </c>
      <c r="L205" s="20">
        <f>SUM(INDEX($S205:$BK205,L$5):INDEX($S205:$BK205,L$6))</f>
        <v>-20</v>
      </c>
      <c r="M205" s="20">
        <f>SUM(INDEX($S205:$BK205,M$5):INDEX($S205:$BK205,M$6))</f>
        <v>-24</v>
      </c>
      <c r="N205" s="20">
        <f>SUM(INDEX($S205:$BK205,N$5):INDEX($S205:$BK205,N$6))</f>
        <v>-24</v>
      </c>
      <c r="O205" s="20">
        <f>SUM(INDEX($S205:$BK205,O$5):INDEX($S205:$BK205,O$6))</f>
        <v>-27.5</v>
      </c>
      <c r="P205" s="20">
        <f>SUM(INDEX($S205:$BK205,P$5):INDEX($S205:$BK205,P$6))</f>
        <v>-50</v>
      </c>
      <c r="Q205" s="20">
        <f>SUM(INDEX($S205:$BK205,Q$5):INDEX($S205:$BK205,Q$6))</f>
        <v>-50</v>
      </c>
      <c r="R205" s="51"/>
      <c r="S205" s="180">
        <v>-2.5</v>
      </c>
      <c r="T205" s="180">
        <v>-2.5</v>
      </c>
      <c r="U205" s="180">
        <v>-2.5</v>
      </c>
      <c r="V205" s="180">
        <v>-2.5</v>
      </c>
      <c r="W205" s="180">
        <v>-2.5</v>
      </c>
      <c r="X205" s="180">
        <v>-2.5</v>
      </c>
      <c r="Y205" s="180">
        <v>-2.5</v>
      </c>
      <c r="Z205" s="180">
        <v>-2.5</v>
      </c>
      <c r="AA205" s="180">
        <v>-2.5</v>
      </c>
      <c r="AB205" s="180">
        <v>-2.5</v>
      </c>
      <c r="AC205" s="180">
        <v>-2.5</v>
      </c>
      <c r="AD205" s="180">
        <v>-2.5</v>
      </c>
      <c r="AE205" s="180">
        <v>-2.5</v>
      </c>
      <c r="AF205" s="180">
        <v>-3</v>
      </c>
      <c r="AG205" s="180">
        <v>-3</v>
      </c>
      <c r="AH205" s="180">
        <v>-3</v>
      </c>
      <c r="AI205" s="180">
        <v>-3</v>
      </c>
      <c r="AJ205" s="180">
        <v>-4</v>
      </c>
      <c r="AK205" s="180">
        <v>-4</v>
      </c>
      <c r="AL205" s="180">
        <v>-4</v>
      </c>
      <c r="AM205" s="180">
        <v>-5</v>
      </c>
      <c r="AN205" s="180">
        <v>-5</v>
      </c>
      <c r="AO205" s="180">
        <v>-5</v>
      </c>
      <c r="AP205" s="180">
        <v>-5</v>
      </c>
      <c r="AQ205" s="180">
        <v>-6</v>
      </c>
      <c r="AR205" s="180">
        <v>-6</v>
      </c>
      <c r="AS205" s="180">
        <v>-6</v>
      </c>
      <c r="AT205" s="180">
        <v>-6</v>
      </c>
      <c r="AU205" s="204">
        <v>-6</v>
      </c>
      <c r="AV205" s="204">
        <v>-6</v>
      </c>
      <c r="AW205" s="204">
        <v>-6</v>
      </c>
      <c r="AX205" s="204">
        <v>-6</v>
      </c>
      <c r="AY205" s="180">
        <v>-6.25</v>
      </c>
      <c r="AZ205" s="180">
        <v>-6.25</v>
      </c>
      <c r="BA205" s="180">
        <f>-6.25-1.25</f>
        <v>-7.5</v>
      </c>
      <c r="BB205" s="180">
        <f>-6.25-1.25</f>
        <v>-7.5</v>
      </c>
      <c r="BC205" s="180">
        <v>-12.5</v>
      </c>
      <c r="BD205" s="180">
        <v>-12.5</v>
      </c>
      <c r="BE205" s="180">
        <v>-12.5</v>
      </c>
      <c r="BF205" s="180">
        <v>-12.5</v>
      </c>
      <c r="BG205" s="180">
        <v>-12.5</v>
      </c>
      <c r="BH205" s="180">
        <v>-12.5</v>
      </c>
      <c r="BI205" s="180">
        <v>-12.5</v>
      </c>
      <c r="BJ205" s="180">
        <v>-12.5</v>
      </c>
      <c r="BK205" s="1"/>
      <c r="BL205" s="12"/>
      <c r="BM205" s="23">
        <f t="shared" si="283"/>
        <v>199</v>
      </c>
    </row>
    <row r="206" spans="1:71" ht="12.75" hidden="1" customHeight="1" outlineLevel="2">
      <c r="A206" s="118"/>
      <c r="B206" s="181" t="s">
        <v>397</v>
      </c>
      <c r="C206" s="1"/>
      <c r="D206" s="1"/>
      <c r="E206" s="20">
        <f>SUM(INDEX($S206:$BK206,E$5):INDEX($S206:$BK206,E$6))</f>
        <v>-485.11599999999999</v>
      </c>
      <c r="F206" s="20">
        <f>SUM(INDEX($S206:$BK206,F$5):INDEX($S206:$BK206,F$6))</f>
        <v>-485.11599999999999</v>
      </c>
      <c r="G206" s="20">
        <f>SUM(INDEX($S206:$BK206,G$5):INDEX($S206:$BK206,G$6))</f>
        <v>0</v>
      </c>
      <c r="H206" s="20">
        <f>SUM(INDEX($S206:$BK206,H$5):INDEX($S206:$BK206,H$6))</f>
        <v>0</v>
      </c>
      <c r="I206" s="20">
        <f>SUM(INDEX($S206:$BK206,I$5):INDEX($S206:$BK206,I$6))</f>
        <v>0</v>
      </c>
      <c r="J206" s="20">
        <f>SUM(INDEX($S206:$BK206,J$5):INDEX($S206:$BK206,J$6))</f>
        <v>0</v>
      </c>
      <c r="K206" s="20">
        <f>SUM(INDEX($S206:$BK206,K$5):INDEX($S206:$BK206,K$6))</f>
        <v>0</v>
      </c>
      <c r="L206" s="20">
        <f>SUM(INDEX($S206:$BK206,L$5):INDEX($S206:$BK206,L$6))</f>
        <v>0</v>
      </c>
      <c r="M206" s="20">
        <f>SUM(INDEX($S206:$BK206,M$5):INDEX($S206:$BK206,M$6))</f>
        <v>-2.894000000000001</v>
      </c>
      <c r="N206" s="20">
        <f>SUM(INDEX($S206:$BK206,N$5):INDEX($S206:$BK206,N$6))</f>
        <v>-307.22199999999998</v>
      </c>
      <c r="O206" s="20">
        <f>SUM(INDEX($S206:$BK206,O$5):INDEX($S206:$BK206,O$6))</f>
        <v>-175</v>
      </c>
      <c r="P206" s="20">
        <f>SUM(INDEX($S206:$BK206,P$5):INDEX($S206:$BK206,P$6))</f>
        <v>0</v>
      </c>
      <c r="Q206" s="20">
        <f>SUM(INDEX($S206:$BK206,Q$5):INDEX($S206:$BK206,Q$6))</f>
        <v>0</v>
      </c>
      <c r="R206" s="51"/>
      <c r="S206" s="178"/>
      <c r="T206" s="178"/>
      <c r="U206" s="178"/>
      <c r="V206" s="178"/>
      <c r="W206" s="178"/>
      <c r="X206" s="178"/>
      <c r="Y206" s="170"/>
      <c r="Z206" s="170"/>
      <c r="AA206" s="170"/>
      <c r="AB206" s="170"/>
      <c r="AC206" s="170"/>
      <c r="AD206" s="170"/>
      <c r="AE206" s="170"/>
      <c r="AF206" s="170"/>
      <c r="AG206" s="170"/>
      <c r="AH206" s="170"/>
      <c r="AI206" s="170"/>
      <c r="AJ206" s="170"/>
      <c r="AK206" s="170"/>
      <c r="AL206" s="170"/>
      <c r="AM206" s="170"/>
      <c r="AN206" s="170"/>
      <c r="AO206" s="170"/>
      <c r="AP206" s="170"/>
      <c r="AQ206" s="170"/>
      <c r="AR206" s="170"/>
      <c r="AS206" s="170"/>
      <c r="AT206" s="200">
        <f>+AT209-AT207</f>
        <v>-2.894000000000001</v>
      </c>
      <c r="AU206" s="200">
        <f>+AU209-AU207</f>
        <v>-3.2469999999999999</v>
      </c>
      <c r="AV206" s="200">
        <f>+AV209-AV207</f>
        <v>-122.72</v>
      </c>
      <c r="AW206" s="200">
        <f>+AW209-AW207</f>
        <v>-115.56800000000004</v>
      </c>
      <c r="AX206" s="200">
        <f>+AX209-AX207</f>
        <v>-65.686999999999983</v>
      </c>
      <c r="AY206" s="190">
        <f>SUM(AY213:AY216)</f>
        <v>-115</v>
      </c>
      <c r="AZ206" s="190">
        <f>SUM(AZ213:AZ216)</f>
        <v>-60</v>
      </c>
      <c r="BA206" s="190">
        <f>SUM(BA213:BA216)</f>
        <v>0</v>
      </c>
      <c r="BB206" s="180">
        <f t="shared" ref="BB206:BJ206" si="284">-50*(BB143-BA143)/1000</f>
        <v>0</v>
      </c>
      <c r="BC206" s="180">
        <f t="shared" si="284"/>
        <v>0</v>
      </c>
      <c r="BD206" s="180">
        <f t="shared" si="284"/>
        <v>0</v>
      </c>
      <c r="BE206" s="180">
        <f t="shared" si="284"/>
        <v>0</v>
      </c>
      <c r="BF206" s="180">
        <f t="shared" si="284"/>
        <v>0</v>
      </c>
      <c r="BG206" s="180">
        <f t="shared" si="284"/>
        <v>0</v>
      </c>
      <c r="BH206" s="180">
        <f t="shared" si="284"/>
        <v>0</v>
      </c>
      <c r="BI206" s="180">
        <f t="shared" si="284"/>
        <v>0</v>
      </c>
      <c r="BJ206" s="180">
        <f t="shared" si="284"/>
        <v>0</v>
      </c>
      <c r="BK206" s="1"/>
      <c r="BL206" s="12"/>
      <c r="BM206" s="23">
        <f t="shared" si="283"/>
        <v>200</v>
      </c>
    </row>
    <row r="207" spans="1:71" ht="12.75" hidden="1" customHeight="1" outlineLevel="2">
      <c r="A207" s="118"/>
      <c r="B207" s="181" t="s">
        <v>398</v>
      </c>
      <c r="C207" s="1"/>
      <c r="D207" s="1"/>
      <c r="E207" s="20">
        <f>SUM(INDEX($S207:$BK207,E$5):INDEX($S207:$BK207,E$6))</f>
        <v>-190.7</v>
      </c>
      <c r="F207" s="20">
        <f>SUM(INDEX($S207:$BK207,F$5):INDEX($S207:$BK207,F$6))</f>
        <v>-190.7</v>
      </c>
      <c r="G207" s="20">
        <f>SUM(INDEX($S207:$BK207,G$5):INDEX($S207:$BK207,G$6))</f>
        <v>0</v>
      </c>
      <c r="H207" s="20">
        <f>SUM(INDEX($S207:$BK207,H$5):INDEX($S207:$BK207,H$6))</f>
        <v>0</v>
      </c>
      <c r="I207" s="20">
        <f>SUM(INDEX($S207:$BK207,I$5):INDEX($S207:$BK207,I$6))</f>
        <v>0</v>
      </c>
      <c r="J207" s="20">
        <f>SUM(INDEX($S207:$BK207,J$5):INDEX($S207:$BK207,J$6))</f>
        <v>0</v>
      </c>
      <c r="K207" s="20">
        <f>SUM(INDEX($S207:$BK207,K$5):INDEX($S207:$BK207,K$6))</f>
        <v>0</v>
      </c>
      <c r="L207" s="20">
        <f>SUM(INDEX($S207:$BK207,L$5):INDEX($S207:$BK207,L$6))</f>
        <v>0</v>
      </c>
      <c r="M207" s="20">
        <f>SUM(INDEX($S207:$BK207,M$5):INDEX($S207:$BK207,M$6))</f>
        <v>-4.8</v>
      </c>
      <c r="N207" s="20">
        <f>SUM(INDEX($S207:$BK207,N$5):INDEX($S207:$BK207,N$6))</f>
        <v>-53.400000000000006</v>
      </c>
      <c r="O207" s="20">
        <f>SUM(INDEX($S207:$BK207,O$5):INDEX($S207:$BK207,O$6))</f>
        <v>-70</v>
      </c>
      <c r="P207" s="20">
        <f>SUM(INDEX($S207:$BK207,P$5):INDEX($S207:$BK207,P$6))</f>
        <v>-50</v>
      </c>
      <c r="Q207" s="20">
        <f>SUM(INDEX($S207:$BK207,Q$5):INDEX($S207:$BK207,Q$6))</f>
        <v>-12.5</v>
      </c>
      <c r="R207" s="51"/>
      <c r="S207" s="178"/>
      <c r="T207" s="178"/>
      <c r="U207" s="178"/>
      <c r="V207" s="178"/>
      <c r="W207" s="178"/>
      <c r="X207" s="178"/>
      <c r="Y207" s="170"/>
      <c r="Z207" s="170"/>
      <c r="AA207" s="170"/>
      <c r="AB207" s="170"/>
      <c r="AC207" s="170"/>
      <c r="AD207" s="170"/>
      <c r="AE207" s="170"/>
      <c r="AF207" s="170"/>
      <c r="AG207" s="170"/>
      <c r="AH207" s="170"/>
      <c r="AI207" s="170"/>
      <c r="AJ207" s="170"/>
      <c r="AK207" s="170"/>
      <c r="AL207" s="170"/>
      <c r="AM207" s="170"/>
      <c r="AN207" s="170"/>
      <c r="AO207" s="170"/>
      <c r="AP207" s="170"/>
      <c r="AQ207" s="170"/>
      <c r="AR207" s="170"/>
      <c r="AS207" s="170"/>
      <c r="AT207" s="204">
        <f>-1.2*(AT71-AS71)</f>
        <v>-4.8</v>
      </c>
      <c r="AU207" s="204">
        <f>-1.2*(AU71-AT71)</f>
        <v>-14.399999999999999</v>
      </c>
      <c r="AV207" s="206">
        <f>-1.3*(AV71-AU71)</f>
        <v>-6.5</v>
      </c>
      <c r="AW207" s="204">
        <f>-1.3*(AW71-AV71)</f>
        <v>-9.1</v>
      </c>
      <c r="AX207" s="204">
        <f>-1.8*(AX71-AW71)</f>
        <v>-23.400000000000002</v>
      </c>
      <c r="AY207" s="180">
        <f>-2.5*(AY71-AX71)-10</f>
        <v>-17.5</v>
      </c>
      <c r="AZ207" s="180">
        <f>-2.5*(AZ71-AY71)-10</f>
        <v>-27.5</v>
      </c>
      <c r="BA207" s="180">
        <f t="shared" ref="BA207:BJ207" si="285">-2.5*(BA71-AZ71)</f>
        <v>-12.5</v>
      </c>
      <c r="BB207" s="180">
        <f t="shared" si="285"/>
        <v>-12.5</v>
      </c>
      <c r="BC207" s="180">
        <f t="shared" si="285"/>
        <v>-12.5</v>
      </c>
      <c r="BD207" s="180">
        <f t="shared" si="285"/>
        <v>-12.5</v>
      </c>
      <c r="BE207" s="180">
        <f t="shared" si="285"/>
        <v>-12.5</v>
      </c>
      <c r="BF207" s="180">
        <f t="shared" si="285"/>
        <v>-12.5</v>
      </c>
      <c r="BG207" s="180">
        <f t="shared" si="285"/>
        <v>-12.5</v>
      </c>
      <c r="BH207" s="180">
        <f t="shared" si="285"/>
        <v>0</v>
      </c>
      <c r="BI207" s="180">
        <f t="shared" si="285"/>
        <v>0</v>
      </c>
      <c r="BJ207" s="180">
        <f t="shared" si="285"/>
        <v>0</v>
      </c>
      <c r="BK207" s="1"/>
      <c r="BL207" s="12"/>
      <c r="BM207" s="23">
        <f t="shared" si="283"/>
        <v>201</v>
      </c>
    </row>
    <row r="208" spans="1:71" ht="12.75" hidden="1" customHeight="1" outlineLevel="2">
      <c r="A208" s="118"/>
      <c r="B208" s="181" t="s">
        <v>47</v>
      </c>
      <c r="C208" s="1"/>
      <c r="D208" s="1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51"/>
      <c r="S208" s="178"/>
      <c r="T208" s="178"/>
      <c r="U208" s="178"/>
      <c r="V208" s="178"/>
      <c r="W208" s="178"/>
      <c r="X208" s="178"/>
      <c r="Y208" s="170"/>
      <c r="Z208" s="170"/>
      <c r="AA208" s="170"/>
      <c r="AB208" s="170"/>
      <c r="AC208" s="170"/>
      <c r="AD208" s="170"/>
      <c r="AE208" s="170"/>
      <c r="AF208" s="170"/>
      <c r="AG208" s="170"/>
      <c r="AH208" s="170"/>
      <c r="AI208" s="170"/>
      <c r="AJ208" s="170"/>
      <c r="AK208" s="170"/>
      <c r="AL208" s="170"/>
      <c r="AM208" s="170"/>
      <c r="AN208" s="170"/>
      <c r="AO208" s="170"/>
      <c r="AP208" s="170"/>
      <c r="AQ208" s="170"/>
      <c r="AR208" s="170"/>
      <c r="AS208" s="170"/>
      <c r="AT208" s="200"/>
      <c r="AU208" s="200"/>
      <c r="AV208" s="200"/>
      <c r="AW208" s="200"/>
      <c r="AX208" s="200"/>
      <c r="AY208" s="180">
        <v>-15</v>
      </c>
      <c r="AZ208" s="180">
        <v>-15</v>
      </c>
      <c r="BA208" s="180">
        <v>-15</v>
      </c>
      <c r="BB208" s="180">
        <v>-15</v>
      </c>
      <c r="BC208" s="180">
        <v>-2</v>
      </c>
      <c r="BD208" s="180">
        <v>-2</v>
      </c>
      <c r="BE208" s="180">
        <v>-2</v>
      </c>
      <c r="BF208" s="180">
        <v>-2</v>
      </c>
      <c r="BG208" s="180">
        <v>-2</v>
      </c>
      <c r="BH208" s="180">
        <v>-2</v>
      </c>
      <c r="BI208" s="180">
        <v>-2</v>
      </c>
      <c r="BJ208" s="180">
        <v>-2</v>
      </c>
      <c r="BK208" s="1"/>
      <c r="BL208" s="12"/>
      <c r="BM208" s="23">
        <f t="shared" si="283"/>
        <v>202</v>
      </c>
    </row>
    <row r="209" spans="1:65" ht="12.75" hidden="1" customHeight="1" outlineLevel="2">
      <c r="A209" s="118"/>
      <c r="B209" s="181" t="s">
        <v>399</v>
      </c>
      <c r="C209" s="1"/>
      <c r="D209" s="1"/>
      <c r="E209" s="20">
        <f>SUM(INDEX($S209:$BK209,E$5):INDEX($S209:$BK209,E$6))</f>
        <v>-1084.4829999999999</v>
      </c>
      <c r="F209" s="20">
        <f>SUM(INDEX($S209:$BK209,F$5):INDEX($S209:$BK209,F$6))</f>
        <v>-1084.4829999999999</v>
      </c>
      <c r="G209" s="20">
        <f>SUM(INDEX($S209:$BK209,G$5):INDEX($S209:$BK209,G$6))</f>
        <v>-5.2410000000000005</v>
      </c>
      <c r="H209" s="20">
        <f>SUM(INDEX($S209:$BK209,H$5):INDEX($S209:$BK209,H$6))</f>
        <v>-56.745000000000005</v>
      </c>
      <c r="I209" s="20">
        <f>SUM(INDEX($S209:$BK209,I$5):INDEX($S209:$BK209,I$6))</f>
        <v>-95.7</v>
      </c>
      <c r="J209" s="20">
        <f>SUM(INDEX($S209:$BK209,J$5):INDEX($S209:$BK209,J$6))</f>
        <v>-48.97</v>
      </c>
      <c r="K209" s="20">
        <f>SUM(INDEX($S209:$BK209,K$5):INDEX($S209:$BK209,K$6))</f>
        <v>-77.60899999999998</v>
      </c>
      <c r="L209" s="20">
        <f>SUM(INDEX($S209:$BK209,L$5):INDEX($S209:$BK209,L$6))</f>
        <v>-33.646000000000001</v>
      </c>
      <c r="M209" s="20">
        <f>SUM(INDEX($S209:$BK209,M$5):INDEX($S209:$BK209,M$6))</f>
        <v>-22.450000000000003</v>
      </c>
      <c r="N209" s="20">
        <f>SUM(INDEX($S209:$BK209,N$5):INDEX($S209:$BK209,N$6))</f>
        <v>-360.62200000000001</v>
      </c>
      <c r="O209" s="20">
        <f>SUM(INDEX($S209:$BK209,O$5):INDEX($S209:$BK209,O$6))</f>
        <v>-305</v>
      </c>
      <c r="P209" s="20">
        <f>SUM(INDEX($S209:$BK209,P$5):INDEX($S209:$BK209,P$6))</f>
        <v>-58</v>
      </c>
      <c r="Q209" s="20">
        <f>SUM(INDEX($S209:$BK209,Q$5):INDEX($S209:$BK209,Q$6))</f>
        <v>-20.5</v>
      </c>
      <c r="R209" s="51"/>
      <c r="S209" s="179">
        <f t="shared" ref="S209:AX209" si="286">+S236-S205</f>
        <v>-1.7709999999999999</v>
      </c>
      <c r="T209" s="179">
        <f t="shared" si="286"/>
        <v>-1.0899999999999999</v>
      </c>
      <c r="U209" s="179">
        <f t="shared" si="286"/>
        <v>5.9999999999993392E-3</v>
      </c>
      <c r="V209" s="179">
        <f t="shared" si="286"/>
        <v>-2.3860000000000001</v>
      </c>
      <c r="W209" s="179">
        <f t="shared" si="286"/>
        <v>-2.7990000000000004</v>
      </c>
      <c r="X209" s="179">
        <f t="shared" si="286"/>
        <v>-5.7319999999999993</v>
      </c>
      <c r="Y209" s="179">
        <f t="shared" si="286"/>
        <v>-12.722</v>
      </c>
      <c r="Z209" s="179">
        <f t="shared" si="286"/>
        <v>-35.492000000000004</v>
      </c>
      <c r="AA209" s="179">
        <f t="shared" si="286"/>
        <v>-12.486000000000001</v>
      </c>
      <c r="AB209" s="179">
        <f t="shared" si="286"/>
        <v>-21.757999999999999</v>
      </c>
      <c r="AC209" s="179">
        <f t="shared" si="286"/>
        <v>-33.123999999999995</v>
      </c>
      <c r="AD209" s="179">
        <f t="shared" si="286"/>
        <v>-28.332000000000011</v>
      </c>
      <c r="AE209" s="179">
        <f t="shared" si="286"/>
        <v>-20.2</v>
      </c>
      <c r="AF209" s="179">
        <f t="shared" si="286"/>
        <v>-5.5130000000000017</v>
      </c>
      <c r="AG209" s="179">
        <f t="shared" si="286"/>
        <v>-12.6</v>
      </c>
      <c r="AH209" s="179">
        <f t="shared" si="286"/>
        <v>-10.657</v>
      </c>
      <c r="AI209" s="179">
        <f t="shared" si="286"/>
        <v>-7.6059999999999999</v>
      </c>
      <c r="AJ209" s="179">
        <f t="shared" si="286"/>
        <v>-3.4049999999999994</v>
      </c>
      <c r="AK209" s="179">
        <f t="shared" si="286"/>
        <v>-29.564999999999998</v>
      </c>
      <c r="AL209" s="179">
        <f t="shared" si="286"/>
        <v>-37.032999999999994</v>
      </c>
      <c r="AM209" s="179">
        <f t="shared" si="286"/>
        <v>-8.3770000000000007</v>
      </c>
      <c r="AN209" s="179">
        <f t="shared" si="286"/>
        <v>-8.7509999999999994</v>
      </c>
      <c r="AO209" s="179">
        <f t="shared" si="286"/>
        <v>-6.0390000000000033</v>
      </c>
      <c r="AP209" s="179">
        <f t="shared" si="286"/>
        <v>-10.479000000000001</v>
      </c>
      <c r="AQ209" s="179">
        <f t="shared" si="286"/>
        <v>-6.7999999999999616E-2</v>
      </c>
      <c r="AR209" s="179">
        <f t="shared" si="286"/>
        <v>-11.32</v>
      </c>
      <c r="AS209" s="179">
        <f t="shared" si="286"/>
        <v>-3.3680000000000003</v>
      </c>
      <c r="AT209" s="179">
        <f t="shared" si="286"/>
        <v>-7.6940000000000008</v>
      </c>
      <c r="AU209" s="179">
        <f t="shared" si="286"/>
        <v>-17.646999999999998</v>
      </c>
      <c r="AV209" s="179">
        <f t="shared" si="286"/>
        <v>-129.22</v>
      </c>
      <c r="AW209" s="179">
        <f t="shared" si="286"/>
        <v>-124.66800000000003</v>
      </c>
      <c r="AX209" s="179">
        <f t="shared" si="286"/>
        <v>-89.086999999999989</v>
      </c>
      <c r="AY209" s="179">
        <f>SUM(AY206:AY208)</f>
        <v>-147.5</v>
      </c>
      <c r="AZ209" s="179">
        <f t="shared" ref="AZ209:BJ209" si="287">SUM(AZ206:AZ208)</f>
        <v>-102.5</v>
      </c>
      <c r="BA209" s="179">
        <f t="shared" si="287"/>
        <v>-27.5</v>
      </c>
      <c r="BB209" s="179">
        <f t="shared" si="287"/>
        <v>-27.5</v>
      </c>
      <c r="BC209" s="179">
        <f t="shared" si="287"/>
        <v>-14.5</v>
      </c>
      <c r="BD209" s="179">
        <f t="shared" si="287"/>
        <v>-14.5</v>
      </c>
      <c r="BE209" s="179">
        <f t="shared" si="287"/>
        <v>-14.5</v>
      </c>
      <c r="BF209" s="179">
        <f t="shared" si="287"/>
        <v>-14.5</v>
      </c>
      <c r="BG209" s="179">
        <f t="shared" si="287"/>
        <v>-14.5</v>
      </c>
      <c r="BH209" s="179">
        <f t="shared" si="287"/>
        <v>-2</v>
      </c>
      <c r="BI209" s="179">
        <f t="shared" si="287"/>
        <v>-2</v>
      </c>
      <c r="BJ209" s="179">
        <f t="shared" si="287"/>
        <v>-2</v>
      </c>
      <c r="BK209" s="1"/>
      <c r="BL209" s="12"/>
      <c r="BM209" s="23">
        <f t="shared" si="283"/>
        <v>203</v>
      </c>
    </row>
    <row r="210" spans="1:65" ht="12.75" hidden="1" customHeight="1" outlineLevel="2">
      <c r="A210" s="118"/>
      <c r="B210" s="181" t="s">
        <v>400</v>
      </c>
      <c r="C210" s="1"/>
      <c r="D210" s="1"/>
      <c r="E210" s="20">
        <f>SUM(INDEX($S210:$BK210,E$5):INDEX($S210:$BK210,E$6))</f>
        <v>-1336.4829999999999</v>
      </c>
      <c r="F210" s="20">
        <f>SUM(INDEX($S210:$BK210,F$5):INDEX($S210:$BK210,F$6))</f>
        <v>-1336.4829999999999</v>
      </c>
      <c r="G210" s="20">
        <f>SUM(INDEX($S210:$BK210,G$5):INDEX($S210:$BK210,G$6))</f>
        <v>-15.241</v>
      </c>
      <c r="H210" s="20">
        <f>SUM(INDEX($S210:$BK210,H$5):INDEX($S210:$BK210,H$6))</f>
        <v>-66.745000000000005</v>
      </c>
      <c r="I210" s="20">
        <f>SUM(INDEX($S210:$BK210,I$5):INDEX($S210:$BK210,I$6))</f>
        <v>-105.7</v>
      </c>
      <c r="J210" s="20">
        <f>SUM(INDEX($S210:$BK210,J$5):INDEX($S210:$BK210,J$6))</f>
        <v>-60.47</v>
      </c>
      <c r="K210" s="20">
        <f>SUM(INDEX($S210:$BK210,K$5):INDEX($S210:$BK210,K$6))</f>
        <v>-92.60899999999998</v>
      </c>
      <c r="L210" s="20">
        <f>SUM(INDEX($S210:$BK210,L$5):INDEX($S210:$BK210,L$6))</f>
        <v>-53.646000000000001</v>
      </c>
      <c r="M210" s="20">
        <f>SUM(INDEX($S210:$BK210,M$5):INDEX($S210:$BK210,M$6))</f>
        <v>-46.45</v>
      </c>
      <c r="N210" s="20">
        <f>SUM(INDEX($S210:$BK210,N$5):INDEX($S210:$BK210,N$6))</f>
        <v>-384.62200000000001</v>
      </c>
      <c r="O210" s="20">
        <f>SUM(INDEX($S210:$BK210,O$5):INDEX($S210:$BK210,O$6))</f>
        <v>-332.5</v>
      </c>
      <c r="P210" s="20">
        <f>SUM(INDEX($S210:$BK210,P$5):INDEX($S210:$BK210,P$6))</f>
        <v>-108</v>
      </c>
      <c r="Q210" s="20">
        <f>SUM(INDEX($S210:$BK210,Q$5):INDEX($S210:$BK210,Q$6))</f>
        <v>-70.5</v>
      </c>
      <c r="R210" s="51"/>
      <c r="S210" s="12">
        <f>S236</f>
        <v>-4.2709999999999999</v>
      </c>
      <c r="T210" s="12">
        <f t="shared" ref="T210:AS210" si="288">T236</f>
        <v>-3.59</v>
      </c>
      <c r="U210" s="12">
        <f t="shared" si="288"/>
        <v>-2.4940000000000007</v>
      </c>
      <c r="V210" s="12">
        <f t="shared" si="288"/>
        <v>-4.8860000000000001</v>
      </c>
      <c r="W210" s="12">
        <f t="shared" si="288"/>
        <v>-5.2990000000000004</v>
      </c>
      <c r="X210" s="12">
        <f t="shared" si="288"/>
        <v>-8.2319999999999993</v>
      </c>
      <c r="Y210" s="12">
        <f t="shared" si="288"/>
        <v>-15.222</v>
      </c>
      <c r="Z210" s="12">
        <f t="shared" si="288"/>
        <v>-37.992000000000004</v>
      </c>
      <c r="AA210" s="12">
        <f t="shared" si="288"/>
        <v>-14.986000000000001</v>
      </c>
      <c r="AB210" s="12">
        <f t="shared" si="288"/>
        <v>-24.257999999999999</v>
      </c>
      <c r="AC210" s="12">
        <f t="shared" si="288"/>
        <v>-35.623999999999995</v>
      </c>
      <c r="AD210" s="12">
        <f t="shared" si="288"/>
        <v>-30.832000000000011</v>
      </c>
      <c r="AE210" s="12">
        <f t="shared" si="288"/>
        <v>-22.7</v>
      </c>
      <c r="AF210" s="12">
        <f t="shared" si="288"/>
        <v>-8.5130000000000017</v>
      </c>
      <c r="AG210" s="12">
        <f t="shared" si="288"/>
        <v>-15.6</v>
      </c>
      <c r="AH210" s="12">
        <f t="shared" si="288"/>
        <v>-13.657</v>
      </c>
      <c r="AI210" s="12">
        <f t="shared" si="288"/>
        <v>-10.606</v>
      </c>
      <c r="AJ210" s="12">
        <f t="shared" si="288"/>
        <v>-7.4049999999999994</v>
      </c>
      <c r="AK210" s="12">
        <f t="shared" si="288"/>
        <v>-33.564999999999998</v>
      </c>
      <c r="AL210" s="12">
        <f t="shared" si="288"/>
        <v>-41.032999999999994</v>
      </c>
      <c r="AM210" s="12">
        <f t="shared" si="288"/>
        <v>-13.377000000000001</v>
      </c>
      <c r="AN210" s="12">
        <f t="shared" si="288"/>
        <v>-13.750999999999999</v>
      </c>
      <c r="AO210" s="12">
        <f t="shared" si="288"/>
        <v>-11.039000000000003</v>
      </c>
      <c r="AP210" s="12">
        <f t="shared" si="288"/>
        <v>-15.479000000000001</v>
      </c>
      <c r="AQ210" s="12">
        <f t="shared" si="288"/>
        <v>-6.0679999999999996</v>
      </c>
      <c r="AR210" s="12">
        <f t="shared" si="288"/>
        <v>-17.32</v>
      </c>
      <c r="AS210" s="12">
        <f t="shared" si="288"/>
        <v>-9.3680000000000003</v>
      </c>
      <c r="AT210" s="12">
        <f>AT236</f>
        <v>-13.694000000000001</v>
      </c>
      <c r="AU210" s="12">
        <f>AU236</f>
        <v>-23.646999999999998</v>
      </c>
      <c r="AV210" s="12">
        <f>AV236</f>
        <v>-135.22</v>
      </c>
      <c r="AW210" s="12">
        <f>AW236</f>
        <v>-130.66800000000003</v>
      </c>
      <c r="AX210" s="12">
        <f>AX236</f>
        <v>-95.086999999999989</v>
      </c>
      <c r="AY210" s="12">
        <f t="shared" ref="AY210:BJ210" si="289">+AY209+AY205</f>
        <v>-153.75</v>
      </c>
      <c r="AZ210" s="12">
        <f t="shared" si="289"/>
        <v>-108.75</v>
      </c>
      <c r="BA210" s="12">
        <f t="shared" si="289"/>
        <v>-35</v>
      </c>
      <c r="BB210" s="12">
        <f t="shared" si="289"/>
        <v>-35</v>
      </c>
      <c r="BC210" s="12">
        <f t="shared" si="289"/>
        <v>-27</v>
      </c>
      <c r="BD210" s="12">
        <f t="shared" si="289"/>
        <v>-27</v>
      </c>
      <c r="BE210" s="12">
        <f t="shared" si="289"/>
        <v>-27</v>
      </c>
      <c r="BF210" s="12">
        <f t="shared" si="289"/>
        <v>-27</v>
      </c>
      <c r="BG210" s="12">
        <f t="shared" si="289"/>
        <v>-27</v>
      </c>
      <c r="BH210" s="12">
        <f t="shared" si="289"/>
        <v>-14.5</v>
      </c>
      <c r="BI210" s="12">
        <f t="shared" si="289"/>
        <v>-14.5</v>
      </c>
      <c r="BJ210" s="12">
        <f t="shared" si="289"/>
        <v>-14.5</v>
      </c>
      <c r="BK210" s="1"/>
      <c r="BL210" s="12"/>
      <c r="BM210" s="23">
        <f t="shared" si="283"/>
        <v>204</v>
      </c>
    </row>
    <row r="211" spans="1:65" ht="12.75" hidden="1" customHeight="1" outlineLevel="2">
      <c r="A211" s="118"/>
      <c r="B211" s="181"/>
      <c r="C211" s="1"/>
      <c r="D211" s="1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51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  <c r="AC211" s="12"/>
      <c r="AD211" s="12"/>
      <c r="AE211" s="12"/>
      <c r="AF211" s="12"/>
      <c r="AG211" s="12"/>
      <c r="AH211" s="12"/>
      <c r="AI211" s="12"/>
      <c r="AJ211" s="12"/>
      <c r="AK211" s="12"/>
      <c r="AL211" s="12"/>
      <c r="AM211" s="12"/>
      <c r="AN211" s="12"/>
      <c r="AO211" s="12"/>
      <c r="AP211" s="12"/>
      <c r="AQ211" s="12"/>
      <c r="AR211" s="12"/>
      <c r="AS211" s="12"/>
      <c r="AT211" s="12"/>
      <c r="AU211" s="12"/>
      <c r="AV211" s="12"/>
      <c r="AW211" s="12"/>
      <c r="AX211" s="12"/>
      <c r="AY211" s="12"/>
      <c r="AZ211" s="12"/>
      <c r="BA211" s="12"/>
      <c r="BB211" s="12"/>
      <c r="BC211" s="12"/>
      <c r="BD211" s="12"/>
      <c r="BE211" s="12"/>
      <c r="BF211" s="12"/>
      <c r="BG211" s="12"/>
      <c r="BH211" s="12"/>
      <c r="BI211" s="12"/>
      <c r="BJ211" s="12"/>
      <c r="BK211" s="1"/>
      <c r="BL211" s="12"/>
      <c r="BM211" s="23">
        <f t="shared" si="283"/>
        <v>205</v>
      </c>
    </row>
    <row r="212" spans="1:65" ht="12.75" hidden="1" customHeight="1" outlineLevel="2">
      <c r="A212" s="118"/>
      <c r="B212" s="181" t="s">
        <v>427</v>
      </c>
      <c r="C212" s="1"/>
      <c r="D212" s="1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51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  <c r="AC212" s="12"/>
      <c r="AD212" s="12"/>
      <c r="AE212" s="12"/>
      <c r="AF212" s="12"/>
      <c r="AG212" s="12"/>
      <c r="AH212" s="12"/>
      <c r="AI212" s="12"/>
      <c r="AJ212" s="12"/>
      <c r="AK212" s="12"/>
      <c r="AL212" s="12"/>
      <c r="AM212" s="12"/>
      <c r="AN212" s="12"/>
      <c r="AO212" s="12"/>
      <c r="AP212" s="12"/>
      <c r="AQ212" s="12"/>
      <c r="AR212" s="12"/>
      <c r="AS212" s="12"/>
      <c r="AT212" s="12"/>
      <c r="AU212" s="12"/>
      <c r="AV212" s="12"/>
      <c r="AW212" s="12"/>
      <c r="AX212" s="12"/>
      <c r="AY212" s="12"/>
      <c r="AZ212" s="12"/>
      <c r="BA212" s="12"/>
      <c r="BB212" s="12"/>
      <c r="BC212" s="12"/>
      <c r="BD212" s="12"/>
      <c r="BE212" s="12"/>
      <c r="BF212" s="12"/>
      <c r="BG212" s="12"/>
      <c r="BH212" s="12"/>
      <c r="BI212" s="12"/>
      <c r="BJ212" s="12"/>
      <c r="BK212" s="1"/>
      <c r="BL212" s="12"/>
      <c r="BM212" s="23">
        <f t="shared" si="283"/>
        <v>206</v>
      </c>
    </row>
    <row r="213" spans="1:65" ht="12.75" hidden="1" customHeight="1" outlineLevel="2">
      <c r="A213" s="118"/>
      <c r="B213" s="243" t="s">
        <v>425</v>
      </c>
      <c r="C213" s="1"/>
      <c r="D213" s="1"/>
      <c r="E213" s="20"/>
      <c r="F213" s="20"/>
      <c r="G213" s="20"/>
      <c r="H213" s="20"/>
      <c r="I213" s="20">
        <f>SUM(INDEX($S213:$BK213,I$5):INDEX($S213:$BK213,I$6))</f>
        <v>0</v>
      </c>
      <c r="J213" s="20">
        <f>SUM(INDEX($S213:$BK213,J$5):INDEX($S213:$BK213,J$6))</f>
        <v>0</v>
      </c>
      <c r="K213" s="20">
        <f>SUM(INDEX($S213:$BK213,K$5):INDEX($S213:$BK213,K$6))</f>
        <v>0</v>
      </c>
      <c r="L213" s="20">
        <f>SUM(INDEX($S213:$BK213,L$5):INDEX($S213:$BK213,L$6))</f>
        <v>0</v>
      </c>
      <c r="M213" s="20">
        <f>SUM(INDEX($S213:$BK213,M$5):INDEX($S213:$BK213,M$6))</f>
        <v>0</v>
      </c>
      <c r="N213" s="20">
        <f>SUM(INDEX($S213:$BK213,N$5):INDEX($S213:$BK213,N$6))</f>
        <v>0</v>
      </c>
      <c r="O213" s="20">
        <f>SUM(INDEX($S213:$BK213,O$5):INDEX($S213:$BK213,O$6))</f>
        <v>-40</v>
      </c>
      <c r="P213" s="20">
        <f>SUM(INDEX($S213:$BK213,P$5):INDEX($S213:$BK213,P$6))</f>
        <v>0</v>
      </c>
      <c r="Q213" s="20">
        <f>SUM(INDEX($S213:$BK213,Q$5):INDEX($S213:$BK213,Q$6))</f>
        <v>0</v>
      </c>
      <c r="R213" s="51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  <c r="AC213" s="12"/>
      <c r="AD213" s="12"/>
      <c r="AE213" s="12"/>
      <c r="AF213" s="12"/>
      <c r="AG213" s="12"/>
      <c r="AH213" s="12"/>
      <c r="AI213" s="12"/>
      <c r="AJ213" s="12"/>
      <c r="AK213" s="12"/>
      <c r="AL213" s="12"/>
      <c r="AM213" s="12"/>
      <c r="AN213" s="12"/>
      <c r="AO213" s="12"/>
      <c r="AP213" s="12"/>
      <c r="AQ213" s="12"/>
      <c r="AR213" s="12"/>
      <c r="AS213" s="12"/>
      <c r="AT213" s="12"/>
      <c r="AU213" s="12"/>
      <c r="AV213" s="12"/>
      <c r="AW213" s="12"/>
      <c r="AX213" s="12"/>
      <c r="AY213" s="184">
        <v>-35</v>
      </c>
      <c r="AZ213" s="184">
        <f t="shared" ref="AZ213:BJ213" si="290">-25*(SUM(AZ131:AZ134,AZ137,AZ139:AZ141)-SUM(AY131:AY134,AY137,AY139:AY141))/1000</f>
        <v>-5</v>
      </c>
      <c r="BA213" s="184">
        <f t="shared" si="290"/>
        <v>0</v>
      </c>
      <c r="BB213" s="184">
        <f t="shared" si="290"/>
        <v>0</v>
      </c>
      <c r="BC213" s="184">
        <f t="shared" si="290"/>
        <v>0</v>
      </c>
      <c r="BD213" s="184">
        <f t="shared" si="290"/>
        <v>0</v>
      </c>
      <c r="BE213" s="184">
        <f t="shared" si="290"/>
        <v>0</v>
      </c>
      <c r="BF213" s="184">
        <f t="shared" si="290"/>
        <v>0</v>
      </c>
      <c r="BG213" s="184">
        <f t="shared" si="290"/>
        <v>0</v>
      </c>
      <c r="BH213" s="184">
        <f t="shared" si="290"/>
        <v>0</v>
      </c>
      <c r="BI213" s="184">
        <f t="shared" si="290"/>
        <v>0</v>
      </c>
      <c r="BJ213" s="184">
        <f t="shared" si="290"/>
        <v>0</v>
      </c>
      <c r="BK213" s="1"/>
      <c r="BL213" s="12"/>
      <c r="BM213" s="23">
        <f t="shared" si="283"/>
        <v>207</v>
      </c>
    </row>
    <row r="214" spans="1:65" ht="12.75" hidden="1" customHeight="1" outlineLevel="2">
      <c r="A214" s="118"/>
      <c r="B214" s="243" t="s">
        <v>423</v>
      </c>
      <c r="C214" s="1"/>
      <c r="D214" s="1"/>
      <c r="E214" s="20"/>
      <c r="F214" s="20"/>
      <c r="G214" s="20"/>
      <c r="H214" s="20"/>
      <c r="I214" s="20">
        <f>SUM(INDEX($S214:$BK214,I$5):INDEX($S214:$BK214,I$6))</f>
        <v>0</v>
      </c>
      <c r="J214" s="20">
        <f>SUM(INDEX($S214:$BK214,J$5):INDEX($S214:$BK214,J$6))</f>
        <v>0</v>
      </c>
      <c r="K214" s="20">
        <f>SUM(INDEX($S214:$BK214,K$5):INDEX($S214:$BK214,K$6))</f>
        <v>0</v>
      </c>
      <c r="L214" s="20">
        <f>SUM(INDEX($S214:$BK214,L$5):INDEX($S214:$BK214,L$6))</f>
        <v>0</v>
      </c>
      <c r="M214" s="20">
        <f>SUM(INDEX($S214:$BK214,M$5):INDEX($S214:$BK214,M$6))</f>
        <v>0</v>
      </c>
      <c r="N214" s="20">
        <f>SUM(INDEX($S214:$BK214,N$5):INDEX($S214:$BK214,N$6))</f>
        <v>0</v>
      </c>
      <c r="O214" s="20">
        <f>SUM(INDEX($S214:$BK214,O$5):INDEX($S214:$BK214,O$6))</f>
        <v>-65</v>
      </c>
      <c r="P214" s="20">
        <f>SUM(INDEX($S214:$BK214,P$5):INDEX($S214:$BK214,P$6))</f>
        <v>0</v>
      </c>
      <c r="Q214" s="20">
        <f>SUM(INDEX($S214:$BK214,Q$5):INDEX($S214:$BK214,Q$6))</f>
        <v>0</v>
      </c>
      <c r="R214" s="51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  <c r="AC214" s="12"/>
      <c r="AD214" s="12"/>
      <c r="AE214" s="12"/>
      <c r="AF214" s="12"/>
      <c r="AG214" s="12"/>
      <c r="AH214" s="12"/>
      <c r="AI214" s="12"/>
      <c r="AJ214" s="12"/>
      <c r="AK214" s="12"/>
      <c r="AL214" s="12"/>
      <c r="AM214" s="12"/>
      <c r="AN214" s="12"/>
      <c r="AO214" s="12"/>
      <c r="AP214" s="12"/>
      <c r="AQ214" s="12"/>
      <c r="AR214" s="12"/>
      <c r="AS214" s="12"/>
      <c r="AT214" s="12"/>
      <c r="AU214" s="12"/>
      <c r="AV214" s="12"/>
      <c r="AW214" s="12"/>
      <c r="AX214" s="12"/>
      <c r="AY214" s="184">
        <v>-65</v>
      </c>
      <c r="AZ214" s="184">
        <v>0</v>
      </c>
      <c r="BA214" s="184">
        <v>0</v>
      </c>
      <c r="BB214" s="184">
        <v>0</v>
      </c>
      <c r="BC214" s="184">
        <v>0</v>
      </c>
      <c r="BD214" s="184">
        <v>0</v>
      </c>
      <c r="BE214" s="184">
        <v>0</v>
      </c>
      <c r="BF214" s="184">
        <v>0</v>
      </c>
      <c r="BG214" s="184">
        <v>0</v>
      </c>
      <c r="BH214" s="184">
        <v>0</v>
      </c>
      <c r="BI214" s="184">
        <v>0</v>
      </c>
      <c r="BJ214" s="184">
        <v>0</v>
      </c>
      <c r="BK214" s="1"/>
      <c r="BL214" s="12"/>
      <c r="BM214" s="23">
        <f t="shared" si="283"/>
        <v>208</v>
      </c>
    </row>
    <row r="215" spans="1:65" ht="12.75" hidden="1" customHeight="1" outlineLevel="2">
      <c r="A215" s="118"/>
      <c r="B215" s="243" t="s">
        <v>426</v>
      </c>
      <c r="C215" s="1"/>
      <c r="D215" s="1"/>
      <c r="E215" s="20"/>
      <c r="F215" s="20"/>
      <c r="G215" s="20"/>
      <c r="H215" s="20"/>
      <c r="I215" s="20">
        <f>SUM(INDEX($S215:$BK215,I$5):INDEX($S215:$BK215,I$6))</f>
        <v>0</v>
      </c>
      <c r="J215" s="20">
        <f>SUM(INDEX($S215:$BK215,J$5):INDEX($S215:$BK215,J$6))</f>
        <v>0</v>
      </c>
      <c r="K215" s="20">
        <f>SUM(INDEX($S215:$BK215,K$5):INDEX($S215:$BK215,K$6))</f>
        <v>0</v>
      </c>
      <c r="L215" s="20">
        <f>SUM(INDEX($S215:$BK215,L$5):INDEX($S215:$BK215,L$6))</f>
        <v>0</v>
      </c>
      <c r="M215" s="20">
        <f>SUM(INDEX($S215:$BK215,M$5):INDEX($S215:$BK215,M$6))</f>
        <v>0</v>
      </c>
      <c r="N215" s="20">
        <f>SUM(INDEX($S215:$BK215,N$5):INDEX($S215:$BK215,N$6))</f>
        <v>0</v>
      </c>
      <c r="O215" s="20">
        <f>SUM(INDEX($S215:$BK215,O$5):INDEX($S215:$BK215,O$6))</f>
        <v>-65</v>
      </c>
      <c r="P215" s="20">
        <f>SUM(INDEX($S215:$BK215,P$5):INDEX($S215:$BK215,P$6))</f>
        <v>0</v>
      </c>
      <c r="Q215" s="20">
        <f>SUM(INDEX($S215:$BK215,Q$5):INDEX($S215:$BK215,Q$6))</f>
        <v>0</v>
      </c>
      <c r="R215" s="51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  <c r="AC215" s="12"/>
      <c r="AD215" s="12"/>
      <c r="AE215" s="12"/>
      <c r="AF215" s="12"/>
      <c r="AG215" s="12"/>
      <c r="AH215" s="12"/>
      <c r="AI215" s="12"/>
      <c r="AJ215" s="12"/>
      <c r="AK215" s="12"/>
      <c r="AL215" s="12"/>
      <c r="AM215" s="12"/>
      <c r="AN215" s="12"/>
      <c r="AO215" s="12"/>
      <c r="AP215" s="12"/>
      <c r="AQ215" s="12"/>
      <c r="AR215" s="12"/>
      <c r="AS215" s="12"/>
      <c r="AT215" s="12"/>
      <c r="AU215" s="12"/>
      <c r="AV215" s="12"/>
      <c r="AW215" s="12"/>
      <c r="AX215" s="12"/>
      <c r="AY215" s="184">
        <f>-65-AZ215</f>
        <v>-15</v>
      </c>
      <c r="AZ215" s="184">
        <v>-50</v>
      </c>
      <c r="BA215" s="184">
        <v>0</v>
      </c>
      <c r="BB215" s="184">
        <v>0</v>
      </c>
      <c r="BC215" s="184">
        <v>0</v>
      </c>
      <c r="BD215" s="184">
        <v>0</v>
      </c>
      <c r="BE215" s="184">
        <v>0</v>
      </c>
      <c r="BF215" s="184">
        <v>0</v>
      </c>
      <c r="BG215" s="184">
        <v>0</v>
      </c>
      <c r="BH215" s="184">
        <v>0</v>
      </c>
      <c r="BI215" s="184">
        <v>0</v>
      </c>
      <c r="BJ215" s="184">
        <v>0</v>
      </c>
      <c r="BK215" s="1"/>
      <c r="BL215" s="12"/>
      <c r="BM215" s="23">
        <f t="shared" si="283"/>
        <v>209</v>
      </c>
    </row>
    <row r="216" spans="1:65" ht="12.75" hidden="1" customHeight="1" outlineLevel="2">
      <c r="A216" s="118"/>
      <c r="B216" s="243" t="s">
        <v>424</v>
      </c>
      <c r="C216" s="1"/>
      <c r="D216" s="1"/>
      <c r="E216" s="20"/>
      <c r="F216" s="20"/>
      <c r="G216" s="20"/>
      <c r="H216" s="20"/>
      <c r="I216" s="20">
        <f>SUM(INDEX($S216:$BK216,I$5):INDEX($S216:$BK216,I$6))</f>
        <v>0</v>
      </c>
      <c r="J216" s="20">
        <f>SUM(INDEX($S216:$BK216,J$5):INDEX($S216:$BK216,J$6))</f>
        <v>0</v>
      </c>
      <c r="K216" s="20">
        <f>SUM(INDEX($S216:$BK216,K$5):INDEX($S216:$BK216,K$6))</f>
        <v>0</v>
      </c>
      <c r="L216" s="20">
        <f>SUM(INDEX($S216:$BK216,L$5):INDEX($S216:$BK216,L$6))</f>
        <v>0</v>
      </c>
      <c r="M216" s="20">
        <f>SUM(INDEX($S216:$BK216,M$5):INDEX($S216:$BK216,M$6))</f>
        <v>0</v>
      </c>
      <c r="N216" s="20">
        <f>SUM(INDEX($S216:$BK216,N$5):INDEX($S216:$BK216,N$6))</f>
        <v>0</v>
      </c>
      <c r="O216" s="20">
        <f>SUM(INDEX($S216:$BK216,O$5):INDEX($S216:$BK216,O$6))</f>
        <v>-5</v>
      </c>
      <c r="P216" s="20">
        <f>SUM(INDEX($S216:$BK216,P$5):INDEX($S216:$BK216,P$6))</f>
        <v>0</v>
      </c>
      <c r="Q216" s="20">
        <f>SUM(INDEX($S216:$BK216,Q$5):INDEX($S216:$BK216,Q$6))</f>
        <v>0</v>
      </c>
      <c r="R216" s="51"/>
      <c r="S216" s="12"/>
      <c r="T216" s="12"/>
      <c r="U216" s="12"/>
      <c r="V216" s="12"/>
      <c r="W216" s="12"/>
      <c r="X216" s="12"/>
      <c r="Y216" s="12"/>
      <c r="Z216" s="12"/>
      <c r="AA216" s="12"/>
      <c r="AB216" s="12"/>
      <c r="AC216" s="12"/>
      <c r="AD216" s="12"/>
      <c r="AE216" s="12"/>
      <c r="AF216" s="12"/>
      <c r="AG216" s="12"/>
      <c r="AH216" s="12"/>
      <c r="AI216" s="12"/>
      <c r="AJ216" s="12"/>
      <c r="AK216" s="12"/>
      <c r="AL216" s="12"/>
      <c r="AM216" s="12"/>
      <c r="AN216" s="12"/>
      <c r="AO216" s="12"/>
      <c r="AP216" s="12"/>
      <c r="AQ216" s="12"/>
      <c r="AR216" s="12"/>
      <c r="AS216" s="12"/>
      <c r="AT216" s="12"/>
      <c r="AU216" s="12"/>
      <c r="AV216" s="12"/>
      <c r="AW216" s="12"/>
      <c r="AX216" s="12"/>
      <c r="AY216" s="184">
        <v>0</v>
      </c>
      <c r="AZ216" s="184">
        <v>-5</v>
      </c>
      <c r="BA216" s="184">
        <v>0</v>
      </c>
      <c r="BB216" s="184">
        <v>0</v>
      </c>
      <c r="BC216" s="184">
        <v>0</v>
      </c>
      <c r="BD216" s="184">
        <v>0</v>
      </c>
      <c r="BE216" s="184">
        <v>0</v>
      </c>
      <c r="BF216" s="184">
        <v>0</v>
      </c>
      <c r="BG216" s="184">
        <v>0</v>
      </c>
      <c r="BH216" s="184">
        <v>0</v>
      </c>
      <c r="BI216" s="184">
        <v>0</v>
      </c>
      <c r="BJ216" s="184">
        <v>0</v>
      </c>
      <c r="BK216" s="1"/>
      <c r="BL216" s="12"/>
      <c r="BM216" s="23">
        <f t="shared" si="283"/>
        <v>210</v>
      </c>
    </row>
    <row r="217" spans="1:65" ht="12.75" hidden="1" customHeight="1" outlineLevel="2">
      <c r="A217" s="118"/>
      <c r="B217" s="42"/>
      <c r="C217" s="1"/>
      <c r="D217" s="1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5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2"/>
      <c r="BM217" s="23">
        <f t="shared" si="283"/>
        <v>211</v>
      </c>
    </row>
    <row r="218" spans="1:65" ht="12.75" customHeight="1" collapsed="1">
      <c r="A218" s="118" t="s">
        <v>29</v>
      </c>
      <c r="B218" s="19" t="s">
        <v>40</v>
      </c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5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91"/>
      <c r="BM218" s="23">
        <f t="shared" si="283"/>
        <v>212</v>
      </c>
    </row>
    <row r="219" spans="1:65" ht="12.75" customHeight="1" outlineLevel="1">
      <c r="A219" s="118"/>
      <c r="B219" s="30" t="s">
        <v>2</v>
      </c>
      <c r="C219" s="4">
        <f t="shared" ref="C219:Q219" si="291">C$7</f>
        <v>2006</v>
      </c>
      <c r="D219" s="4">
        <f t="shared" si="291"/>
        <v>2007</v>
      </c>
      <c r="E219" s="4">
        <f t="shared" si="291"/>
        <v>2008</v>
      </c>
      <c r="F219" s="4">
        <f t="shared" si="291"/>
        <v>2009</v>
      </c>
      <c r="G219" s="4">
        <f t="shared" si="291"/>
        <v>2010</v>
      </c>
      <c r="H219" s="4">
        <f t="shared" si="291"/>
        <v>2011</v>
      </c>
      <c r="I219" s="4">
        <f t="shared" si="291"/>
        <v>2012</v>
      </c>
      <c r="J219" s="4">
        <f t="shared" si="291"/>
        <v>2013</v>
      </c>
      <c r="K219" s="4">
        <f t="shared" si="291"/>
        <v>2014</v>
      </c>
      <c r="L219" s="4">
        <f t="shared" si="291"/>
        <v>2015</v>
      </c>
      <c r="M219" s="4">
        <f t="shared" si="291"/>
        <v>2016</v>
      </c>
      <c r="N219" s="4">
        <f t="shared" si="291"/>
        <v>2017</v>
      </c>
      <c r="O219" s="4" t="str">
        <f t="shared" si="291"/>
        <v>2018E</v>
      </c>
      <c r="P219" s="4" t="str">
        <f t="shared" si="291"/>
        <v>2019E</v>
      </c>
      <c r="Q219" s="4" t="str">
        <f t="shared" si="291"/>
        <v>2020E</v>
      </c>
      <c r="R219" s="51"/>
      <c r="S219" s="4" t="str">
        <f t="shared" ref="S219:BJ219" si="292">S$7</f>
        <v>1Q10</v>
      </c>
      <c r="T219" s="4" t="str">
        <f t="shared" si="292"/>
        <v>2Q10</v>
      </c>
      <c r="U219" s="4" t="str">
        <f t="shared" si="292"/>
        <v>3Q10</v>
      </c>
      <c r="V219" s="4" t="str">
        <f t="shared" si="292"/>
        <v>4Q10</v>
      </c>
      <c r="W219" s="4" t="str">
        <f t="shared" si="292"/>
        <v>1Q11</v>
      </c>
      <c r="X219" s="4" t="str">
        <f t="shared" si="292"/>
        <v>2Q11</v>
      </c>
      <c r="Y219" s="4" t="str">
        <f t="shared" si="292"/>
        <v>3Q11</v>
      </c>
      <c r="Z219" s="4" t="str">
        <f t="shared" si="292"/>
        <v>4Q11</v>
      </c>
      <c r="AA219" s="4" t="str">
        <f t="shared" si="292"/>
        <v>1Q12</v>
      </c>
      <c r="AB219" s="4" t="str">
        <f t="shared" si="292"/>
        <v>2Q12</v>
      </c>
      <c r="AC219" s="4" t="str">
        <f t="shared" si="292"/>
        <v>3Q12</v>
      </c>
      <c r="AD219" s="4" t="str">
        <f t="shared" si="292"/>
        <v>4Q12</v>
      </c>
      <c r="AE219" s="4" t="str">
        <f t="shared" si="292"/>
        <v>1Q13</v>
      </c>
      <c r="AF219" s="4" t="str">
        <f t="shared" si="292"/>
        <v>2Q13</v>
      </c>
      <c r="AG219" s="4" t="str">
        <f t="shared" si="292"/>
        <v>3Q13</v>
      </c>
      <c r="AH219" s="4" t="str">
        <f t="shared" si="292"/>
        <v>4Q13</v>
      </c>
      <c r="AI219" s="4" t="str">
        <f t="shared" si="292"/>
        <v>1Q14</v>
      </c>
      <c r="AJ219" s="68" t="str">
        <f t="shared" si="292"/>
        <v>2Q14</v>
      </c>
      <c r="AK219" s="68" t="str">
        <f t="shared" si="292"/>
        <v>3Q14</v>
      </c>
      <c r="AL219" s="68" t="str">
        <f t="shared" si="292"/>
        <v>4Q14</v>
      </c>
      <c r="AM219" s="68" t="str">
        <f t="shared" si="292"/>
        <v>1Q15</v>
      </c>
      <c r="AN219" s="68" t="str">
        <f t="shared" si="292"/>
        <v>2Q15</v>
      </c>
      <c r="AO219" s="68" t="str">
        <f t="shared" si="292"/>
        <v>3Q15</v>
      </c>
      <c r="AP219" s="68" t="str">
        <f t="shared" si="292"/>
        <v>4Q15</v>
      </c>
      <c r="AQ219" s="68" t="str">
        <f t="shared" si="292"/>
        <v>1Q16</v>
      </c>
      <c r="AR219" s="68" t="str">
        <f t="shared" si="292"/>
        <v>2Q16</v>
      </c>
      <c r="AS219" s="68" t="str">
        <f t="shared" si="292"/>
        <v>3Q16</v>
      </c>
      <c r="AT219" s="68" t="str">
        <f t="shared" si="292"/>
        <v>4Q16</v>
      </c>
      <c r="AU219" s="68" t="str">
        <f t="shared" si="292"/>
        <v>1Q17</v>
      </c>
      <c r="AV219" s="68" t="str">
        <f t="shared" si="292"/>
        <v>2Q17</v>
      </c>
      <c r="AW219" s="68" t="str">
        <f t="shared" si="292"/>
        <v>3Q17</v>
      </c>
      <c r="AX219" s="68" t="str">
        <f t="shared" si="292"/>
        <v>4Q17</v>
      </c>
      <c r="AY219" s="4" t="str">
        <f t="shared" si="292"/>
        <v>1Q18E</v>
      </c>
      <c r="AZ219" s="4" t="str">
        <f t="shared" si="292"/>
        <v>2Q18E</v>
      </c>
      <c r="BA219" s="4" t="str">
        <f t="shared" si="292"/>
        <v>3Q18E</v>
      </c>
      <c r="BB219" s="4" t="str">
        <f t="shared" si="292"/>
        <v>4Q18E</v>
      </c>
      <c r="BC219" s="4" t="str">
        <f t="shared" si="292"/>
        <v>1Q19E</v>
      </c>
      <c r="BD219" s="4" t="str">
        <f t="shared" si="292"/>
        <v>2Q19E</v>
      </c>
      <c r="BE219" s="4" t="str">
        <f t="shared" si="292"/>
        <v>3Q19E</v>
      </c>
      <c r="BF219" s="4" t="str">
        <f t="shared" si="292"/>
        <v>4Q19E</v>
      </c>
      <c r="BG219" s="4" t="str">
        <f t="shared" si="292"/>
        <v>1Q20E</v>
      </c>
      <c r="BH219" s="4" t="str">
        <f t="shared" si="292"/>
        <v>2Q20E</v>
      </c>
      <c r="BI219" s="4" t="str">
        <f t="shared" si="292"/>
        <v>3Q20E</v>
      </c>
      <c r="BJ219" s="4" t="str">
        <f t="shared" si="292"/>
        <v>4Q20E</v>
      </c>
      <c r="BK219" s="1"/>
      <c r="BL219" s="91"/>
      <c r="BM219" s="23">
        <f t="shared" si="283"/>
        <v>213</v>
      </c>
    </row>
    <row r="220" spans="1:65" ht="12.75" customHeight="1" outlineLevel="1">
      <c r="A220" s="118"/>
      <c r="B220" s="261" t="s">
        <v>41</v>
      </c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5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  <c r="AX220" s="29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91"/>
      <c r="BM220" s="23">
        <f t="shared" si="283"/>
        <v>214</v>
      </c>
    </row>
    <row r="221" spans="1:65" ht="12.75" customHeight="1" outlineLevel="1">
      <c r="A221" s="118"/>
      <c r="B221" s="5" t="s">
        <v>11</v>
      </c>
      <c r="C221" s="12"/>
      <c r="D221" s="12"/>
      <c r="E221" s="12">
        <f>19.135-1.858</f>
        <v>17.277000000000001</v>
      </c>
      <c r="F221" s="12">
        <v>5.5389999999999997</v>
      </c>
      <c r="G221" s="12">
        <v>11.391999999999999</v>
      </c>
      <c r="H221" s="12">
        <f>SUM(INDEX($S221:$AH221,H$5):INDEX($S221:$AH221,H$6))</f>
        <v>31.483000000000001</v>
      </c>
      <c r="I221" s="12">
        <f>SUM(INDEX($S221:$AH221,I$5):INDEX($S221:$AH221,I$6))</f>
        <v>79.131699999999981</v>
      </c>
      <c r="J221" s="12">
        <f>SUM(INDEX($S221:$AH221,J$5):INDEX($S221:$AH221,J$6))</f>
        <v>75.25</v>
      </c>
      <c r="K221" s="12">
        <f>SUM(INDEX($S221:$BK221,K$5):INDEX($S221:$BK221,K$6))</f>
        <v>122.84</v>
      </c>
      <c r="L221" s="12">
        <f>SUM(INDEX($S221:$BK221,L$5):INDEX($S221:$BK221,L$6))</f>
        <v>11.867999999999988</v>
      </c>
      <c r="M221" s="12">
        <f>SUM(INDEX($S221:$BK221,M$5):INDEX($S221:$BK221,M$6))</f>
        <v>-40.931999999999995</v>
      </c>
      <c r="N221" s="12">
        <f>SUM(INDEX($S221:$BK221,N$5):INDEX($S221:$BK221,N$6))</f>
        <v>145.20599999999996</v>
      </c>
      <c r="O221" s="12">
        <f>SUM(INDEX($S221:$BK221,O$5):INDEX($S221:$BK221,O$6))</f>
        <v>234.06999278366129</v>
      </c>
      <c r="P221" s="12">
        <f>SUM(INDEX($S221:$BK221,P$5):INDEX($S221:$BK221,P$6))</f>
        <v>284.48066544741198</v>
      </c>
      <c r="Q221" s="12">
        <f>SUM(INDEX($S221:$BK221,Q$5):INDEX($S221:$BK221,Q$6))</f>
        <v>270.7365139548337</v>
      </c>
      <c r="R221" s="51"/>
      <c r="S221" s="12"/>
      <c r="T221" s="12"/>
      <c r="U221" s="12"/>
      <c r="V221" s="12">
        <v>3.81</v>
      </c>
      <c r="W221" s="12">
        <v>3.81</v>
      </c>
      <c r="X221" s="12">
        <v>6.7969999999999997</v>
      </c>
      <c r="Y221" s="12">
        <v>10.831</v>
      </c>
      <c r="Z221" s="12">
        <f t="shared" ref="Z221:BJ221" si="293">Z32</f>
        <v>10.045000000000002</v>
      </c>
      <c r="AA221" s="12">
        <f t="shared" si="293"/>
        <v>19.112999999999989</v>
      </c>
      <c r="AB221" s="12">
        <f t="shared" si="293"/>
        <v>19.451999999999988</v>
      </c>
      <c r="AC221" s="12">
        <f t="shared" si="293"/>
        <v>18.795999999999996</v>
      </c>
      <c r="AD221" s="12">
        <f t="shared" si="293"/>
        <v>21.770700000000005</v>
      </c>
      <c r="AE221" s="12">
        <f t="shared" si="293"/>
        <v>17.277000000000005</v>
      </c>
      <c r="AF221" s="12">
        <f t="shared" si="293"/>
        <v>20.192</v>
      </c>
      <c r="AG221" s="12">
        <f t="shared" si="293"/>
        <v>21.327999999999996</v>
      </c>
      <c r="AH221" s="12">
        <f t="shared" si="293"/>
        <v>16.453000000000003</v>
      </c>
      <c r="AI221" s="12">
        <f t="shared" si="293"/>
        <v>18.370999999999995</v>
      </c>
      <c r="AJ221" s="12">
        <f t="shared" si="293"/>
        <v>28.654000000000003</v>
      </c>
      <c r="AK221" s="12">
        <f t="shared" si="293"/>
        <v>42.576999999999998</v>
      </c>
      <c r="AL221" s="12">
        <f t="shared" si="293"/>
        <v>33.238</v>
      </c>
      <c r="AM221" s="12">
        <f t="shared" si="293"/>
        <v>14.822999999999993</v>
      </c>
      <c r="AN221" s="12">
        <f t="shared" si="293"/>
        <v>9.9529999999999959</v>
      </c>
      <c r="AO221" s="12">
        <f t="shared" si="293"/>
        <v>2.4120000000000004</v>
      </c>
      <c r="AP221" s="12">
        <f t="shared" si="293"/>
        <v>-15.32</v>
      </c>
      <c r="AQ221" s="12">
        <f t="shared" si="293"/>
        <v>-10.659999999999998</v>
      </c>
      <c r="AR221" s="12">
        <f t="shared" si="293"/>
        <v>-11.991000000000001</v>
      </c>
      <c r="AS221" s="12">
        <f t="shared" si="293"/>
        <v>-11.339000000000002</v>
      </c>
      <c r="AT221" s="12">
        <f t="shared" si="293"/>
        <v>-6.9419999999999957</v>
      </c>
      <c r="AU221" s="12">
        <f t="shared" si="293"/>
        <v>2.522000000000002</v>
      </c>
      <c r="AV221" s="12">
        <f t="shared" si="293"/>
        <v>29.458999999999982</v>
      </c>
      <c r="AW221" s="12">
        <f t="shared" si="293"/>
        <v>41.272999999999989</v>
      </c>
      <c r="AX221" s="12">
        <f t="shared" si="293"/>
        <v>71.951999999999998</v>
      </c>
      <c r="AY221" s="12">
        <f t="shared" si="293"/>
        <v>27.88595541450001</v>
      </c>
      <c r="AZ221" s="12">
        <f t="shared" si="293"/>
        <v>54.348009119296876</v>
      </c>
      <c r="BA221" s="12">
        <f t="shared" si="293"/>
        <v>72.608960334116077</v>
      </c>
      <c r="BB221" s="12">
        <f t="shared" si="293"/>
        <v>79.227067915748307</v>
      </c>
      <c r="BC221" s="12">
        <f t="shared" si="293"/>
        <v>74.93997695314674</v>
      </c>
      <c r="BD221" s="12">
        <f t="shared" si="293"/>
        <v>73.035057007332711</v>
      </c>
      <c r="BE221" s="12">
        <f t="shared" si="293"/>
        <v>70.793462143687947</v>
      </c>
      <c r="BF221" s="12">
        <f t="shared" si="293"/>
        <v>65.712169343244597</v>
      </c>
      <c r="BG221" s="12">
        <f t="shared" si="293"/>
        <v>65.687627224695049</v>
      </c>
      <c r="BH221" s="12">
        <f t="shared" si="293"/>
        <v>69.011028043720046</v>
      </c>
      <c r="BI221" s="12">
        <f t="shared" si="293"/>
        <v>69.350470891583583</v>
      </c>
      <c r="BJ221" s="12">
        <f t="shared" si="293"/>
        <v>66.68738779483499</v>
      </c>
      <c r="BK221" s="1"/>
      <c r="BL221" s="91"/>
      <c r="BM221" s="23">
        <f t="shared" si="283"/>
        <v>215</v>
      </c>
    </row>
    <row r="222" spans="1:65" ht="12.75" customHeight="1" outlineLevel="1">
      <c r="A222" s="118"/>
      <c r="B222" s="266" t="s">
        <v>4</v>
      </c>
      <c r="C222" s="12"/>
      <c r="D222" s="12"/>
      <c r="E222" s="12">
        <f>15.264+1.803</f>
        <v>17.067</v>
      </c>
      <c r="F222" s="12">
        <v>17.887</v>
      </c>
      <c r="G222" s="12">
        <v>19.305</v>
      </c>
      <c r="H222" s="12">
        <f>SUM(INDEX($S222:$AH222,H$5):INDEX($S222:$AH222,H$6))</f>
        <v>20.999000000000002</v>
      </c>
      <c r="I222" s="12">
        <f>SUM(INDEX($S222:$AH222,I$5):INDEX($S222:$AH222,I$6))</f>
        <v>25.099000000000004</v>
      </c>
      <c r="J222" s="12">
        <f>SUM(INDEX($S222:$AH222,J$5):INDEX($S222:$AH222,J$6))</f>
        <v>36.417999999999999</v>
      </c>
      <c r="K222" s="12">
        <f>SUM(INDEX($S222:$BK222,K$5):INDEX($S222:$BK222,K$6))</f>
        <v>45.019000000000005</v>
      </c>
      <c r="L222" s="12">
        <f>SUM(INDEX($S222:$BK222,L$5):INDEX($S222:$BK222,L$6))</f>
        <v>57.374000000000002</v>
      </c>
      <c r="M222" s="12">
        <f>SUM(INDEX($S222:$BK222,M$5):INDEX($S222:$BK222,M$6))</f>
        <v>68.134</v>
      </c>
      <c r="N222" s="12">
        <f>SUM(INDEX($S222:$BK222,N$5):INDEX($S222:$BK222,N$6))</f>
        <v>97.233000000000004</v>
      </c>
      <c r="O222" s="12">
        <f>SUM(INDEX($S222:$BK222,O$5):INDEX($S222:$BK222,O$6))</f>
        <v>147.50038926708487</v>
      </c>
      <c r="P222" s="12">
        <f>SUM(INDEX($S222:$BK222,P$5):INDEX($S222:$BK222,P$6))</f>
        <v>162.29663155082721</v>
      </c>
      <c r="Q222" s="12">
        <f>SUM(INDEX($S222:$BK222,Q$5):INDEX($S222:$BK222,Q$6))</f>
        <v>156.43574523661812</v>
      </c>
      <c r="R222" s="51"/>
      <c r="S222" s="12"/>
      <c r="T222" s="12"/>
      <c r="U222" s="12"/>
      <c r="V222" s="12"/>
      <c r="W222" s="12">
        <v>5.0880000000000001</v>
      </c>
      <c r="X222" s="12">
        <v>5.2530000000000001</v>
      </c>
      <c r="Y222" s="12">
        <v>5.2949999999999999</v>
      </c>
      <c r="Z222" s="12">
        <f t="shared" ref="Z222:BJ222" si="294">-Z24</f>
        <v>5.3630000000000004</v>
      </c>
      <c r="AA222" s="12">
        <f t="shared" si="294"/>
        <v>5.9779999999999998</v>
      </c>
      <c r="AB222" s="12">
        <f t="shared" si="294"/>
        <v>5.9740000000000002</v>
      </c>
      <c r="AC222" s="12">
        <f t="shared" si="294"/>
        <v>5.968</v>
      </c>
      <c r="AD222" s="12">
        <f t="shared" si="294"/>
        <v>7.1790000000000003</v>
      </c>
      <c r="AE222" s="12">
        <f t="shared" si="294"/>
        <v>8.2780000000000005</v>
      </c>
      <c r="AF222" s="12">
        <f t="shared" si="294"/>
        <v>8.89</v>
      </c>
      <c r="AG222" s="12">
        <f t="shared" si="294"/>
        <v>9.1519999999999992</v>
      </c>
      <c r="AH222" s="12">
        <f t="shared" si="294"/>
        <v>10.098000000000001</v>
      </c>
      <c r="AI222" s="12">
        <f t="shared" si="294"/>
        <v>9.5890000000000004</v>
      </c>
      <c r="AJ222" s="12">
        <f t="shared" si="294"/>
        <v>10.340999999999999</v>
      </c>
      <c r="AK222" s="12">
        <f t="shared" si="294"/>
        <v>12.425000000000001</v>
      </c>
      <c r="AL222" s="12">
        <f t="shared" si="294"/>
        <v>12.664</v>
      </c>
      <c r="AM222" s="12">
        <f t="shared" si="294"/>
        <v>13.243</v>
      </c>
      <c r="AN222" s="12">
        <f t="shared" si="294"/>
        <v>13.695</v>
      </c>
      <c r="AO222" s="12">
        <f t="shared" si="294"/>
        <v>15.157999999999999</v>
      </c>
      <c r="AP222" s="12">
        <f t="shared" si="294"/>
        <v>15.278</v>
      </c>
      <c r="AQ222" s="12">
        <f t="shared" si="294"/>
        <v>14.555999999999999</v>
      </c>
      <c r="AR222" s="12">
        <f t="shared" si="294"/>
        <v>15.209</v>
      </c>
      <c r="AS222" s="12">
        <f t="shared" si="294"/>
        <v>17.175000000000001</v>
      </c>
      <c r="AT222" s="12">
        <f t="shared" si="294"/>
        <v>21.193999999999999</v>
      </c>
      <c r="AU222" s="12">
        <f t="shared" si="294"/>
        <v>21.599</v>
      </c>
      <c r="AV222" s="12">
        <f t="shared" si="294"/>
        <v>23.626000000000001</v>
      </c>
      <c r="AW222" s="12">
        <f t="shared" si="294"/>
        <v>24.672999999999998</v>
      </c>
      <c r="AX222" s="12">
        <f t="shared" si="294"/>
        <v>27.335000000000001</v>
      </c>
      <c r="AY222" s="12">
        <f t="shared" si="294"/>
        <v>33.028628750000003</v>
      </c>
      <c r="AZ222" s="12">
        <f t="shared" si="294"/>
        <v>31.890504745312498</v>
      </c>
      <c r="BA222" s="12">
        <f t="shared" si="294"/>
        <v>41.366226829486322</v>
      </c>
      <c r="BB222" s="12">
        <f t="shared" si="294"/>
        <v>41.215028942286025</v>
      </c>
      <c r="BC222" s="12">
        <f t="shared" si="294"/>
        <v>41.067422004906732</v>
      </c>
      <c r="BD222" s="12">
        <f t="shared" si="294"/>
        <v>40.733320732290196</v>
      </c>
      <c r="BE222" s="12">
        <f t="shared" si="294"/>
        <v>40.407154364898304</v>
      </c>
      <c r="BF222" s="12">
        <f t="shared" si="294"/>
        <v>40.088734448731969</v>
      </c>
      <c r="BG222" s="12">
        <f t="shared" si="294"/>
        <v>39.777877005574581</v>
      </c>
      <c r="BH222" s="12">
        <f t="shared" si="294"/>
        <v>39.474402426692187</v>
      </c>
      <c r="BI222" s="12">
        <f t="shared" si="294"/>
        <v>38.881260369058246</v>
      </c>
      <c r="BJ222" s="12">
        <f t="shared" si="294"/>
        <v>38.302205435293111</v>
      </c>
      <c r="BK222" s="1"/>
      <c r="BL222" s="91"/>
      <c r="BM222" s="23">
        <f t="shared" si="283"/>
        <v>216</v>
      </c>
    </row>
    <row r="223" spans="1:65" ht="12.75" customHeight="1" outlineLevel="1">
      <c r="A223" s="118"/>
      <c r="B223" s="266" t="s">
        <v>42</v>
      </c>
      <c r="C223" s="12"/>
      <c r="D223" s="12"/>
      <c r="E223" s="12">
        <f>-6.746-3.422</f>
        <v>-10.168000000000001</v>
      </c>
      <c r="F223" s="12">
        <v>-4.2359999999999998</v>
      </c>
      <c r="G223" s="12">
        <v>-1.3240000000000001</v>
      </c>
      <c r="H223" s="12">
        <f>SUM(INDEX($S223:$AH223,H$5):INDEX($S223:$AH223,H$6))</f>
        <v>-0.65899999999999981</v>
      </c>
      <c r="I223" s="12">
        <f>SUM(INDEX($S223:$AH223,I$5):INDEX($S223:$AH223,I$6))</f>
        <v>1.0949999999999998</v>
      </c>
      <c r="J223" s="12">
        <f>SUM(INDEX($S223:$AH223,J$5):INDEX($S223:$AH223,J$6))</f>
        <v>4.5780000000000003</v>
      </c>
      <c r="K223" s="12">
        <f>SUM(INDEX($S223:$BK223,K$5):INDEX($S223:$BK223,K$6))</f>
        <v>-2.4420000000000002</v>
      </c>
      <c r="L223" s="12">
        <f>SUM(INDEX($S223:$BK223,L$5):INDEX($S223:$BK223,L$6))</f>
        <v>-10.472999999999999</v>
      </c>
      <c r="M223" s="12">
        <f>SUM(INDEX($S223:$BK223,M$5):INDEX($S223:$BK223,M$6))</f>
        <v>-36.903000000000006</v>
      </c>
      <c r="N223" s="12">
        <f>SUM(INDEX($S223:$BK223,N$5):INDEX($S223:$BK223,N$6))</f>
        <v>-20.600999999999999</v>
      </c>
      <c r="O223" s="12">
        <f>SUM(INDEX($S223:$BK223,O$5):INDEX($S223:$BK223,O$6))</f>
        <v>0</v>
      </c>
      <c r="P223" s="12">
        <f>SUM(INDEX($S223:$BK223,P$5):INDEX($S223:$BK223,P$6))</f>
        <v>0</v>
      </c>
      <c r="Q223" s="12">
        <f>SUM(INDEX($S223:$BK223,Q$5):INDEX($S223:$BK223,Q$6))</f>
        <v>0</v>
      </c>
      <c r="R223" s="51"/>
      <c r="S223" s="12"/>
      <c r="T223" s="12"/>
      <c r="U223" s="12"/>
      <c r="V223" s="12"/>
      <c r="W223" s="109">
        <v>0.84499999999999997</v>
      </c>
      <c r="X223" s="109">
        <v>1.006</v>
      </c>
      <c r="Y223" s="109">
        <v>1.5640000000000001</v>
      </c>
      <c r="Z223" s="109">
        <f>-0.659-Y223-X223-W223</f>
        <v>-4.0739999999999998</v>
      </c>
      <c r="AA223" s="109">
        <v>0.41</v>
      </c>
      <c r="AB223" s="109">
        <f>1.157-AA223</f>
        <v>0.74700000000000011</v>
      </c>
      <c r="AC223" s="109">
        <f>5.734-AB223-AA223</f>
        <v>4.577</v>
      </c>
      <c r="AD223" s="109">
        <f>1.095-SUM(AA223:AC223)</f>
        <v>-4.6390000000000002</v>
      </c>
      <c r="AE223" s="109">
        <v>1.0289999999999999</v>
      </c>
      <c r="AF223" s="109">
        <f>3.056-AE223</f>
        <v>2.0270000000000001</v>
      </c>
      <c r="AG223" s="109">
        <f>4.452-AF223-AE223</f>
        <v>1.3959999999999999</v>
      </c>
      <c r="AH223" s="109">
        <f>4.578-AG223-AF223-AE223</f>
        <v>0.12600000000000033</v>
      </c>
      <c r="AI223" s="109">
        <v>1.1599999999999999</v>
      </c>
      <c r="AJ223" s="109">
        <f>2.042-AI223</f>
        <v>0.8819999999999999</v>
      </c>
      <c r="AK223" s="109">
        <f>4.043-SUM(AI223:AJ223)</f>
        <v>2.0010000000000003</v>
      </c>
      <c r="AL223" s="109">
        <f>-2.442-AK223-AJ223-AI223</f>
        <v>-6.4850000000000003</v>
      </c>
      <c r="AM223" s="109">
        <v>-3.101</v>
      </c>
      <c r="AN223" s="109">
        <f>-6.903-AM223</f>
        <v>-3.8019999999999996</v>
      </c>
      <c r="AO223" s="109">
        <f>-8.463-AN223-AM223</f>
        <v>-1.5599999999999996</v>
      </c>
      <c r="AP223" s="109">
        <f>-10.473-AO223-AN223-AM223</f>
        <v>-2.0100000000000007</v>
      </c>
      <c r="AQ223" s="109">
        <v>-8.5630000000000006</v>
      </c>
      <c r="AR223" s="109">
        <f>-18.199-AQ223</f>
        <v>-9.636000000000001</v>
      </c>
      <c r="AS223" s="109">
        <f>-29.858-AR223-AQ223</f>
        <v>-11.659000000000001</v>
      </c>
      <c r="AT223" s="109">
        <f>-36.903-AS223-AR223-AQ223</f>
        <v>-7.0449999999999982</v>
      </c>
      <c r="AU223" s="109">
        <v>-1.726</v>
      </c>
      <c r="AV223" s="109">
        <f>2.149-AU223</f>
        <v>3.875</v>
      </c>
      <c r="AW223" s="109">
        <f>10.149-AV223-AU223</f>
        <v>7.9999999999999991</v>
      </c>
      <c r="AX223" s="109">
        <f>-20.601-AW223-AV223-AU223</f>
        <v>-30.75</v>
      </c>
      <c r="AY223" s="139">
        <f>+(AY274-AX274)-(AY255-AX255)</f>
        <v>0</v>
      </c>
      <c r="AZ223" s="139">
        <f>+(AZ274-AY274)-(AZ255-AY255)</f>
        <v>0</v>
      </c>
      <c r="BA223" s="139">
        <f>+(BA274-AZ274)-(BA255-AZ255)</f>
        <v>0</v>
      </c>
      <c r="BB223" s="139">
        <f>+(BB274-BA274)-(BB255-BA255)</f>
        <v>0</v>
      </c>
      <c r="BC223" s="139">
        <f t="shared" ref="BC223:BJ223" si="295">+(BC274-BB274)-(BC255-BB255)</f>
        <v>0</v>
      </c>
      <c r="BD223" s="139">
        <f t="shared" si="295"/>
        <v>0</v>
      </c>
      <c r="BE223" s="139">
        <f t="shared" si="295"/>
        <v>0</v>
      </c>
      <c r="BF223" s="139">
        <f t="shared" si="295"/>
        <v>0</v>
      </c>
      <c r="BG223" s="139">
        <f t="shared" si="295"/>
        <v>0</v>
      </c>
      <c r="BH223" s="139">
        <f t="shared" si="295"/>
        <v>0</v>
      </c>
      <c r="BI223" s="139">
        <f t="shared" si="295"/>
        <v>0</v>
      </c>
      <c r="BJ223" s="139">
        <f t="shared" si="295"/>
        <v>0</v>
      </c>
      <c r="BK223" s="1"/>
      <c r="BL223" s="91"/>
      <c r="BM223" s="23">
        <f t="shared" si="283"/>
        <v>217</v>
      </c>
    </row>
    <row r="224" spans="1:65" ht="12.75" customHeight="1" outlineLevel="1">
      <c r="A224" s="118"/>
      <c r="B224" s="266" t="s">
        <v>60</v>
      </c>
      <c r="C224" s="12"/>
      <c r="D224" s="12"/>
      <c r="E224" s="12">
        <v>9.4E-2</v>
      </c>
      <c r="F224" s="12">
        <v>-1.6930000000000001</v>
      </c>
      <c r="G224" s="12">
        <v>-5.8120000000000003</v>
      </c>
      <c r="H224" s="12">
        <f>SUM(INDEX($S224:$AH224,H$5):INDEX($S224:$AH224,H$6))</f>
        <v>-7.0679999999999996</v>
      </c>
      <c r="I224" s="12">
        <f>SUM(INDEX($S224:$AH224,I$5):INDEX($S224:$AH224,I$6))</f>
        <v>-7.6660000000000004</v>
      </c>
      <c r="J224" s="12">
        <f>SUM(INDEX($S224:$AH224,J$5):INDEX($S224:$AH224,J$6))</f>
        <v>-4.8550000000000004</v>
      </c>
      <c r="K224" s="12">
        <f>SUM(INDEX($S224:$BK224,K$5):INDEX($S224:$BK224,K$6))</f>
        <v>-8.5079999999999991</v>
      </c>
      <c r="L224" s="12">
        <f>SUM(INDEX($S224:$BK224,L$5):INDEX($S224:$BK224,L$6))</f>
        <v>-16.079000000000001</v>
      </c>
      <c r="M224" s="12">
        <f>SUM(INDEX($S224:$BK224,M$5):INDEX($S224:$BK224,M$6))</f>
        <v>-9.0259999999999998</v>
      </c>
      <c r="N224" s="12">
        <f>SUM(INDEX($S224:$BK224,N$5):INDEX($S224:$BK224,N$6))</f>
        <v>28.437999999999999</v>
      </c>
      <c r="O224" s="12">
        <f>SUM(INDEX($S224:$BK224,O$5):INDEX($S224:$BK224,O$6))</f>
        <v>-20</v>
      </c>
      <c r="P224" s="12">
        <f>SUM(INDEX($S224:$BK224,P$5):INDEX($S224:$BK224,P$6))</f>
        <v>-20</v>
      </c>
      <c r="Q224" s="12">
        <f>SUM(INDEX($S224:$BK224,Q$5):INDEX($S224:$BK224,Q$6))</f>
        <v>0</v>
      </c>
      <c r="R224" s="51"/>
      <c r="S224" s="12"/>
      <c r="T224" s="12"/>
      <c r="U224" s="12"/>
      <c r="V224" s="12"/>
      <c r="W224" s="109">
        <v>-1.5</v>
      </c>
      <c r="X224" s="109">
        <v>-1.5609999999999999</v>
      </c>
      <c r="Y224" s="109">
        <v>-1.6930000000000001</v>
      </c>
      <c r="Z224" s="109">
        <f>-7.068-Y224-X224-W224</f>
        <v>-2.3140000000000001</v>
      </c>
      <c r="AA224" s="109">
        <v>-1.427</v>
      </c>
      <c r="AB224" s="109">
        <f>-3.541-AA224</f>
        <v>-2.1139999999999999</v>
      </c>
      <c r="AC224" s="109">
        <f>-5.457-AB224-AA224</f>
        <v>-1.9159999999999999</v>
      </c>
      <c r="AD224" s="109">
        <f>-7.666-SUM(AA224:AC224)</f>
        <v>-2.2090000000000005</v>
      </c>
      <c r="AE224" s="109">
        <v>-1.917</v>
      </c>
      <c r="AF224" s="109">
        <f>-4.285-AE224</f>
        <v>-2.3680000000000003</v>
      </c>
      <c r="AG224" s="109">
        <f>-4.855-AF224-AE224</f>
        <v>-0.57000000000000006</v>
      </c>
      <c r="AH224" s="109">
        <f>-4.855-AG224-AF224-AE224</f>
        <v>0</v>
      </c>
      <c r="AI224" s="109">
        <v>0</v>
      </c>
      <c r="AJ224" s="109">
        <v>0</v>
      </c>
      <c r="AK224" s="109">
        <f>-3.669-SUM(AI224:AJ224)</f>
        <v>-3.669</v>
      </c>
      <c r="AL224" s="109">
        <f>-8.508-AK224-AJ224-AI224</f>
        <v>-4.8389999999999986</v>
      </c>
      <c r="AM224" s="109">
        <v>-5.4980000000000002</v>
      </c>
      <c r="AN224" s="109">
        <f>-9.216-AM224</f>
        <v>-3.7179999999999991</v>
      </c>
      <c r="AO224" s="109">
        <f>-12.712-AN224-AM224</f>
        <v>-3.4959999999999996</v>
      </c>
      <c r="AP224" s="109">
        <f>-16.079-AO224-AN224-AM224</f>
        <v>-3.3670000000000018</v>
      </c>
      <c r="AQ224" s="109">
        <v>-1.25</v>
      </c>
      <c r="AR224" s="109">
        <f>-3.255-AQ224</f>
        <v>-2.0049999999999999</v>
      </c>
      <c r="AS224" s="109">
        <f>-5.644-AR224-AQ224</f>
        <v>-2.3890000000000002</v>
      </c>
      <c r="AT224" s="109">
        <f>-9.026-AS224-AR224-AQ224</f>
        <v>-3.3819999999999997</v>
      </c>
      <c r="AU224" s="109">
        <v>-4.6890000000000001</v>
      </c>
      <c r="AV224" s="109">
        <f>15.235-AU224</f>
        <v>19.923999999999999</v>
      </c>
      <c r="AW224" s="109">
        <f>32.487-AV224-AU224</f>
        <v>17.252000000000002</v>
      </c>
      <c r="AX224" s="109">
        <f>28.438-AW224-AV224-AU224</f>
        <v>-4.049000000000003</v>
      </c>
      <c r="AY224" s="147">
        <f>+AY275-AX275</f>
        <v>-5</v>
      </c>
      <c r="AZ224" s="147">
        <f>+AZ275-AY275</f>
        <v>-5</v>
      </c>
      <c r="BA224" s="147">
        <f>+BA275-AZ275</f>
        <v>-5</v>
      </c>
      <c r="BB224" s="147">
        <f>+BB275-BA275</f>
        <v>-5</v>
      </c>
      <c r="BC224" s="147">
        <f t="shared" ref="BC224:BJ224" si="296">+BC275-BB275</f>
        <v>-5</v>
      </c>
      <c r="BD224" s="147">
        <f t="shared" si="296"/>
        <v>-5</v>
      </c>
      <c r="BE224" s="147">
        <f t="shared" si="296"/>
        <v>-5</v>
      </c>
      <c r="BF224" s="147">
        <f t="shared" si="296"/>
        <v>-5</v>
      </c>
      <c r="BG224" s="147">
        <f t="shared" si="296"/>
        <v>0</v>
      </c>
      <c r="BH224" s="147">
        <f t="shared" si="296"/>
        <v>0</v>
      </c>
      <c r="BI224" s="147">
        <f t="shared" si="296"/>
        <v>0</v>
      </c>
      <c r="BJ224" s="147">
        <f t="shared" si="296"/>
        <v>0</v>
      </c>
      <c r="BK224" s="1"/>
      <c r="BL224" s="91"/>
      <c r="BM224" s="23">
        <f t="shared" si="283"/>
        <v>218</v>
      </c>
    </row>
    <row r="225" spans="1:65" ht="12.75" customHeight="1" outlineLevel="1">
      <c r="A225" s="118"/>
      <c r="B225" s="266" t="s">
        <v>372</v>
      </c>
      <c r="C225" s="12"/>
      <c r="D225" s="12"/>
      <c r="E225" s="12">
        <f>20.644+1.801</f>
        <v>22.444999999999997</v>
      </c>
      <c r="F225" s="12">
        <v>3.7570000000000001</v>
      </c>
      <c r="G225" s="12">
        <v>-2.2090000000000001</v>
      </c>
      <c r="H225" s="12">
        <f>SUM(INDEX($S225:$AH225,H$5):INDEX($S225:$AH225,H$6))</f>
        <v>-9.6109999999999989</v>
      </c>
      <c r="I225" s="12">
        <f>SUM(INDEX($S225:$AH225,I$5):INDEX($S225:$AH225,I$6))</f>
        <v>0</v>
      </c>
      <c r="J225" s="12">
        <f>SUM(INDEX($S225:$AH225,J$5):INDEX($S225:$AH225,J$6))</f>
        <v>0</v>
      </c>
      <c r="K225" s="12">
        <f>SUM(INDEX($S225:$BK225,K$5):INDEX($S225:$BK225,K$6))</f>
        <v>-2.1800000000000002</v>
      </c>
      <c r="L225" s="12">
        <f>SUM(INDEX($S225:$BK225,L$5):INDEX($S225:$BK225,L$6))</f>
        <v>1.9530000000000001</v>
      </c>
      <c r="M225" s="12">
        <f>SUM(INDEX($S225:$BK225,M$5):INDEX($S225:$BK225,M$6))</f>
        <v>1.3069999999999999</v>
      </c>
      <c r="N225" s="12">
        <f>SUM(INDEX($S225:$BK225,N$5):INDEX($S225:$BK225,N$6))</f>
        <v>-0.70499999999999996</v>
      </c>
      <c r="O225" s="12">
        <f>SUM(INDEX($S225:$BK225,O$5):INDEX($S225:$BK225,O$6))</f>
        <v>0</v>
      </c>
      <c r="P225" s="12">
        <f>SUM(INDEX($S225:$BK225,P$5):INDEX($S225:$BK225,P$6))</f>
        <v>0</v>
      </c>
      <c r="Q225" s="12">
        <f>SUM(INDEX($S225:$BK225,Q$5):INDEX($S225:$BK225,Q$6))</f>
        <v>0</v>
      </c>
      <c r="R225" s="51"/>
      <c r="S225" s="12"/>
      <c r="T225" s="12"/>
      <c r="U225" s="12"/>
      <c r="V225" s="12"/>
      <c r="W225" s="109">
        <v>-7.6959999999999997</v>
      </c>
      <c r="X225" s="109">
        <v>-0.24399999999999999</v>
      </c>
      <c r="Y225" s="109">
        <v>-1.671</v>
      </c>
      <c r="Z225" s="109">
        <v>0</v>
      </c>
      <c r="AA225" s="109">
        <v>0</v>
      </c>
      <c r="AB225" s="109">
        <v>0</v>
      </c>
      <c r="AC225" s="109">
        <v>0</v>
      </c>
      <c r="AD225" s="109">
        <v>0</v>
      </c>
      <c r="AE225" s="109">
        <v>0</v>
      </c>
      <c r="AF225" s="109">
        <v>0</v>
      </c>
      <c r="AG225" s="109">
        <v>0</v>
      </c>
      <c r="AH225" s="109">
        <v>0</v>
      </c>
      <c r="AI225" s="109">
        <v>0</v>
      </c>
      <c r="AJ225" s="109">
        <v>0</v>
      </c>
      <c r="AK225" s="109">
        <v>0</v>
      </c>
      <c r="AL225" s="109">
        <f>-2.18-AK225-AJ225-AI225</f>
        <v>-2.1800000000000002</v>
      </c>
      <c r="AM225" s="109">
        <v>1.0069999999999999</v>
      </c>
      <c r="AN225" s="109">
        <f>0.927-AM225</f>
        <v>-7.9999999999999849E-2</v>
      </c>
      <c r="AO225" s="109">
        <f>0.978-AN225-AM225</f>
        <v>5.0999999999999934E-2</v>
      </c>
      <c r="AP225" s="109">
        <f>1.953-AO225-AN225-AM225</f>
        <v>0.97500000000000009</v>
      </c>
      <c r="AQ225" s="109">
        <v>0.82</v>
      </c>
      <c r="AR225" s="109">
        <f>1.044-AQ225</f>
        <v>0.22400000000000009</v>
      </c>
      <c r="AS225" s="109">
        <f>0.938-AR225-AQ225</f>
        <v>-0.10600000000000009</v>
      </c>
      <c r="AT225" s="109">
        <f>1.307-AS225-AR225-AQ225</f>
        <v>0.36900000000000011</v>
      </c>
      <c r="AU225" s="109">
        <v>0.497</v>
      </c>
      <c r="AV225" s="109">
        <f>0.454-AU225</f>
        <v>-4.2999999999999983E-2</v>
      </c>
      <c r="AW225" s="109">
        <f>-0.788-AV225-AU225</f>
        <v>-1.242</v>
      </c>
      <c r="AX225" s="109">
        <f>-0.705-AW225-AV225-AU225</f>
        <v>8.3000000000000074E-2</v>
      </c>
      <c r="AY225" s="25">
        <v>0</v>
      </c>
      <c r="AZ225" s="25">
        <v>0</v>
      </c>
      <c r="BA225" s="25">
        <v>0</v>
      </c>
      <c r="BB225" s="25">
        <v>0</v>
      </c>
      <c r="BC225" s="25">
        <v>0</v>
      </c>
      <c r="BD225" s="25">
        <v>0</v>
      </c>
      <c r="BE225" s="25">
        <v>0</v>
      </c>
      <c r="BF225" s="25">
        <v>0</v>
      </c>
      <c r="BG225" s="25">
        <v>0</v>
      </c>
      <c r="BH225" s="25">
        <v>0</v>
      </c>
      <c r="BI225" s="25">
        <v>0</v>
      </c>
      <c r="BJ225" s="25">
        <v>0</v>
      </c>
      <c r="BK225" s="1"/>
      <c r="BL225" s="91"/>
      <c r="BM225" s="23">
        <f t="shared" si="283"/>
        <v>219</v>
      </c>
    </row>
    <row r="226" spans="1:65" ht="12.75" customHeight="1" outlineLevel="1">
      <c r="A226" s="118"/>
      <c r="B226" s="266" t="s">
        <v>43</v>
      </c>
      <c r="C226" s="12"/>
      <c r="D226" s="12"/>
      <c r="E226" s="12">
        <v>0</v>
      </c>
      <c r="F226" s="12">
        <v>0.94899999999999995</v>
      </c>
      <c r="G226" s="12">
        <v>0.38300000000000001</v>
      </c>
      <c r="H226" s="12">
        <f>SUM(INDEX($S226:$AH226,H$5):INDEX($S226:$AH226,H$6))</f>
        <v>1.238</v>
      </c>
      <c r="I226" s="12">
        <f>SUM(INDEX($S226:$AH226,I$5):INDEX($S226:$AH226,I$6))</f>
        <v>2.33</v>
      </c>
      <c r="J226" s="12">
        <f>SUM(INDEX($S226:$AH226,J$5):INDEX($S226:$AH226,J$6))</f>
        <v>3.0390000000000001</v>
      </c>
      <c r="K226" s="12">
        <f>SUM(INDEX($S226:$BK226,K$5):INDEX($S226:$BK226,K$6))</f>
        <v>3.6740000000000004</v>
      </c>
      <c r="L226" s="12">
        <f>SUM(INDEX($S226:$BK226,L$5):INDEX($S226:$BK226,L$6))</f>
        <v>3.8569999999999998</v>
      </c>
      <c r="M226" s="12">
        <f>SUM(INDEX($S226:$BK226,M$5):INDEX($S226:$BK226,M$6))</f>
        <v>12.106999999999999</v>
      </c>
      <c r="N226" s="12">
        <f>SUM(INDEX($S226:$BK226,N$5):INDEX($S226:$BK226,N$6))</f>
        <v>25.049999999999997</v>
      </c>
      <c r="O226" s="12">
        <f>SUM(INDEX($S226:$BK226,O$5):INDEX($S226:$BK226,O$6))</f>
        <v>26.119999999999997</v>
      </c>
      <c r="P226" s="12">
        <f>SUM(INDEX($S226:$BK226,P$5):INDEX($S226:$BK226,P$6))</f>
        <v>26.119999999999997</v>
      </c>
      <c r="Q226" s="12">
        <f>SUM(INDEX($S226:$BK226,Q$5):INDEX($S226:$BK226,Q$6))</f>
        <v>26.119999999999997</v>
      </c>
      <c r="R226" s="51"/>
      <c r="S226" s="12"/>
      <c r="T226" s="12"/>
      <c r="U226" s="12"/>
      <c r="V226" s="12"/>
      <c r="W226" s="109">
        <v>0</v>
      </c>
      <c r="X226" s="109">
        <v>5.5E-2</v>
      </c>
      <c r="Y226" s="109">
        <v>0.53100000000000003</v>
      </c>
      <c r="Z226" s="109">
        <f>1.238-Y226-X226-W226</f>
        <v>0.65199999999999991</v>
      </c>
      <c r="AA226" s="109">
        <v>0.65400000000000003</v>
      </c>
      <c r="AB226" s="109">
        <f>1.147-AA226</f>
        <v>0.49299999999999999</v>
      </c>
      <c r="AC226" s="109">
        <f>1.662-AB226-AA226</f>
        <v>0.51500000000000001</v>
      </c>
      <c r="AD226" s="109">
        <f>2.33-SUM(AA226:AC226)</f>
        <v>0.66800000000000015</v>
      </c>
      <c r="AE226" s="109">
        <v>0.67800000000000005</v>
      </c>
      <c r="AF226" s="109">
        <f>1.383-AE226</f>
        <v>0.70499999999999996</v>
      </c>
      <c r="AG226" s="109">
        <f>2.236-AF226-AE226</f>
        <v>0.85300000000000009</v>
      </c>
      <c r="AH226" s="109">
        <f>3.039-AG226-AF226-AE226</f>
        <v>0.80299999999999983</v>
      </c>
      <c r="AI226" s="109">
        <v>1.33</v>
      </c>
      <c r="AJ226" s="109">
        <f>3.383-AI226</f>
        <v>2.0529999999999999</v>
      </c>
      <c r="AK226" s="109">
        <f>4.807-3.673-SUM(AI226:AJ226)</f>
        <v>-2.2489999999999997</v>
      </c>
      <c r="AL226" s="109">
        <f>7.487-3.813-AK226-AJ226-AI226</f>
        <v>2.54</v>
      </c>
      <c r="AM226" s="109">
        <v>2.09</v>
      </c>
      <c r="AN226" s="109">
        <f>0.089-AM226</f>
        <v>-2.0009999999999999</v>
      </c>
      <c r="AO226" s="109">
        <f>1.824-AN226-AM226</f>
        <v>1.7350000000000003</v>
      </c>
      <c r="AP226" s="109">
        <f>3.857-AO226-AN226-AM226</f>
        <v>2.0329999999999995</v>
      </c>
      <c r="AQ226" s="109">
        <v>1.9059999999999999</v>
      </c>
      <c r="AR226" s="109">
        <f>5.355-AQ226</f>
        <v>3.4490000000000007</v>
      </c>
      <c r="AS226" s="109">
        <f>9.075-AR226-AQ226</f>
        <v>3.7199999999999989</v>
      </c>
      <c r="AT226" s="109">
        <f>12.107-AS226-AR226-AQ226</f>
        <v>3.032</v>
      </c>
      <c r="AU226" s="109">
        <v>5.51</v>
      </c>
      <c r="AV226" s="109">
        <f>11.952-AU226</f>
        <v>6.4420000000000002</v>
      </c>
      <c r="AW226" s="109">
        <f>18.52-AV226-AU226</f>
        <v>6.5679999999999996</v>
      </c>
      <c r="AX226" s="109">
        <f>25.05-AW226-AV226-AU226</f>
        <v>6.5299999999999994</v>
      </c>
      <c r="AY226" s="25">
        <f>AX226</f>
        <v>6.5299999999999994</v>
      </c>
      <c r="AZ226" s="25">
        <f>AY226</f>
        <v>6.5299999999999994</v>
      </c>
      <c r="BA226" s="25">
        <f>AZ226</f>
        <v>6.5299999999999994</v>
      </c>
      <c r="BB226" s="25">
        <f>BA226</f>
        <v>6.5299999999999994</v>
      </c>
      <c r="BC226" s="25">
        <f t="shared" ref="BC226:BJ226" si="297">BB226</f>
        <v>6.5299999999999994</v>
      </c>
      <c r="BD226" s="25">
        <f t="shared" si="297"/>
        <v>6.5299999999999994</v>
      </c>
      <c r="BE226" s="25">
        <f t="shared" si="297"/>
        <v>6.5299999999999994</v>
      </c>
      <c r="BF226" s="25">
        <f t="shared" si="297"/>
        <v>6.5299999999999994</v>
      </c>
      <c r="BG226" s="25">
        <f t="shared" si="297"/>
        <v>6.5299999999999994</v>
      </c>
      <c r="BH226" s="25">
        <f t="shared" si="297"/>
        <v>6.5299999999999994</v>
      </c>
      <c r="BI226" s="25">
        <f t="shared" si="297"/>
        <v>6.5299999999999994</v>
      </c>
      <c r="BJ226" s="25">
        <f t="shared" si="297"/>
        <v>6.5299999999999994</v>
      </c>
      <c r="BK226" s="1"/>
      <c r="BL226" s="91"/>
      <c r="BM226" s="23">
        <f t="shared" si="283"/>
        <v>220</v>
      </c>
    </row>
    <row r="227" spans="1:65" ht="12.75" customHeight="1" outlineLevel="1">
      <c r="A227" s="118"/>
      <c r="B227" s="266" t="s">
        <v>47</v>
      </c>
      <c r="C227" s="12"/>
      <c r="D227" s="12"/>
      <c r="E227" s="12">
        <f>-19.053+11.741+1.777+0.009+0.083+0.474+0.028</f>
        <v>-4.9410000000000007</v>
      </c>
      <c r="F227" s="12">
        <f>0.853+0.83+0.008-6.497</f>
        <v>-4.806</v>
      </c>
      <c r="G227" s="12">
        <f>0.45+0.383+10.195-0.77+0.002</f>
        <v>10.260000000000002</v>
      </c>
      <c r="H227" s="12">
        <f>SUM(INDEX($S227:$AH227,H$5):INDEX($S227:$AH227,H$6))</f>
        <v>1.3249999999999993</v>
      </c>
      <c r="I227" s="12">
        <f>SUM(INDEX($S227:$AH227,I$5):INDEX($S227:$AH227,I$6))</f>
        <v>-0.98099999999999987</v>
      </c>
      <c r="J227" s="12">
        <f>SUM(INDEX($S227:$AH227,J$5):INDEX($S227:$AH227,J$6))</f>
        <v>-6.0709120000000087</v>
      </c>
      <c r="K227" s="12">
        <f>SUM(INDEX($S227:$BK227,K$5):INDEX($S227:$BK227,K$6))</f>
        <v>8.5259999999999962</v>
      </c>
      <c r="L227" s="12">
        <f>SUM(INDEX($S227:$BK227,L$5):INDEX($S227:$BK227,L$6))</f>
        <v>-2.2809999999999979</v>
      </c>
      <c r="M227" s="12">
        <f>SUM(INDEX($S227:$BK227,M$5):INDEX($S227:$BK227,M$6))</f>
        <v>4.8419999999999996</v>
      </c>
      <c r="N227" s="12">
        <f>SUM(INDEX($S227:$BK227,N$5):INDEX($S227:$BK227,N$6))</f>
        <v>9.2270000000000429</v>
      </c>
      <c r="O227" s="12">
        <f>SUM(INDEX($S227:$BK227,O$5):INDEX($S227:$BK227,O$6))</f>
        <v>0</v>
      </c>
      <c r="P227" s="12">
        <f>SUM(INDEX($S227:$BK227,P$5):INDEX($S227:$BK227,P$6))</f>
        <v>0</v>
      </c>
      <c r="Q227" s="12">
        <f>SUM(INDEX($S227:$BK227,Q$5):INDEX($S227:$BK227,Q$6))</f>
        <v>0</v>
      </c>
      <c r="R227" s="51"/>
      <c r="S227" s="12"/>
      <c r="T227" s="12"/>
      <c r="U227" s="12"/>
      <c r="V227" s="12"/>
      <c r="W227" s="109">
        <f>0.063+0.035+0.191-0.034</f>
        <v>0.255</v>
      </c>
      <c r="X227" s="109">
        <f>0.062+0.038+0.23+6.043</f>
        <v>6.3730000000000002</v>
      </c>
      <c r="Y227" s="109">
        <f>0.063+0.042+0.274+0.04</f>
        <v>0.41899999999999998</v>
      </c>
      <c r="Z227" s="109">
        <f>0.265+0.157+6.043-0.035-5.105-Y227-X227-W227</f>
        <v>-5.7220000000000004</v>
      </c>
      <c r="AA227" s="109">
        <f>0.113+0.042-0.439-1.306</f>
        <v>-1.59</v>
      </c>
      <c r="AB227" s="109">
        <f>0.247+0.084-0.439-1.954-AA227</f>
        <v>-0.47199999999999975</v>
      </c>
      <c r="AC227" s="109">
        <f>0.381+0.126-0.469+0.437-AB227-AA227</f>
        <v>2.5369999999999999</v>
      </c>
      <c r="AD227" s="109">
        <f>0.515+0.168-0.472-1.192-SUM(AA227:AC227)</f>
        <v>-1.456</v>
      </c>
      <c r="AE227" s="109">
        <f>0.131+0.042-0.096-0.131</f>
        <v>-5.3999999999999992E-2</v>
      </c>
      <c r="AF227" s="12">
        <f t="shared" ref="AF227:AX227" si="298">AF235-SUM(AF229:AF234,AF221:AF226)</f>
        <v>5.2999999999993719E-2</v>
      </c>
      <c r="AG227" s="12">
        <f t="shared" si="298"/>
        <v>-5.1999999999992497E-2</v>
      </c>
      <c r="AH227" s="12">
        <f t="shared" si="298"/>
        <v>-6.0179120000000097</v>
      </c>
      <c r="AI227" s="12">
        <f t="shared" si="298"/>
        <v>0.5779999999999994</v>
      </c>
      <c r="AJ227" s="12">
        <f t="shared" si="298"/>
        <v>-1.0500000000000007</v>
      </c>
      <c r="AK227" s="12">
        <f t="shared" si="298"/>
        <v>6.9029999999999987</v>
      </c>
      <c r="AL227" s="12">
        <f t="shared" si="298"/>
        <v>2.0949999999999989</v>
      </c>
      <c r="AM227" s="12">
        <f t="shared" si="298"/>
        <v>3.0400000000000205</v>
      </c>
      <c r="AN227" s="12">
        <f t="shared" si="298"/>
        <v>-8.977000000000011</v>
      </c>
      <c r="AO227" s="12">
        <f t="shared" si="298"/>
        <v>-0.71200000000000241</v>
      </c>
      <c r="AP227" s="12">
        <f t="shared" si="298"/>
        <v>4.367999999999995</v>
      </c>
      <c r="AQ227" s="12">
        <f t="shared" si="298"/>
        <v>1.2549999999999994</v>
      </c>
      <c r="AR227" s="12">
        <f t="shared" si="298"/>
        <v>0.97400000000000109</v>
      </c>
      <c r="AS227" s="12">
        <f t="shared" si="298"/>
        <v>2.3200000000000016</v>
      </c>
      <c r="AT227" s="12">
        <f t="shared" si="298"/>
        <v>0.29299999999999748</v>
      </c>
      <c r="AU227" s="12">
        <f t="shared" si="298"/>
        <v>2.2949999999999982</v>
      </c>
      <c r="AV227" s="12">
        <f t="shared" si="298"/>
        <v>0.5940000000000083</v>
      </c>
      <c r="AW227" s="12">
        <f t="shared" si="298"/>
        <v>3.3169999999999931</v>
      </c>
      <c r="AX227" s="12">
        <f t="shared" si="298"/>
        <v>3.0210000000000434</v>
      </c>
      <c r="AY227" s="25">
        <v>0</v>
      </c>
      <c r="AZ227" s="25">
        <v>0</v>
      </c>
      <c r="BA227" s="25">
        <v>0</v>
      </c>
      <c r="BB227" s="25">
        <v>0</v>
      </c>
      <c r="BC227" s="25">
        <v>0</v>
      </c>
      <c r="BD227" s="25">
        <v>0</v>
      </c>
      <c r="BE227" s="25">
        <v>0</v>
      </c>
      <c r="BF227" s="25">
        <v>0</v>
      </c>
      <c r="BG227" s="25">
        <v>0</v>
      </c>
      <c r="BH227" s="25">
        <v>0</v>
      </c>
      <c r="BI227" s="25">
        <v>0</v>
      </c>
      <c r="BJ227" s="25">
        <v>0</v>
      </c>
      <c r="BK227" s="1"/>
      <c r="BL227" s="91"/>
      <c r="BM227" s="23">
        <f t="shared" si="283"/>
        <v>221</v>
      </c>
    </row>
    <row r="228" spans="1:65" ht="12.75" customHeight="1" outlineLevel="1">
      <c r="A228" s="118"/>
      <c r="B228" s="262" t="s">
        <v>44</v>
      </c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51"/>
      <c r="S228" s="12"/>
      <c r="T228" s="12"/>
      <c r="U228" s="12"/>
      <c r="V228" s="12"/>
      <c r="W228" s="12"/>
      <c r="X228" s="12"/>
      <c r="Y228" s="12"/>
      <c r="Z228" s="12"/>
      <c r="AA228" s="12"/>
      <c r="AB228" s="12"/>
      <c r="AC228" s="12"/>
      <c r="AD228" s="12"/>
      <c r="AE228" s="12"/>
      <c r="AF228" s="12"/>
      <c r="AG228" s="12"/>
      <c r="AH228" s="12"/>
      <c r="AI228" s="12"/>
      <c r="AJ228" s="12"/>
      <c r="AK228" s="12"/>
      <c r="AL228" s="12"/>
      <c r="AM228" s="12"/>
      <c r="AN228" s="12"/>
      <c r="AO228" s="12"/>
      <c r="AP228" s="12"/>
      <c r="AQ228" s="12"/>
      <c r="AR228" s="12"/>
      <c r="AS228" s="12"/>
      <c r="AT228" s="12"/>
      <c r="AU228" s="12"/>
      <c r="AV228" s="12"/>
      <c r="AW228" s="12"/>
      <c r="AX228" s="12"/>
      <c r="AY228" s="12"/>
      <c r="AZ228" s="12"/>
      <c r="BA228" s="12"/>
      <c r="BB228" s="12"/>
      <c r="BC228" s="12"/>
      <c r="BD228" s="12"/>
      <c r="BE228" s="12"/>
      <c r="BF228" s="12"/>
      <c r="BG228" s="12"/>
      <c r="BH228" s="12"/>
      <c r="BI228" s="12"/>
      <c r="BJ228" s="12"/>
      <c r="BK228" s="1"/>
      <c r="BL228" s="91"/>
      <c r="BM228" s="23">
        <f t="shared" si="283"/>
        <v>222</v>
      </c>
    </row>
    <row r="229" spans="1:65" ht="12.75" customHeight="1" outlineLevel="1">
      <c r="A229" s="118"/>
      <c r="B229" s="5" t="s">
        <v>45</v>
      </c>
      <c r="C229" s="12"/>
      <c r="D229" s="12"/>
      <c r="E229" s="12">
        <f>-2.863-0.049+5.435-2.901</f>
        <v>-0.37800000000000011</v>
      </c>
      <c r="F229" s="12">
        <f>1.102-1.391</f>
        <v>-0.28899999999999992</v>
      </c>
      <c r="G229" s="12">
        <f>-3.558+5.275</f>
        <v>1.7170000000000005</v>
      </c>
      <c r="H229" s="12">
        <f>SUM(INDEX($S229:$AH229,H$5):INDEX($S229:$AH229,H$6))</f>
        <v>-16.437000000000001</v>
      </c>
      <c r="I229" s="12">
        <f>SUM(INDEX($S229:$AH229,I$5):INDEX($S229:$AH229,I$6))</f>
        <v>-13.239000000000001</v>
      </c>
      <c r="J229" s="12">
        <f>SUM(INDEX($S229:$AH229,J$5):INDEX($S229:$AH229,J$6))</f>
        <v>-16.965</v>
      </c>
      <c r="K229" s="12">
        <f>SUM(INDEX($S229:$BK229,K$5):INDEX($S229:$BK229,K$6))</f>
        <v>-46.829000000000001</v>
      </c>
      <c r="L229" s="12">
        <f>SUM(INDEX($S229:$BK229,L$5):INDEX($S229:$BK229,L$6))</f>
        <v>62.465000000000011</v>
      </c>
      <c r="M229" s="12">
        <f>SUM(INDEX($S229:$BK229,M$5):INDEX($S229:$BK229,M$6))</f>
        <v>-12.995999999999999</v>
      </c>
      <c r="N229" s="12">
        <f>SUM(INDEX($S229:$BK229,N$5):INDEX($S229:$BK229,N$6))</f>
        <v>-110.92</v>
      </c>
      <c r="O229" s="12">
        <f>SUM(INDEX($S229:$BK229,O$5):INDEX($S229:$BK229,O$6))</f>
        <v>-126.9280380887671</v>
      </c>
      <c r="P229" s="12">
        <f>SUM(INDEX($S229:$BK229,P$5):INDEX($S229:$BK229,P$6))</f>
        <v>-7.0070478593464145</v>
      </c>
      <c r="Q229" s="12">
        <f>SUM(INDEX($S229:$BK229,Q$5):INDEX($S229:$BK229,Q$6))</f>
        <v>-7.5601937352158188</v>
      </c>
      <c r="R229" s="51"/>
      <c r="S229" s="12"/>
      <c r="T229" s="12"/>
      <c r="U229" s="12"/>
      <c r="V229" s="12"/>
      <c r="W229" s="109">
        <f>-5.812+0.183</f>
        <v>-5.6290000000000004</v>
      </c>
      <c r="X229" s="109">
        <f>-2.566-0.055</f>
        <v>-2.621</v>
      </c>
      <c r="Y229" s="109">
        <f>-0.397+0.011</f>
        <v>-0.38600000000000001</v>
      </c>
      <c r="Z229" s="133">
        <f>-16.437-Y229-X229-W229</f>
        <v>-7.801000000000001</v>
      </c>
      <c r="AA229" s="133">
        <v>-10.316000000000001</v>
      </c>
      <c r="AB229" s="133">
        <f>-3.489-AA229</f>
        <v>6.8270000000000008</v>
      </c>
      <c r="AC229" s="133">
        <f>-13.102-AB229-AA229</f>
        <v>-9.6130000000000013</v>
      </c>
      <c r="AD229" s="109">
        <f>-13.239-SUM(AA229:AC229)</f>
        <v>-0.13700000000000045</v>
      </c>
      <c r="AE229" s="109">
        <v>-5.6879999999999997</v>
      </c>
      <c r="AF229" s="109">
        <f>-2.22-AE229</f>
        <v>3.4679999999999995</v>
      </c>
      <c r="AG229" s="109">
        <f>-15.097-AF229-AE229</f>
        <v>-12.876999999999999</v>
      </c>
      <c r="AH229" s="109">
        <f>-16.965-AG229-AF229-AE229</f>
        <v>-1.8680000000000012</v>
      </c>
      <c r="AI229" s="109">
        <v>-22.984999999999999</v>
      </c>
      <c r="AJ229" s="109">
        <f>-33.926-AI229</f>
        <v>-10.941000000000003</v>
      </c>
      <c r="AK229" s="109">
        <f>-49.664-SUM(AI229:AJ229)</f>
        <v>-15.738</v>
      </c>
      <c r="AL229" s="109">
        <f>-46.829-AK229-AJ229-AI229</f>
        <v>2.8350000000000009</v>
      </c>
      <c r="AM229" s="109">
        <v>21.344000000000001</v>
      </c>
      <c r="AN229" s="109">
        <f>43.451-AM229</f>
        <v>22.106999999999999</v>
      </c>
      <c r="AO229" s="109">
        <f>36.587-AN229-AM229</f>
        <v>-6.8639999999999972</v>
      </c>
      <c r="AP229" s="109">
        <f>62.465-AO229-AN229-AM229</f>
        <v>25.878000000000007</v>
      </c>
      <c r="AQ229" s="109">
        <v>-0.52200000000000002</v>
      </c>
      <c r="AR229" s="109">
        <f>4.312-AQ229</f>
        <v>4.8340000000000005</v>
      </c>
      <c r="AS229" s="109">
        <f>2.979-AR229-AQ229</f>
        <v>-1.3330000000000004</v>
      </c>
      <c r="AT229" s="109">
        <f>-12.996-AS229-AR229-AQ229</f>
        <v>-15.975</v>
      </c>
      <c r="AU229" s="109">
        <v>-51.747</v>
      </c>
      <c r="AV229" s="109">
        <f>-69.4-AU229</f>
        <v>-17.653000000000006</v>
      </c>
      <c r="AW229" s="109">
        <f>-106.119-AV229-AU229</f>
        <v>-36.718999999999994</v>
      </c>
      <c r="AX229" s="109">
        <f>-110.92-AW229-AV229-AU229</f>
        <v>-4.8010000000000019</v>
      </c>
      <c r="AY229" s="12">
        <f t="shared" ref="AY229:BB230" si="299">AX253-AY253</f>
        <v>-6.6794076361643704</v>
      </c>
      <c r="AZ229" s="12">
        <f t="shared" si="299"/>
        <v>-27.625601450958897</v>
      </c>
      <c r="BA229" s="12">
        <f t="shared" si="299"/>
        <v>-77.552251673424621</v>
      </c>
      <c r="BB229" s="12">
        <f t="shared" si="299"/>
        <v>-15.070777328219208</v>
      </c>
      <c r="BC229" s="12">
        <f t="shared" ref="BC229:BJ230" si="300">BB253-BC253</f>
        <v>-2.2671575825543755</v>
      </c>
      <c r="BD229" s="12">
        <f t="shared" si="300"/>
        <v>-2.5920516493636114</v>
      </c>
      <c r="BE229" s="12">
        <f t="shared" si="300"/>
        <v>-3.1072342677712186</v>
      </c>
      <c r="BF229" s="12">
        <f t="shared" si="300"/>
        <v>0.95939564034279101</v>
      </c>
      <c r="BG229" s="12">
        <f t="shared" si="300"/>
        <v>-3.2497813131457178</v>
      </c>
      <c r="BH229" s="12">
        <f t="shared" si="300"/>
        <v>-4.9324613580933487</v>
      </c>
      <c r="BI229" s="12">
        <f t="shared" si="300"/>
        <v>-1.811929378762386</v>
      </c>
      <c r="BJ229" s="12">
        <f t="shared" si="300"/>
        <v>2.4339783147856338</v>
      </c>
      <c r="BK229" s="1"/>
      <c r="BL229" s="91"/>
      <c r="BM229" s="23">
        <f t="shared" si="283"/>
        <v>223</v>
      </c>
    </row>
    <row r="230" spans="1:65" ht="12.75" customHeight="1" outlineLevel="1">
      <c r="A230" s="118"/>
      <c r="B230" s="5" t="s">
        <v>46</v>
      </c>
      <c r="C230" s="12"/>
      <c r="D230" s="12"/>
      <c r="E230" s="12">
        <f>-2.112-0.233</f>
        <v>-2.3450000000000002</v>
      </c>
      <c r="F230" s="12">
        <v>-0.22500000000000001</v>
      </c>
      <c r="G230" s="12">
        <v>0.86899999999999999</v>
      </c>
      <c r="H230" s="12">
        <f>SUM(INDEX($S230:$AH230,H$5):INDEX($S230:$AH230,H$6))</f>
        <v>-6.8890000000000011</v>
      </c>
      <c r="I230" s="12">
        <f>SUM(INDEX($S230:$AH230,I$5):INDEX($S230:$AH230,I$6))</f>
        <v>-10.528</v>
      </c>
      <c r="J230" s="12">
        <f>SUM(INDEX($S230:$AH230,J$5):INDEX($S230:$AH230,J$6))</f>
        <v>-24.376999999999999</v>
      </c>
      <c r="K230" s="12">
        <f>SUM(INDEX($S230:$BK230,K$5):INDEX($S230:$BK230,K$6))</f>
        <v>3.3999999999999808E-2</v>
      </c>
      <c r="L230" s="12">
        <f>SUM(INDEX($S230:$BK230,L$5):INDEX($S230:$BK230,L$6))</f>
        <v>1.7080000000000002</v>
      </c>
      <c r="M230" s="12">
        <f>SUM(INDEX($S230:$BK230,M$5):INDEX($S230:$BK230,M$6))</f>
        <v>-10.211</v>
      </c>
      <c r="N230" s="12">
        <f>SUM(INDEX($S230:$BK230,N$5):INDEX($S230:$BK230,N$6))</f>
        <v>-4.8250000000000002</v>
      </c>
      <c r="O230" s="12">
        <f>SUM(INDEX($S230:$BK230,O$5):INDEX($S230:$BK230,O$6))</f>
        <v>-43.227983342465762</v>
      </c>
      <c r="P230" s="12">
        <f>SUM(INDEX($S230:$BK230,P$5):INDEX($S230:$BK230,P$6))</f>
        <v>-9.5123953084931543</v>
      </c>
      <c r="Q230" s="12">
        <f>SUM(INDEX($S230:$BK230,Q$5):INDEX($S230:$BK230,Q$6))</f>
        <v>-3.5191274965150683</v>
      </c>
      <c r="R230" s="51"/>
      <c r="S230" s="12"/>
      <c r="T230" s="12"/>
      <c r="U230" s="12"/>
      <c r="V230" s="12"/>
      <c r="W230" s="109">
        <v>1.0489999999999999</v>
      </c>
      <c r="X230" s="109">
        <v>-0.26</v>
      </c>
      <c r="Y230" s="109">
        <v>-4.2510000000000003</v>
      </c>
      <c r="Z230" s="133">
        <f>-6.889-Y230-X230-W230</f>
        <v>-3.427</v>
      </c>
      <c r="AA230" s="133">
        <v>-2.629</v>
      </c>
      <c r="AB230" s="133">
        <f>-10.824-AA230</f>
        <v>-8.1950000000000003</v>
      </c>
      <c r="AC230" s="133">
        <f>-6.921-AB230-AA230</f>
        <v>3.903</v>
      </c>
      <c r="AD230" s="109">
        <f>-10.528-SUM(AA230:AC230)</f>
        <v>-3.6070000000000011</v>
      </c>
      <c r="AE230" s="109">
        <v>-2.9409999999999998</v>
      </c>
      <c r="AF230" s="109">
        <f>-12.355-AE230</f>
        <v>-9.4140000000000015</v>
      </c>
      <c r="AG230" s="109">
        <f>-19.292-AF230-AE230</f>
        <v>-6.9370000000000003</v>
      </c>
      <c r="AH230" s="109">
        <f>-24.377-AG230-AF230-AE230</f>
        <v>-5.0849999999999964</v>
      </c>
      <c r="AI230" s="109">
        <v>13.041</v>
      </c>
      <c r="AJ230" s="109">
        <f>5.562-AI230</f>
        <v>-7.4790000000000001</v>
      </c>
      <c r="AK230" s="109">
        <f>2.104-SUM(AI230:AJ230)</f>
        <v>-3.4580000000000002</v>
      </c>
      <c r="AL230" s="109">
        <f>0.034-AK230-AJ230-AI230</f>
        <v>-2.0700000000000003</v>
      </c>
      <c r="AM230" s="109">
        <v>1.677</v>
      </c>
      <c r="AN230" s="109">
        <f>2.529-AM230</f>
        <v>0.85199999999999987</v>
      </c>
      <c r="AO230" s="109">
        <f>-3.959-AN230-AM230</f>
        <v>-6.4879999999999995</v>
      </c>
      <c r="AP230" s="109">
        <f>1.708-AO230-AN230-AM230</f>
        <v>5.6669999999999998</v>
      </c>
      <c r="AQ230" s="109">
        <v>-2.0870000000000002</v>
      </c>
      <c r="AR230" s="109">
        <f>-2.154-AQ230</f>
        <v>-6.6999999999999726E-2</v>
      </c>
      <c r="AS230" s="109">
        <f>-8.931-AR230-AQ230</f>
        <v>-6.7769999999999992</v>
      </c>
      <c r="AT230" s="109">
        <f>-10.211-AS230-AR230-AQ230</f>
        <v>-1.2800000000000011</v>
      </c>
      <c r="AU230" s="109">
        <v>9.2509999999999994</v>
      </c>
      <c r="AV230" s="109">
        <f>5.207-AU230</f>
        <v>-4.0439999999999996</v>
      </c>
      <c r="AW230" s="109">
        <f>-0.521-AV230-AU230</f>
        <v>-5.7279999999999998</v>
      </c>
      <c r="AX230" s="109">
        <f>-4.825-AW230-AV230-AU230</f>
        <v>-4.3040000000000003</v>
      </c>
      <c r="AY230" s="12">
        <f t="shared" si="299"/>
        <v>-3.5115701917808195</v>
      </c>
      <c r="AZ230" s="12">
        <f t="shared" si="299"/>
        <v>-5.1226089863013726</v>
      </c>
      <c r="BA230" s="12">
        <f t="shared" si="299"/>
        <v>-28.571971397260242</v>
      </c>
      <c r="BB230" s="12">
        <f t="shared" si="299"/>
        <v>-6.0218327671233283</v>
      </c>
      <c r="BC230" s="12">
        <f t="shared" si="300"/>
        <v>-3.0591794893150848</v>
      </c>
      <c r="BD230" s="12">
        <f t="shared" si="300"/>
        <v>-2.2556705901369583</v>
      </c>
      <c r="BE230" s="12">
        <f t="shared" si="300"/>
        <v>-2.7119102186301234</v>
      </c>
      <c r="BF230" s="12">
        <f t="shared" si="300"/>
        <v>-1.4856350104109879</v>
      </c>
      <c r="BG230" s="12">
        <f t="shared" si="300"/>
        <v>-1.7911826411177856</v>
      </c>
      <c r="BH230" s="12">
        <f t="shared" si="300"/>
        <v>-1.3156371978411414</v>
      </c>
      <c r="BI230" s="12">
        <f t="shared" si="300"/>
        <v>-0.83912203518900697</v>
      </c>
      <c r="BJ230" s="12">
        <f t="shared" si="300"/>
        <v>0.42681437763286567</v>
      </c>
      <c r="BK230" s="1"/>
      <c r="BL230" s="91"/>
      <c r="BM230" s="23">
        <f t="shared" si="283"/>
        <v>224</v>
      </c>
    </row>
    <row r="231" spans="1:65" ht="12.75" customHeight="1" outlineLevel="1">
      <c r="A231" s="118"/>
      <c r="B231" s="5" t="s">
        <v>61</v>
      </c>
      <c r="C231" s="12"/>
      <c r="D231" s="12"/>
      <c r="E231" s="12">
        <f>-0.884+0.114</f>
        <v>-0.77</v>
      </c>
      <c r="F231" s="12">
        <v>1.5209999999999999</v>
      </c>
      <c r="G231" s="12">
        <v>0.19400000000000001</v>
      </c>
      <c r="H231" s="12">
        <f>SUM(INDEX($S231:$AH231,H$5):INDEX($S231:$AH231,H$6))</f>
        <v>-5.370000000000001</v>
      </c>
      <c r="I231" s="12">
        <f>SUM(INDEX($S231:$AH231,I$5):INDEX($S231:$AH231,I$6))</f>
        <v>1.823</v>
      </c>
      <c r="J231" s="12">
        <f>SUM(INDEX($S231:$AH231,J$5):INDEX($S231:$AH231,J$6))</f>
        <v>-4.532</v>
      </c>
      <c r="K231" s="12">
        <f>SUM(INDEX($S231:$BK231,K$5):INDEX($S231:$BK231,K$6))</f>
        <v>-2.1580000000000004</v>
      </c>
      <c r="L231" s="12">
        <f>SUM(INDEX($S231:$BK231,L$5):INDEX($S231:$BK231,L$6))</f>
        <v>-0.7079999999999993</v>
      </c>
      <c r="M231" s="12">
        <f>SUM(INDEX($S231:$BK231,M$5):INDEX($S231:$BK231,M$6))</f>
        <v>-0.50899999999999967</v>
      </c>
      <c r="N231" s="12">
        <f>SUM(INDEX($S231:$BK231,N$5):INDEX($S231:$BK231,N$6))</f>
        <v>8.7870000000000008</v>
      </c>
      <c r="O231" s="12">
        <f>SUM(INDEX($S231:$BK231,O$5):INDEX($S231:$BK231,O$6))</f>
        <v>0</v>
      </c>
      <c r="P231" s="12">
        <f>SUM(INDEX($S231:$BK231,P$5):INDEX($S231:$BK231,P$6))</f>
        <v>0</v>
      </c>
      <c r="Q231" s="12">
        <f>SUM(INDEX($S231:$BK231,Q$5):INDEX($S231:$BK231,Q$6))</f>
        <v>0</v>
      </c>
      <c r="R231" s="51"/>
      <c r="S231" s="12"/>
      <c r="T231" s="12"/>
      <c r="U231" s="12"/>
      <c r="V231" s="12"/>
      <c r="W231" s="109">
        <v>0.73299999999999998</v>
      </c>
      <c r="X231" s="109">
        <f>0.029-0.035</f>
        <v>-6.0000000000000019E-3</v>
      </c>
      <c r="Y231" s="109">
        <f>-1.941+0.018</f>
        <v>-1.923</v>
      </c>
      <c r="Z231" s="133">
        <f>-5.37-Y231-X231-W231</f>
        <v>-4.1740000000000004</v>
      </c>
      <c r="AA231" s="133">
        <v>2.7570000000000001</v>
      </c>
      <c r="AB231" s="133">
        <f>1.396-AA231</f>
        <v>-1.3610000000000002</v>
      </c>
      <c r="AC231" s="133">
        <f>-0.038-AB231-AA231</f>
        <v>-1.4339999999999999</v>
      </c>
      <c r="AD231" s="109">
        <f>1.823-SUM(AA231:AC231)</f>
        <v>1.861</v>
      </c>
      <c r="AE231" s="109">
        <v>-0.94799999999999995</v>
      </c>
      <c r="AF231" s="109">
        <f>-0.979-AE231</f>
        <v>-3.1000000000000028E-2</v>
      </c>
      <c r="AG231" s="109">
        <f>-4.088-AF231-AE231</f>
        <v>-3.1090000000000004</v>
      </c>
      <c r="AH231" s="109">
        <f>-4.532-AG231-AF231-AE231</f>
        <v>-0.44399999999999951</v>
      </c>
      <c r="AI231" s="109">
        <v>-2.786</v>
      </c>
      <c r="AJ231" s="109">
        <f>-2.659-AI231</f>
        <v>0.12700000000000022</v>
      </c>
      <c r="AK231" s="109">
        <f>-1.378-SUM(AI231:AJ231)</f>
        <v>1.2809999999999999</v>
      </c>
      <c r="AL231" s="109">
        <f>-2.158-AK231-AJ231-AI231</f>
        <v>-0.78000000000000025</v>
      </c>
      <c r="AM231" s="109">
        <v>-1.512</v>
      </c>
      <c r="AN231" s="109">
        <f>-0.445-AM231</f>
        <v>1.0669999999999999</v>
      </c>
      <c r="AO231" s="109">
        <f>-3.303-AN231-AM231</f>
        <v>-2.8580000000000001</v>
      </c>
      <c r="AP231" s="109">
        <f>-0.708-AO231-AN231-AM231</f>
        <v>2.5950000000000006</v>
      </c>
      <c r="AQ231" s="109">
        <v>-0.45400000000000001</v>
      </c>
      <c r="AR231" s="109">
        <f>1.022-AQ231</f>
        <v>1.476</v>
      </c>
      <c r="AS231" s="109">
        <f>-2.259-AR231-AQ231</f>
        <v>-3.2809999999999997</v>
      </c>
      <c r="AT231" s="109">
        <f>-0.509-AS231-AR231-AQ231</f>
        <v>1.7499999999999998</v>
      </c>
      <c r="AU231" s="109">
        <v>-7.8E-2</v>
      </c>
      <c r="AV231" s="109">
        <f>2.069-AU231</f>
        <v>2.1469999999999998</v>
      </c>
      <c r="AW231" s="109">
        <f>7.449-AV231-AU231</f>
        <v>5.38</v>
      </c>
      <c r="AX231" s="109">
        <f>8.787-AW231-AV231-AU231</f>
        <v>1.3380000000000012</v>
      </c>
      <c r="AY231" s="12">
        <f>AX256-AY256</f>
        <v>0</v>
      </c>
      <c r="AZ231" s="12">
        <f>AY256-AZ256</f>
        <v>0</v>
      </c>
      <c r="BA231" s="12">
        <f>AZ256-BA256</f>
        <v>0</v>
      </c>
      <c r="BB231" s="12">
        <f>BA256-BB256</f>
        <v>0</v>
      </c>
      <c r="BC231" s="12">
        <f t="shared" ref="BC231:BJ231" si="301">BB256-BC256</f>
        <v>0</v>
      </c>
      <c r="BD231" s="12">
        <f t="shared" si="301"/>
        <v>0</v>
      </c>
      <c r="BE231" s="12">
        <f t="shared" si="301"/>
        <v>0</v>
      </c>
      <c r="BF231" s="12">
        <f t="shared" si="301"/>
        <v>0</v>
      </c>
      <c r="BG231" s="12">
        <f t="shared" si="301"/>
        <v>0</v>
      </c>
      <c r="BH231" s="12">
        <f t="shared" si="301"/>
        <v>0</v>
      </c>
      <c r="BI231" s="12">
        <f t="shared" si="301"/>
        <v>0</v>
      </c>
      <c r="BJ231" s="12">
        <f t="shared" si="301"/>
        <v>0</v>
      </c>
      <c r="BK231" s="1"/>
      <c r="BL231" s="91"/>
      <c r="BM231" s="23">
        <f t="shared" si="283"/>
        <v>225</v>
      </c>
    </row>
    <row r="232" spans="1:65" ht="12.75" customHeight="1" outlineLevel="1">
      <c r="A232" s="118"/>
      <c r="B232" s="5" t="s">
        <v>62</v>
      </c>
      <c r="C232" s="12"/>
      <c r="D232" s="12"/>
      <c r="E232" s="12">
        <f>0.167-0.64</f>
        <v>-0.47299999999999998</v>
      </c>
      <c r="F232" s="12">
        <v>0.84</v>
      </c>
      <c r="G232" s="12">
        <v>-2.3410000000000002</v>
      </c>
      <c r="H232" s="12">
        <f>SUM(INDEX($S232:$AH232,H$5):INDEX($S232:$AH232,H$6))</f>
        <v>-1.7450000000000003</v>
      </c>
      <c r="I232" s="12">
        <f>SUM(INDEX($S232:$AH232,I$5):INDEX($S232:$AH232,I$6))</f>
        <v>24.491</v>
      </c>
      <c r="J232" s="12">
        <f>SUM(INDEX($S232:$AH232,J$5):INDEX($S232:$AH232,J$6))</f>
        <v>-18.178999999999998</v>
      </c>
      <c r="K232" s="12">
        <f>SUM(INDEX($S232:$BK232,K$5):INDEX($S232:$BK232,K$6))</f>
        <v>2.0630000000000006</v>
      </c>
      <c r="L232" s="12">
        <f>SUM(INDEX($S232:$BK232,L$5):INDEX($S232:$BK232,L$6))</f>
        <v>-5.8369999999999997</v>
      </c>
      <c r="M232" s="12">
        <f>SUM(INDEX($S232:$BK232,M$5):INDEX($S232:$BK232,M$6))</f>
        <v>11.558</v>
      </c>
      <c r="N232" s="12">
        <f>SUM(INDEX($S232:$BK232,N$5):INDEX($S232:$BK232,N$6))</f>
        <v>1.4690000000000012</v>
      </c>
      <c r="O232" s="12">
        <f>SUM(INDEX($S232:$BK232,O$5):INDEX($S232:$BK232,O$6))</f>
        <v>0</v>
      </c>
      <c r="P232" s="12">
        <f>SUM(INDEX($S232:$BK232,P$5):INDEX($S232:$BK232,P$6))</f>
        <v>0</v>
      </c>
      <c r="Q232" s="12">
        <f>SUM(INDEX($S232:$BK232,Q$5):INDEX($S232:$BK232,Q$6))</f>
        <v>0</v>
      </c>
      <c r="R232" s="51"/>
      <c r="S232" s="12"/>
      <c r="T232" s="12"/>
      <c r="U232" s="12"/>
      <c r="V232" s="12"/>
      <c r="W232" s="109">
        <v>0.83799999999999997</v>
      </c>
      <c r="X232" s="109">
        <v>-0.91200000000000003</v>
      </c>
      <c r="Y232" s="109">
        <v>1.1339999999999999</v>
      </c>
      <c r="Z232" s="133">
        <f>-1.745-Y232-X232-W232</f>
        <v>-2.8050000000000002</v>
      </c>
      <c r="AA232" s="133">
        <v>6.4450000000000003</v>
      </c>
      <c r="AB232" s="133">
        <f>11.118-AA232</f>
        <v>4.673</v>
      </c>
      <c r="AC232" s="133">
        <f>14.092-AA232-AB232</f>
        <v>2.9740000000000002</v>
      </c>
      <c r="AD232" s="109">
        <f>24.491-SUM(AA232:AC232)</f>
        <v>10.398999999999999</v>
      </c>
      <c r="AE232" s="109">
        <v>-14.351000000000001</v>
      </c>
      <c r="AF232" s="109">
        <f>-22.292-AE232</f>
        <v>-7.9410000000000007</v>
      </c>
      <c r="AG232" s="109">
        <f>-22.402-AF232-AE232</f>
        <v>-0.10999999999999943</v>
      </c>
      <c r="AH232" s="109">
        <f>-18.179-AG232-AF232-AE232</f>
        <v>4.2230000000000025</v>
      </c>
      <c r="AI232" s="109">
        <v>3.0489999999999999</v>
      </c>
      <c r="AJ232" s="109">
        <f>-3.31-AI232</f>
        <v>-6.359</v>
      </c>
      <c r="AK232" s="109">
        <v>-8.4000000000000005E-2</v>
      </c>
      <c r="AL232" s="109">
        <f>2.063-AK232-AJ232-AI232</f>
        <v>5.4570000000000007</v>
      </c>
      <c r="AM232" s="109">
        <v>5.742</v>
      </c>
      <c r="AN232" s="109">
        <f>-3.233-AM232</f>
        <v>-8.9749999999999996</v>
      </c>
      <c r="AO232" s="109">
        <f>-5.514-AN232-AM232</f>
        <v>-2.2810000000000006</v>
      </c>
      <c r="AP232" s="109">
        <f>-5.837-AO232-AN232-AM232</f>
        <v>-0.32299999999999951</v>
      </c>
      <c r="AQ232" s="109">
        <v>5.6440000000000001</v>
      </c>
      <c r="AR232" s="109">
        <f>5.438-AQ232</f>
        <v>-0.20600000000000041</v>
      </c>
      <c r="AS232" s="109">
        <f>5.223-AR232-AQ232</f>
        <v>-0.21499999999999986</v>
      </c>
      <c r="AT232" s="109">
        <f>11.558-AS232-AR232-AQ232</f>
        <v>6.3349999999999991</v>
      </c>
      <c r="AU232" s="109">
        <v>6.8000000000000005E-2</v>
      </c>
      <c r="AV232" s="109">
        <f>4.257-AU232</f>
        <v>4.1890000000000001</v>
      </c>
      <c r="AW232" s="109">
        <f>9.737-AV232-AU232</f>
        <v>5.48</v>
      </c>
      <c r="AX232" s="109">
        <f>1.469-AW232-AV232-AU232</f>
        <v>-8.2679999999999989</v>
      </c>
      <c r="AY232" s="109">
        <v>0</v>
      </c>
      <c r="AZ232" s="109">
        <v>0</v>
      </c>
      <c r="BA232" s="109">
        <v>0</v>
      </c>
      <c r="BB232" s="109">
        <v>0</v>
      </c>
      <c r="BC232" s="109">
        <v>0</v>
      </c>
      <c r="BD232" s="109">
        <v>0</v>
      </c>
      <c r="BE232" s="109">
        <v>0</v>
      </c>
      <c r="BF232" s="109">
        <v>0</v>
      </c>
      <c r="BG232" s="109">
        <v>0</v>
      </c>
      <c r="BH232" s="109">
        <v>0</v>
      </c>
      <c r="BI232" s="109">
        <v>0</v>
      </c>
      <c r="BJ232" s="109">
        <v>0</v>
      </c>
      <c r="BK232" s="1"/>
      <c r="BL232" s="91"/>
      <c r="BM232" s="23">
        <f t="shared" si="283"/>
        <v>226</v>
      </c>
    </row>
    <row r="233" spans="1:65" ht="12.75" customHeight="1" outlineLevel="1">
      <c r="A233" s="118"/>
      <c r="B233" s="5" t="s">
        <v>63</v>
      </c>
      <c r="C233" s="12"/>
      <c r="D233" s="12"/>
      <c r="E233" s="12">
        <f>2.606-2.32</f>
        <v>0.28600000000000003</v>
      </c>
      <c r="F233" s="12">
        <v>-5.2930000000000001</v>
      </c>
      <c r="G233" s="12">
        <v>4.282</v>
      </c>
      <c r="H233" s="12">
        <f>SUM(INDEX($S233:$AH233,H$5):INDEX($S233:$AH233,H$6))</f>
        <v>25.36</v>
      </c>
      <c r="I233" s="12">
        <f>SUM(INDEX($S233:$AH233,I$5):INDEX($S233:$AH233,I$6))</f>
        <v>8.4580000000000002</v>
      </c>
      <c r="J233" s="12">
        <f>SUM(INDEX($S233:$AH233,J$5):INDEX($S233:$AH233,J$6))</f>
        <v>1.3849999999999989</v>
      </c>
      <c r="K233" s="12">
        <f>SUM(INDEX($S233:$BK233,K$5):INDEX($S233:$BK233,K$6))</f>
        <v>51.356999999999999</v>
      </c>
      <c r="L233" s="12">
        <f>SUM(INDEX($S233:$BK233,L$5):INDEX($S233:$BK233,L$6))</f>
        <v>-42.353000000000002</v>
      </c>
      <c r="M233" s="12">
        <f>SUM(INDEX($S233:$BK233,M$5):INDEX($S233:$BK233,M$6))</f>
        <v>13.121</v>
      </c>
      <c r="N233" s="12">
        <f>SUM(INDEX($S233:$BK233,N$5):INDEX($S233:$BK233,N$6))</f>
        <v>59.768999999999998</v>
      </c>
      <c r="O233" s="12">
        <f>SUM(INDEX($S233:$BK233,O$5):INDEX($S233:$BK233,O$6))</f>
        <v>82.180612871264543</v>
      </c>
      <c r="P233" s="12">
        <f>SUM(INDEX($S233:$BK233,P$5):INDEX($S233:$BK233,P$6))</f>
        <v>16.008774225716273</v>
      </c>
      <c r="Q233" s="12">
        <f>SUM(INDEX($S233:$BK233,Q$5):INDEX($S233:$BK233,Q$6))</f>
        <v>6.4409519844733651</v>
      </c>
      <c r="R233" s="51"/>
      <c r="S233" s="12"/>
      <c r="T233" s="12"/>
      <c r="U233" s="12"/>
      <c r="V233" s="12"/>
      <c r="W233" s="109">
        <v>-1.1100000000000001</v>
      </c>
      <c r="X233" s="109">
        <v>4.3369999999999997</v>
      </c>
      <c r="Y233" s="109">
        <v>-0.79</v>
      </c>
      <c r="Z233" s="133">
        <f>25.36-Y233-X233-W233</f>
        <v>22.922999999999998</v>
      </c>
      <c r="AA233" s="133">
        <v>-9.9779999999999998</v>
      </c>
      <c r="AB233" s="133">
        <f>7.754-AA233</f>
        <v>17.731999999999999</v>
      </c>
      <c r="AC233" s="133">
        <f>10.559-AB233-AA233</f>
        <v>2.8049999999999997</v>
      </c>
      <c r="AD233" s="109">
        <f>8.458-SUM(AA233:AC233)</f>
        <v>-2.1009999999999991</v>
      </c>
      <c r="AE233" s="109">
        <v>-6.4269999999999996</v>
      </c>
      <c r="AF233" s="109">
        <f>-6.925-AE233</f>
        <v>-0.49800000000000022</v>
      </c>
      <c r="AG233" s="109">
        <f>4.541-AF233-AE233</f>
        <v>11.466000000000001</v>
      </c>
      <c r="AH233" s="109">
        <f>1.385-AG233-AF233-AE233</f>
        <v>-3.1560000000000024</v>
      </c>
      <c r="AI233" s="109">
        <v>9.1110000000000007</v>
      </c>
      <c r="AJ233" s="109">
        <f>17.647-AI233</f>
        <v>8.5359999999999978</v>
      </c>
      <c r="AK233" s="109">
        <f>32.214-SUM(AI233:AJ233)</f>
        <v>14.567</v>
      </c>
      <c r="AL233" s="109">
        <f>51.357-AK233-AJ233-AI233</f>
        <v>19.143000000000001</v>
      </c>
      <c r="AM233" s="109">
        <v>-33.071000000000012</v>
      </c>
      <c r="AN233" s="109">
        <f>-35.446-AM233</f>
        <v>-2.3749999999999858</v>
      </c>
      <c r="AO233" s="109">
        <f>-31.655-AN233-AM233</f>
        <v>3.7909999999999968</v>
      </c>
      <c r="AP233" s="109">
        <f>-42.353-AO233-AN233-AM233</f>
        <v>-10.698</v>
      </c>
      <c r="AQ233" s="109">
        <v>-4.3979999999999997</v>
      </c>
      <c r="AR233" s="109">
        <f>-1.584-AQ233</f>
        <v>2.8139999999999996</v>
      </c>
      <c r="AS233" s="109">
        <f>11.679-AR233-AQ233</f>
        <v>13.263</v>
      </c>
      <c r="AT233" s="109">
        <f>13.121-AS233-AR233-AQ233</f>
        <v>1.4420000000000006</v>
      </c>
      <c r="AU233" s="109">
        <v>0.83099999999999996</v>
      </c>
      <c r="AV233" s="109">
        <f>32.331-AU233</f>
        <v>31.500000000000004</v>
      </c>
      <c r="AW233" s="109">
        <f>68.927-AV233-AU233</f>
        <v>36.596000000000004</v>
      </c>
      <c r="AX233" s="109">
        <f>59.769-AW233-AV233-AU233</f>
        <v>-9.1580000000000084</v>
      </c>
      <c r="AY233" s="12">
        <f>AY268-AX268+AY269-AX269</f>
        <v>5.8438928024512222</v>
      </c>
      <c r="AZ233" s="12">
        <f>AZ268-AY268+AZ269-AY269</f>
        <v>11.110367577766002</v>
      </c>
      <c r="BA233" s="12">
        <f>BA268-AZ268+BA269-AZ269</f>
        <v>53.982061782881516</v>
      </c>
      <c r="BB233" s="12">
        <f>BB268-BA268+BB269-BA269</f>
        <v>11.244290708165806</v>
      </c>
      <c r="BC233" s="12">
        <f t="shared" ref="BC233:BJ233" si="302">BC268-BB268+BC269-BB269</f>
        <v>5.1498396633540935</v>
      </c>
      <c r="BD233" s="12">
        <f t="shared" si="302"/>
        <v>3.8932632570330554</v>
      </c>
      <c r="BE233" s="12">
        <f t="shared" si="302"/>
        <v>4.6797788074266435</v>
      </c>
      <c r="BF233" s="12">
        <f t="shared" si="302"/>
        <v>2.2858924979024806</v>
      </c>
      <c r="BG233" s="12">
        <f t="shared" si="302"/>
        <v>3.2159114447971078</v>
      </c>
      <c r="BH233" s="12">
        <f t="shared" si="302"/>
        <v>2.6277696172833203</v>
      </c>
      <c r="BI233" s="12">
        <f t="shared" si="302"/>
        <v>1.5367829320062754</v>
      </c>
      <c r="BJ233" s="12">
        <f t="shared" si="302"/>
        <v>-0.93951200961333825</v>
      </c>
      <c r="BK233" s="1"/>
      <c r="BL233" s="91"/>
      <c r="BM233" s="23">
        <f t="shared" si="283"/>
        <v>227</v>
      </c>
    </row>
    <row r="234" spans="1:65" ht="12.75" customHeight="1" outlineLevel="1">
      <c r="A234" s="118"/>
      <c r="B234" s="5" t="s">
        <v>119</v>
      </c>
      <c r="C234" s="12"/>
      <c r="D234" s="12"/>
      <c r="E234" s="12">
        <f>0.163-0.001</f>
        <v>0.16200000000000001</v>
      </c>
      <c r="F234" s="12">
        <v>-8.7999999999999995E-2</v>
      </c>
      <c r="G234" s="12">
        <v>2.1999999999999999E-2</v>
      </c>
      <c r="H234" s="12">
        <f>SUM(INDEX($S234:$AH234,H$5):INDEX($S234:$AH234,H$6))</f>
        <v>1.5579999999999998</v>
      </c>
      <c r="I234" s="12">
        <f>SUM(INDEX($S234:$AH234,I$5):INDEX($S234:$AH234,I$6))</f>
        <v>-9.0860000000000003</v>
      </c>
      <c r="J234" s="12">
        <f>SUM(INDEX($S234:$AH234,J$5):INDEX($S234:$AH234,J$6))</f>
        <v>0.75991199999999992</v>
      </c>
      <c r="K234" s="12">
        <f>SUM(INDEX($S234:$BK234,K$5):INDEX($S234:$BK234,K$6))</f>
        <v>1.5000000000000124E-2</v>
      </c>
      <c r="L234" s="12">
        <f>SUM(INDEX($S234:$BK234,L$5):INDEX($S234:$BK234,L$6))</f>
        <v>-2.0000000000000018E-3</v>
      </c>
      <c r="M234" s="12">
        <f>SUM(INDEX($S234:$BK234,M$5):INDEX($S234:$BK234,M$6))</f>
        <v>-0.111</v>
      </c>
      <c r="N234" s="12">
        <f>SUM(INDEX($S234:$BK234,N$5):INDEX($S234:$BK234,N$6))</f>
        <v>2.7999999999999997E-2</v>
      </c>
      <c r="O234" s="12">
        <f>SUM(INDEX($S234:$BK234,O$5):INDEX($S234:$BK234,O$6))</f>
        <v>0</v>
      </c>
      <c r="P234" s="12">
        <f>SUM(INDEX($S234:$BK234,P$5):INDEX($S234:$BK234,P$6))</f>
        <v>0</v>
      </c>
      <c r="Q234" s="12">
        <f>SUM(INDEX($S234:$BK234,Q$5):INDEX($S234:$BK234,Q$6))</f>
        <v>0</v>
      </c>
      <c r="R234" s="51"/>
      <c r="S234" s="12"/>
      <c r="T234" s="12"/>
      <c r="U234" s="12"/>
      <c r="V234" s="12"/>
      <c r="W234" s="109">
        <f>0.484</f>
        <v>0.48399999999999999</v>
      </c>
      <c r="X234" s="109">
        <v>-0.33500000000000002</v>
      </c>
      <c r="Y234" s="109">
        <v>-0.55600000000000005</v>
      </c>
      <c r="Z234" s="133">
        <f>1.558-Y234-X234-W234</f>
        <v>1.9649999999999999</v>
      </c>
      <c r="AA234" s="133">
        <f>-8+0.132</f>
        <v>-7.8680000000000003</v>
      </c>
      <c r="AB234" s="133">
        <f>-8+0.119-AA234</f>
        <v>-1.2999999999999901E-2</v>
      </c>
      <c r="AC234" s="133">
        <f>-8+0.153-4.448-AB234-AA234</f>
        <v>-4.4140000000000015</v>
      </c>
      <c r="AD234" s="133">
        <f>-8-1.657+0.571-SUM(AA234:AC234)</f>
        <v>3.2090000000000014</v>
      </c>
      <c r="AE234" s="133">
        <v>0.152</v>
      </c>
      <c r="AF234" s="133">
        <f>0.146-AE234</f>
        <v>-6.0000000000000053E-3</v>
      </c>
      <c r="AG234" s="133">
        <f>0.043-2.075-AF234-AE234</f>
        <v>-2.1779999999999999</v>
      </c>
      <c r="AH234" s="133">
        <f>0.039+0.574-AG234-AF234*AE234</f>
        <v>2.7919119999999999</v>
      </c>
      <c r="AI234" s="133">
        <v>-0.151</v>
      </c>
      <c r="AJ234" s="133">
        <f>0-AI234</f>
        <v>0.151</v>
      </c>
      <c r="AK234" s="133">
        <f>-0.005-2.786-SUM(AI234:AJ234)</f>
        <v>-2.7909999999999999</v>
      </c>
      <c r="AL234" s="133">
        <f>0.015-AK234-AJ234-AI234</f>
        <v>2.806</v>
      </c>
      <c r="AM234" s="133">
        <v>0</v>
      </c>
      <c r="AN234" s="133">
        <f>0.927-AM234</f>
        <v>0.92700000000000005</v>
      </c>
      <c r="AO234" s="133">
        <f>-0.002-AN234-AM234</f>
        <v>-0.92900000000000005</v>
      </c>
      <c r="AP234" s="133">
        <f>-0.002-AO234-AN234-AM234</f>
        <v>0</v>
      </c>
      <c r="AQ234" s="133">
        <f>-0.001</f>
        <v>-1E-3</v>
      </c>
      <c r="AR234" s="133">
        <f>-0.001-AQ234</f>
        <v>0</v>
      </c>
      <c r="AS234" s="133">
        <f>-0.001-AR234-AQ234</f>
        <v>0</v>
      </c>
      <c r="AT234" s="133">
        <f>-0.111-AS234-AR234-AQ234</f>
        <v>-0.11</v>
      </c>
      <c r="AU234" s="133">
        <v>-0.1</v>
      </c>
      <c r="AV234" s="133">
        <f>-0.108-AU234</f>
        <v>-7.9999999999999932E-3</v>
      </c>
      <c r="AW234" s="133">
        <f>-0.046-AV234-AU234</f>
        <v>6.2E-2</v>
      </c>
      <c r="AX234" s="133">
        <f>0.028-AW234-AV234-AU234</f>
        <v>7.3999999999999996E-2</v>
      </c>
      <c r="AY234" s="12">
        <f>AY271-AX271</f>
        <v>0</v>
      </c>
      <c r="AZ234" s="12">
        <f>AZ271-AY271</f>
        <v>0</v>
      </c>
      <c r="BA234" s="12">
        <f>BA271-AZ271</f>
        <v>0</v>
      </c>
      <c r="BB234" s="12">
        <f>BB271-BA271</f>
        <v>0</v>
      </c>
      <c r="BC234" s="12">
        <f t="shared" ref="BC234:BJ234" si="303">BC271-BB271</f>
        <v>0</v>
      </c>
      <c r="BD234" s="12">
        <f t="shared" si="303"/>
        <v>0</v>
      </c>
      <c r="BE234" s="12">
        <f t="shared" si="303"/>
        <v>0</v>
      </c>
      <c r="BF234" s="12">
        <f t="shared" si="303"/>
        <v>0</v>
      </c>
      <c r="BG234" s="12">
        <f t="shared" si="303"/>
        <v>0</v>
      </c>
      <c r="BH234" s="12">
        <f t="shared" si="303"/>
        <v>0</v>
      </c>
      <c r="BI234" s="12">
        <f t="shared" si="303"/>
        <v>0</v>
      </c>
      <c r="BJ234" s="12">
        <f t="shared" si="303"/>
        <v>0</v>
      </c>
      <c r="BK234" s="1"/>
      <c r="BL234" s="91"/>
      <c r="BM234" s="23">
        <f t="shared" si="283"/>
        <v>228</v>
      </c>
    </row>
    <row r="235" spans="1:65" ht="12.75" customHeight="1" outlineLevel="1">
      <c r="A235" s="118"/>
      <c r="B235" s="263" t="s">
        <v>48</v>
      </c>
      <c r="C235" s="12"/>
      <c r="D235" s="12"/>
      <c r="E235" s="33">
        <f t="shared" ref="E235:N235" si="304">SUM(E221:E234)</f>
        <v>38.256</v>
      </c>
      <c r="F235" s="33">
        <f t="shared" si="304"/>
        <v>13.863000000000001</v>
      </c>
      <c r="G235" s="33">
        <f t="shared" si="304"/>
        <v>36.737999999999992</v>
      </c>
      <c r="H235" s="33">
        <f t="shared" si="304"/>
        <v>34.184000000000005</v>
      </c>
      <c r="I235" s="33">
        <f t="shared" si="304"/>
        <v>100.92769999999997</v>
      </c>
      <c r="J235" s="33">
        <f t="shared" si="304"/>
        <v>46.451000000000001</v>
      </c>
      <c r="K235" s="33">
        <f t="shared" si="304"/>
        <v>171.41099999999994</v>
      </c>
      <c r="L235" s="33">
        <f t="shared" si="304"/>
        <v>61.49199999999999</v>
      </c>
      <c r="M235" s="33">
        <f t="shared" si="304"/>
        <v>0.38099999999999556</v>
      </c>
      <c r="N235" s="33">
        <f t="shared" si="304"/>
        <v>238.15599999999995</v>
      </c>
      <c r="O235" s="33">
        <f>SUM(O221:O234)</f>
        <v>299.71497349077788</v>
      </c>
      <c r="P235" s="33">
        <f>SUM(P221:P234)</f>
        <v>452.38662805611591</v>
      </c>
      <c r="Q235" s="33">
        <f>SUM(Q221:Q234)</f>
        <v>448.6538899441943</v>
      </c>
      <c r="R235" s="51"/>
      <c r="S235" s="12"/>
      <c r="T235" s="12"/>
      <c r="U235" s="33">
        <f t="shared" ref="U235:AE235" si="305">SUM(U221:U234)</f>
        <v>0</v>
      </c>
      <c r="V235" s="33">
        <f t="shared" si="305"/>
        <v>3.81</v>
      </c>
      <c r="W235" s="135">
        <f t="shared" si="305"/>
        <v>-2.8330000000000002</v>
      </c>
      <c r="X235" s="135">
        <f t="shared" si="305"/>
        <v>17.881999999999998</v>
      </c>
      <c r="Y235" s="135">
        <f t="shared" si="305"/>
        <v>8.5039999999999978</v>
      </c>
      <c r="Z235" s="135">
        <f t="shared" si="305"/>
        <v>10.630999999999997</v>
      </c>
      <c r="AA235" s="135">
        <f t="shared" si="305"/>
        <v>1.5489999999999888</v>
      </c>
      <c r="AB235" s="135">
        <f t="shared" si="305"/>
        <v>43.742999999999988</v>
      </c>
      <c r="AC235" s="135">
        <f t="shared" si="305"/>
        <v>24.697999999999986</v>
      </c>
      <c r="AD235" s="135">
        <f t="shared" si="305"/>
        <v>30.937700000000007</v>
      </c>
      <c r="AE235" s="135">
        <f t="shared" si="305"/>
        <v>-4.911999999999991</v>
      </c>
      <c r="AF235" s="135">
        <f>10.165-AE235</f>
        <v>15.076999999999991</v>
      </c>
      <c r="AG235" s="135">
        <f>28.527-AF235-AE235</f>
        <v>18.362000000000002</v>
      </c>
      <c r="AH235" s="135">
        <f>46.451-AG235-AF235-AE235</f>
        <v>17.923999999999999</v>
      </c>
      <c r="AI235" s="135">
        <v>30.306999999999999</v>
      </c>
      <c r="AJ235" s="135">
        <f>55.222-AI235</f>
        <v>24.915000000000003</v>
      </c>
      <c r="AK235" s="135">
        <f>106.987-SUM(AI235:AJ235)</f>
        <v>51.764999999999993</v>
      </c>
      <c r="AL235" s="135">
        <f>171.411-AK235-AJ235-AI235</f>
        <v>64.424000000000007</v>
      </c>
      <c r="AM235" s="135">
        <v>19.783999999999999</v>
      </c>
      <c r="AN235" s="135">
        <f>38.457-AM235</f>
        <v>18.673000000000002</v>
      </c>
      <c r="AO235" s="135">
        <f>36.416-AN235-AM235</f>
        <v>-2.0410000000000039</v>
      </c>
      <c r="AP235" s="135">
        <f>61.492-AO235-AN235-AM235</f>
        <v>25.076000000000001</v>
      </c>
      <c r="AQ235" s="135">
        <v>-3.754</v>
      </c>
      <c r="AR235" s="135">
        <f>1.321-AQ235</f>
        <v>5.0750000000000002</v>
      </c>
      <c r="AS235" s="135">
        <f>0.7-AR235-AQ235</f>
        <v>-0.621</v>
      </c>
      <c r="AT235" s="135">
        <f>0.381-AS235-AR235-AQ235</f>
        <v>-0.31900000000000039</v>
      </c>
      <c r="AU235" s="135">
        <v>-15.766999999999999</v>
      </c>
      <c r="AV235" s="135">
        <f>84.241-AU235</f>
        <v>100.008</v>
      </c>
      <c r="AW235" s="135">
        <f>189.153-AV235-AU235</f>
        <v>104.91199999999999</v>
      </c>
      <c r="AX235" s="135">
        <f>238.156-AW235-AV235-AU235</f>
        <v>49.003000000000029</v>
      </c>
      <c r="AY235" s="33">
        <f>SUM(AY221:AY234)</f>
        <v>58.097499139006047</v>
      </c>
      <c r="AZ235" s="33">
        <f>SUM(AZ221:AZ234)</f>
        <v>66.130671005115104</v>
      </c>
      <c r="BA235" s="33">
        <f>SUM(BA221:BA234)</f>
        <v>63.363025875799053</v>
      </c>
      <c r="BB235" s="33">
        <f>SUM(BB221:BB234)</f>
        <v>112.1237774708576</v>
      </c>
      <c r="BC235" s="33">
        <f t="shared" ref="BC235:BJ235" si="306">SUM(BC221:BC234)</f>
        <v>117.36090154953811</v>
      </c>
      <c r="BD235" s="33">
        <f t="shared" si="306"/>
        <v>114.34391875715539</v>
      </c>
      <c r="BE235" s="33">
        <f t="shared" si="306"/>
        <v>111.59125082961155</v>
      </c>
      <c r="BF235" s="33">
        <f t="shared" si="306"/>
        <v>109.09055691981085</v>
      </c>
      <c r="BG235" s="33">
        <f t="shared" si="306"/>
        <v>110.17045172080324</v>
      </c>
      <c r="BH235" s="33">
        <f t="shared" si="306"/>
        <v>111.39510153176107</v>
      </c>
      <c r="BI235" s="33">
        <f t="shared" si="306"/>
        <v>113.64746277869671</v>
      </c>
      <c r="BJ235" s="33">
        <f t="shared" si="306"/>
        <v>113.44087391293326</v>
      </c>
      <c r="BK235" s="1"/>
      <c r="BL235" s="91"/>
      <c r="BM235" s="23">
        <f t="shared" si="283"/>
        <v>229</v>
      </c>
    </row>
    <row r="236" spans="1:65" ht="12.75" customHeight="1" outlineLevel="1">
      <c r="A236" s="118"/>
      <c r="B236" s="266" t="s">
        <v>49</v>
      </c>
      <c r="C236" s="12"/>
      <c r="D236" s="12"/>
      <c r="E236" s="12">
        <f>-7.818-2.224</f>
        <v>-10.042</v>
      </c>
      <c r="F236" s="12">
        <v>-13.35</v>
      </c>
      <c r="G236" s="12">
        <v>-15.241</v>
      </c>
      <c r="H236" s="12">
        <f>SUM(INDEX($S236:$AH236,H$5):INDEX($S236:$AH236,H$6))</f>
        <v>-66.745000000000005</v>
      </c>
      <c r="I236" s="12">
        <f>SUM(INDEX($S236:$AH236,I$5):INDEX($S236:$AH236,I$6))</f>
        <v>-105.7</v>
      </c>
      <c r="J236" s="12">
        <f>SUM(INDEX($S236:$AH236,J$5):INDEX($S236:$AH236,J$6))</f>
        <v>-60.47</v>
      </c>
      <c r="K236" s="12">
        <f>SUM(INDEX($S236:$BK236,K$5):INDEX($S236:$BK236,K$6))</f>
        <v>-92.60899999999998</v>
      </c>
      <c r="L236" s="12">
        <f>SUM(INDEX($S236:$BK236,L$5):INDEX($S236:$BK236,L$6))</f>
        <v>-53.646000000000001</v>
      </c>
      <c r="M236" s="12">
        <f>SUM(INDEX($S236:$BK236,M$5):INDEX($S236:$BK236,M$6))</f>
        <v>-46.45</v>
      </c>
      <c r="N236" s="12">
        <f>SUM(INDEX($S236:$BK236,N$5):INDEX($S236:$BK236,N$6))</f>
        <v>-384.62200000000001</v>
      </c>
      <c r="O236" s="12">
        <f>SUM(INDEX($S236:$BK236,O$5):INDEX($S236:$BK236,O$6))</f>
        <v>-332.5</v>
      </c>
      <c r="P236" s="12">
        <f>SUM(INDEX($S236:$BK236,P$5):INDEX($S236:$BK236,P$6))</f>
        <v>-108</v>
      </c>
      <c r="Q236" s="12">
        <f>SUM(INDEX($S236:$BK236,Q$5):INDEX($S236:$BK236,Q$6))</f>
        <v>-70.5</v>
      </c>
      <c r="R236" s="51"/>
      <c r="S236" s="12">
        <v>-4.2709999999999999</v>
      </c>
      <c r="T236" s="12">
        <v>-3.59</v>
      </c>
      <c r="U236" s="12">
        <v>-2.4940000000000007</v>
      </c>
      <c r="V236" s="12">
        <v>-4.8860000000000001</v>
      </c>
      <c r="W236" s="109">
        <v>-5.2990000000000004</v>
      </c>
      <c r="X236" s="109">
        <v>-8.2319999999999993</v>
      </c>
      <c r="Y236" s="109">
        <v>-15.222</v>
      </c>
      <c r="Z236" s="109">
        <f>-66.745-Y236-X236-W236</f>
        <v>-37.992000000000004</v>
      </c>
      <c r="AA236" s="109">
        <v>-14.986000000000001</v>
      </c>
      <c r="AB236" s="109">
        <f>-39.244-AA236</f>
        <v>-24.257999999999999</v>
      </c>
      <c r="AC236" s="109">
        <f>-74.868-AB236-AA236</f>
        <v>-35.623999999999995</v>
      </c>
      <c r="AD236" s="109">
        <f>-105.7-AC236-AB236-AA236</f>
        <v>-30.832000000000011</v>
      </c>
      <c r="AE236" s="109">
        <v>-22.7</v>
      </c>
      <c r="AF236" s="109">
        <f>-31.213-AE236</f>
        <v>-8.5130000000000017</v>
      </c>
      <c r="AG236" s="109">
        <v>-15.6</v>
      </c>
      <c r="AH236" s="109">
        <f>-60.47-AG236-AF236-AE236</f>
        <v>-13.657</v>
      </c>
      <c r="AI236" s="109">
        <v>-10.606</v>
      </c>
      <c r="AJ236" s="109">
        <f>-18.011-AI236</f>
        <v>-7.4049999999999994</v>
      </c>
      <c r="AK236" s="109">
        <f>-51.576-SUM(AI236:AJ236)</f>
        <v>-33.564999999999998</v>
      </c>
      <c r="AL236" s="109">
        <f>-92.609-AK236-AJ236-AI236</f>
        <v>-41.032999999999994</v>
      </c>
      <c r="AM236" s="109">
        <v>-13.377000000000001</v>
      </c>
      <c r="AN236" s="109">
        <f>-27.128-AM236</f>
        <v>-13.750999999999999</v>
      </c>
      <c r="AO236" s="109">
        <f>-38.167-AN236-AM236</f>
        <v>-11.039000000000003</v>
      </c>
      <c r="AP236" s="109">
        <f>-53.646-AO236-AN236-AM236</f>
        <v>-15.479000000000001</v>
      </c>
      <c r="AQ236" s="109">
        <v>-6.0679999999999996</v>
      </c>
      <c r="AR236" s="109">
        <f>-23.388-AQ236</f>
        <v>-17.32</v>
      </c>
      <c r="AS236" s="109">
        <f>-32.756-AR236-AQ236</f>
        <v>-9.3680000000000003</v>
      </c>
      <c r="AT236" s="109">
        <f>-46.45-AS236-AR236-AQ236</f>
        <v>-13.694000000000001</v>
      </c>
      <c r="AU236" s="133">
        <v>-23.646999999999998</v>
      </c>
      <c r="AV236" s="133">
        <f>-158.867-AU236</f>
        <v>-135.22</v>
      </c>
      <c r="AW236" s="133">
        <f>-289.535-AV236-AU236</f>
        <v>-130.66800000000003</v>
      </c>
      <c r="AX236" s="133">
        <f>-384.622-AW236-AV236-AU236</f>
        <v>-95.086999999999989</v>
      </c>
      <c r="AY236" s="60">
        <f t="shared" ref="AY236:BJ236" si="307">AY210</f>
        <v>-153.75</v>
      </c>
      <c r="AZ236" s="60">
        <f t="shared" si="307"/>
        <v>-108.75</v>
      </c>
      <c r="BA236" s="60">
        <f t="shared" si="307"/>
        <v>-35</v>
      </c>
      <c r="BB236" s="60">
        <f t="shared" si="307"/>
        <v>-35</v>
      </c>
      <c r="BC236" s="60">
        <f t="shared" si="307"/>
        <v>-27</v>
      </c>
      <c r="BD236" s="60">
        <f t="shared" si="307"/>
        <v>-27</v>
      </c>
      <c r="BE236" s="60">
        <f t="shared" si="307"/>
        <v>-27</v>
      </c>
      <c r="BF236" s="60">
        <f t="shared" si="307"/>
        <v>-27</v>
      </c>
      <c r="BG236" s="12">
        <f t="shared" si="307"/>
        <v>-27</v>
      </c>
      <c r="BH236" s="12">
        <f t="shared" si="307"/>
        <v>-14.5</v>
      </c>
      <c r="BI236" s="12">
        <f t="shared" si="307"/>
        <v>-14.5</v>
      </c>
      <c r="BJ236" s="12">
        <f t="shared" si="307"/>
        <v>-14.5</v>
      </c>
      <c r="BK236" s="1"/>
      <c r="BL236" s="91"/>
      <c r="BM236" s="23">
        <f t="shared" si="283"/>
        <v>230</v>
      </c>
    </row>
    <row r="237" spans="1:65" ht="12.75" customHeight="1" outlineLevel="1">
      <c r="A237" s="118"/>
      <c r="B237" s="264" t="s">
        <v>50</v>
      </c>
      <c r="C237" s="12"/>
      <c r="D237" s="12"/>
      <c r="E237" s="36">
        <f t="shared" ref="E237:N237" si="308">E235+E236</f>
        <v>28.213999999999999</v>
      </c>
      <c r="F237" s="36">
        <f t="shared" si="308"/>
        <v>0.51300000000000168</v>
      </c>
      <c r="G237" s="36">
        <f t="shared" si="308"/>
        <v>21.496999999999993</v>
      </c>
      <c r="H237" s="36">
        <f t="shared" si="308"/>
        <v>-32.561</v>
      </c>
      <c r="I237" s="36">
        <f t="shared" si="308"/>
        <v>-4.7723000000000297</v>
      </c>
      <c r="J237" s="36">
        <f t="shared" si="308"/>
        <v>-14.018999999999998</v>
      </c>
      <c r="K237" s="36">
        <f t="shared" si="308"/>
        <v>78.801999999999964</v>
      </c>
      <c r="L237" s="36">
        <f t="shared" si="308"/>
        <v>7.8459999999999894</v>
      </c>
      <c r="M237" s="36">
        <f t="shared" si="308"/>
        <v>-46.06900000000001</v>
      </c>
      <c r="N237" s="36">
        <f t="shared" si="308"/>
        <v>-146.46600000000007</v>
      </c>
      <c r="O237" s="36">
        <f>O235+O236</f>
        <v>-32.785026509222121</v>
      </c>
      <c r="P237" s="36">
        <f>P235+P236</f>
        <v>344.38662805611591</v>
      </c>
      <c r="Q237" s="36">
        <f>Q235+Q236</f>
        <v>378.1538899441943</v>
      </c>
      <c r="R237" s="254"/>
      <c r="S237" s="37"/>
      <c r="T237" s="37"/>
      <c r="U237" s="36">
        <f t="shared" ref="U237:AJ237" si="309">U235+U236</f>
        <v>-2.4940000000000007</v>
      </c>
      <c r="V237" s="36">
        <f t="shared" si="309"/>
        <v>-1.0760000000000001</v>
      </c>
      <c r="W237" s="36">
        <f t="shared" si="309"/>
        <v>-8.1320000000000014</v>
      </c>
      <c r="X237" s="36">
        <f t="shared" si="309"/>
        <v>9.6499999999999986</v>
      </c>
      <c r="Y237" s="36">
        <f t="shared" si="309"/>
        <v>-6.7180000000000017</v>
      </c>
      <c r="Z237" s="36">
        <f t="shared" si="309"/>
        <v>-27.361000000000008</v>
      </c>
      <c r="AA237" s="36">
        <f t="shared" si="309"/>
        <v>-13.437000000000012</v>
      </c>
      <c r="AB237" s="36">
        <f t="shared" si="309"/>
        <v>19.484999999999989</v>
      </c>
      <c r="AC237" s="36">
        <f t="shared" si="309"/>
        <v>-10.926000000000009</v>
      </c>
      <c r="AD237" s="36">
        <f t="shared" si="309"/>
        <v>0.10569999999999524</v>
      </c>
      <c r="AE237" s="36">
        <f t="shared" si="309"/>
        <v>-27.611999999999991</v>
      </c>
      <c r="AF237" s="36">
        <f t="shared" si="309"/>
        <v>6.5639999999999894</v>
      </c>
      <c r="AG237" s="36">
        <f t="shared" si="309"/>
        <v>2.7620000000000022</v>
      </c>
      <c r="AH237" s="36">
        <f t="shared" si="309"/>
        <v>4.2669999999999995</v>
      </c>
      <c r="AI237" s="36">
        <f t="shared" si="309"/>
        <v>19.701000000000001</v>
      </c>
      <c r="AJ237" s="36">
        <f t="shared" si="309"/>
        <v>17.510000000000005</v>
      </c>
      <c r="AK237" s="36">
        <f t="shared" ref="AK237:AP237" si="310">AK235+AK236</f>
        <v>18.199999999999996</v>
      </c>
      <c r="AL237" s="36">
        <f t="shared" si="310"/>
        <v>23.391000000000012</v>
      </c>
      <c r="AM237" s="36">
        <f t="shared" si="310"/>
        <v>6.4069999999999983</v>
      </c>
      <c r="AN237" s="36">
        <f t="shared" si="310"/>
        <v>4.9220000000000024</v>
      </c>
      <c r="AO237" s="36">
        <f t="shared" si="310"/>
        <v>-13.080000000000007</v>
      </c>
      <c r="AP237" s="36">
        <f t="shared" si="310"/>
        <v>9.5969999999999995</v>
      </c>
      <c r="AQ237" s="36">
        <f t="shared" ref="AQ237:AX237" si="311">AQ235+AQ236</f>
        <v>-9.8219999999999992</v>
      </c>
      <c r="AR237" s="36">
        <f t="shared" si="311"/>
        <v>-12.245000000000001</v>
      </c>
      <c r="AS237" s="36">
        <f t="shared" si="311"/>
        <v>-9.9890000000000008</v>
      </c>
      <c r="AT237" s="36">
        <f t="shared" si="311"/>
        <v>-14.013000000000002</v>
      </c>
      <c r="AU237" s="36">
        <f t="shared" si="311"/>
        <v>-39.414000000000001</v>
      </c>
      <c r="AV237" s="36">
        <f t="shared" si="311"/>
        <v>-35.212000000000003</v>
      </c>
      <c r="AW237" s="36">
        <f t="shared" si="311"/>
        <v>-25.756000000000043</v>
      </c>
      <c r="AX237" s="36">
        <f t="shared" si="311"/>
        <v>-46.083999999999961</v>
      </c>
      <c r="AY237" s="36">
        <f>AY235+AY236</f>
        <v>-95.652500860993953</v>
      </c>
      <c r="AZ237" s="36">
        <f>AZ235+AZ236</f>
        <v>-42.619328994884896</v>
      </c>
      <c r="BA237" s="36">
        <f>BA235+BA236</f>
        <v>28.363025875799053</v>
      </c>
      <c r="BB237" s="36">
        <f>BB235+BB236</f>
        <v>77.123777470857604</v>
      </c>
      <c r="BC237" s="36">
        <f t="shared" ref="BC237:BJ237" si="312">BC235+BC236</f>
        <v>90.360901549538113</v>
      </c>
      <c r="BD237" s="36">
        <f t="shared" si="312"/>
        <v>87.343918757155393</v>
      </c>
      <c r="BE237" s="36">
        <f t="shared" si="312"/>
        <v>84.591250829611553</v>
      </c>
      <c r="BF237" s="36">
        <f t="shared" si="312"/>
        <v>82.090556919810851</v>
      </c>
      <c r="BG237" s="36">
        <f t="shared" si="312"/>
        <v>83.170451720803243</v>
      </c>
      <c r="BH237" s="36">
        <f t="shared" si="312"/>
        <v>96.895101531761071</v>
      </c>
      <c r="BI237" s="36">
        <f t="shared" si="312"/>
        <v>99.147462778696706</v>
      </c>
      <c r="BJ237" s="36">
        <f t="shared" si="312"/>
        <v>98.940873912933256</v>
      </c>
      <c r="BK237" s="1"/>
      <c r="BL237" s="91"/>
      <c r="BM237" s="23">
        <f t="shared" si="283"/>
        <v>231</v>
      </c>
    </row>
    <row r="238" spans="1:65" ht="12.75" customHeight="1" outlineLevel="1">
      <c r="A238" s="118"/>
      <c r="B238" s="267" t="s">
        <v>51</v>
      </c>
      <c r="C238" s="12"/>
      <c r="D238" s="12"/>
      <c r="E238" s="12">
        <f>-322.939</f>
        <v>-322.93900000000002</v>
      </c>
      <c r="F238" s="12">
        <v>0</v>
      </c>
      <c r="G238" s="12">
        <v>0</v>
      </c>
      <c r="H238" s="12">
        <f>SUM(INDEX($S238:$AH238,H$5):INDEX($S238:$AH238,H$6))</f>
        <v>0</v>
      </c>
      <c r="I238" s="12">
        <f>SUM(INDEX($S238:$AH238,I$5):INDEX($S238:$AH238,I$6))</f>
        <v>0</v>
      </c>
      <c r="J238" s="12">
        <f>SUM(INDEX($S238:$AH238,J$5):INDEX($S238:$AH238,J$6))</f>
        <v>0</v>
      </c>
      <c r="K238" s="12">
        <f>SUM(INDEX($S238:$BK238,K$5):INDEX($S238:$BK238,K$6))</f>
        <v>-98.316999999999993</v>
      </c>
      <c r="L238" s="12">
        <f>SUM(INDEX($S238:$BK238,L$5):INDEX($S238:$BK238,L$6))</f>
        <v>0</v>
      </c>
      <c r="M238" s="12">
        <f>SUM(INDEX($S238:$BK238,M$5):INDEX($S238:$BK238,M$6))</f>
        <v>-176.61699999999999</v>
      </c>
      <c r="N238" s="12">
        <f>SUM(INDEX($S238:$BK238,N$5):INDEX($S238:$BK238,N$6))</f>
        <v>-119.801</v>
      </c>
      <c r="O238" s="12">
        <f>SUM(INDEX($S238:$BK238,O$5):INDEX($S238:$BK238,O$6))</f>
        <v>-750</v>
      </c>
      <c r="P238" s="12">
        <f>SUM(INDEX($S238:$BK238,P$5):INDEX($S238:$BK238,P$6))</f>
        <v>0</v>
      </c>
      <c r="Q238" s="12">
        <f>SUM(INDEX($S238:$BK238,Q$5):INDEX($S238:$BK238,Q$6))</f>
        <v>0</v>
      </c>
      <c r="R238" s="51"/>
      <c r="S238" s="12"/>
      <c r="T238" s="12"/>
      <c r="U238" s="12"/>
      <c r="V238" s="12"/>
      <c r="W238" s="12"/>
      <c r="X238" s="12"/>
      <c r="Y238" s="12"/>
      <c r="Z238" s="109">
        <v>0</v>
      </c>
      <c r="AA238" s="109">
        <v>0</v>
      </c>
      <c r="AB238" s="109">
        <v>0</v>
      </c>
      <c r="AC238" s="109">
        <v>0</v>
      </c>
      <c r="AD238" s="109">
        <v>0</v>
      </c>
      <c r="AE238" s="109">
        <v>0</v>
      </c>
      <c r="AF238" s="109">
        <v>0</v>
      </c>
      <c r="AG238" s="109">
        <v>0</v>
      </c>
      <c r="AH238" s="109">
        <v>0</v>
      </c>
      <c r="AI238" s="109">
        <v>0</v>
      </c>
      <c r="AJ238" s="133">
        <v>0</v>
      </c>
      <c r="AK238" s="133">
        <f>-98.317-SUM(AI238:AJ238)</f>
        <v>-98.316999999999993</v>
      </c>
      <c r="AL238" s="133">
        <f>-98.317-AK238-AJ238-AI238</f>
        <v>0</v>
      </c>
      <c r="AM238" s="133">
        <v>0</v>
      </c>
      <c r="AN238" s="133">
        <v>0</v>
      </c>
      <c r="AO238" s="133">
        <v>0</v>
      </c>
      <c r="AP238" s="133">
        <v>0</v>
      </c>
      <c r="AQ238" s="133">
        <v>0</v>
      </c>
      <c r="AR238" s="133">
        <v>0</v>
      </c>
      <c r="AS238" s="133">
        <f>-176.447-AR238-AQ238</f>
        <v>-176.447</v>
      </c>
      <c r="AT238" s="133">
        <f>-176.617-AS238-AR238-AQ238</f>
        <v>-0.16999999999998749</v>
      </c>
      <c r="AU238" s="133">
        <v>0</v>
      </c>
      <c r="AV238" s="133">
        <f>-18.636-AU238</f>
        <v>-18.635999999999999</v>
      </c>
      <c r="AW238" s="133">
        <f>-119.719-AV238-AU238</f>
        <v>-101.083</v>
      </c>
      <c r="AX238" s="133">
        <f>-119.801-AW238-AV238-AU238</f>
        <v>-8.2000000000004292E-2</v>
      </c>
      <c r="AY238" s="59">
        <v>0</v>
      </c>
      <c r="AZ238" s="59">
        <v>-750</v>
      </c>
      <c r="BA238" s="25">
        <v>0</v>
      </c>
      <c r="BB238" s="25">
        <v>0</v>
      </c>
      <c r="BC238" s="25">
        <v>0</v>
      </c>
      <c r="BD238" s="25">
        <v>0</v>
      </c>
      <c r="BE238" s="25">
        <v>0</v>
      </c>
      <c r="BF238" s="25">
        <v>0</v>
      </c>
      <c r="BG238" s="25">
        <v>0</v>
      </c>
      <c r="BH238" s="25">
        <v>0</v>
      </c>
      <c r="BI238" s="25">
        <v>0</v>
      </c>
      <c r="BJ238" s="25">
        <v>0</v>
      </c>
      <c r="BK238" s="1"/>
      <c r="BL238" s="91"/>
      <c r="BM238" s="23">
        <f t="shared" si="283"/>
        <v>232</v>
      </c>
    </row>
    <row r="239" spans="1:65" ht="12.75" customHeight="1" outlineLevel="1">
      <c r="A239" s="118"/>
      <c r="B239" s="267" t="s">
        <v>52</v>
      </c>
      <c r="C239" s="12"/>
      <c r="D239" s="12"/>
      <c r="E239" s="12">
        <v>0.77500000000000002</v>
      </c>
      <c r="F239" s="12">
        <v>4.2000000000000003E-2</v>
      </c>
      <c r="G239" s="12">
        <v>7.8E-2</v>
      </c>
      <c r="H239" s="12">
        <f>SUM(INDEX($S239:$AH239,H$5):INDEX($S239:$AH239,H$6))</f>
        <v>0.106</v>
      </c>
      <c r="I239" s="12">
        <f>SUM(INDEX($S239:$AH239,I$5):INDEX($S239:$AH239,I$6))</f>
        <v>1.2250000000000001</v>
      </c>
      <c r="J239" s="12">
        <f>SUM(INDEX($S239:$AH239,J$5):INDEX($S239:$AH239,J$6))</f>
        <v>0.35699999999999998</v>
      </c>
      <c r="K239" s="12">
        <f>SUM(INDEX($S239:$BK239,K$5):INDEX($S239:$BK239,K$6))</f>
        <v>0.02</v>
      </c>
      <c r="L239" s="12">
        <f>SUM(INDEX($S239:$BK239,L$5):INDEX($S239:$BK239,L$6))</f>
        <v>0.127</v>
      </c>
      <c r="M239" s="12">
        <f>SUM(INDEX($S239:$BK239,M$5):INDEX($S239:$BK239,M$6))</f>
        <v>0.497</v>
      </c>
      <c r="N239" s="12">
        <f>SUM(INDEX($S239:$BK239,N$5):INDEX($S239:$BK239,N$6))</f>
        <v>0.33700000000000002</v>
      </c>
      <c r="O239" s="12">
        <f>SUM(INDEX($S239:$BK239,O$5):INDEX($S239:$BK239,O$6))</f>
        <v>75</v>
      </c>
      <c r="P239" s="12">
        <f>SUM(INDEX($S239:$BK239,P$5):INDEX($S239:$BK239,P$6))</f>
        <v>0</v>
      </c>
      <c r="Q239" s="12">
        <f>SUM(INDEX($S239:$BK239,Q$5):INDEX($S239:$BK239,Q$6))</f>
        <v>0</v>
      </c>
      <c r="R239" s="51"/>
      <c r="S239" s="12"/>
      <c r="T239" s="12"/>
      <c r="U239" s="12"/>
      <c r="V239" s="12"/>
      <c r="W239" s="12"/>
      <c r="X239" s="12"/>
      <c r="Y239" s="12"/>
      <c r="Z239" s="109">
        <v>0.106</v>
      </c>
      <c r="AA239" s="109">
        <v>1.2250000000000001</v>
      </c>
      <c r="AB239" s="109">
        <f>1.225-AA239</f>
        <v>0</v>
      </c>
      <c r="AC239" s="109">
        <f>1.225-AB239-AA239</f>
        <v>0</v>
      </c>
      <c r="AD239" s="109">
        <f>1.225-AC239-AB239-AA239</f>
        <v>0</v>
      </c>
      <c r="AE239" s="109">
        <v>0</v>
      </c>
      <c r="AF239" s="109">
        <v>8.1000000000000003E-2</v>
      </c>
      <c r="AG239" s="109">
        <f>0.167-AF239-AE239</f>
        <v>8.6000000000000007E-2</v>
      </c>
      <c r="AH239" s="109">
        <f>0.357-AG239-AF239-AE239</f>
        <v>0.18999999999999995</v>
      </c>
      <c r="AI239" s="109">
        <v>0</v>
      </c>
      <c r="AJ239" s="109">
        <v>0</v>
      </c>
      <c r="AK239" s="109">
        <v>1.2999999999999999E-2</v>
      </c>
      <c r="AL239" s="109">
        <f>0.02-AK239-AJ239-AI239</f>
        <v>7.000000000000001E-3</v>
      </c>
      <c r="AM239" s="109">
        <v>7.1999999999999995E-2</v>
      </c>
      <c r="AN239" s="109">
        <f>0.077-AM239</f>
        <v>5.0000000000000044E-3</v>
      </c>
      <c r="AO239" s="109">
        <f>0.077-AN239-AM239</f>
        <v>0</v>
      </c>
      <c r="AP239" s="109">
        <f>0.127-AO239-AN239-AM239</f>
        <v>0.05</v>
      </c>
      <c r="AQ239" s="109">
        <v>5.8000000000000003E-2</v>
      </c>
      <c r="AR239" s="109">
        <f>0.066-AQ239</f>
        <v>8.0000000000000002E-3</v>
      </c>
      <c r="AS239" s="109">
        <f>0.084-AR239-AQ239</f>
        <v>1.8000000000000009E-2</v>
      </c>
      <c r="AT239" s="109">
        <f>0.497-AS239-AR239-AQ239</f>
        <v>0.41299999999999998</v>
      </c>
      <c r="AU239" s="109">
        <v>1.2E-2</v>
      </c>
      <c r="AV239" s="109">
        <f>0.012-AU239</f>
        <v>0</v>
      </c>
      <c r="AW239" s="109">
        <f>0.012-AV239-AU239</f>
        <v>0</v>
      </c>
      <c r="AX239" s="109">
        <f>0.337-AW239-AV239-AU239</f>
        <v>0.32500000000000001</v>
      </c>
      <c r="AY239" s="25">
        <v>75</v>
      </c>
      <c r="AZ239" s="25">
        <v>0</v>
      </c>
      <c r="BA239" s="25">
        <v>0</v>
      </c>
      <c r="BB239" s="25">
        <v>0</v>
      </c>
      <c r="BC239" s="25">
        <v>0</v>
      </c>
      <c r="BD239" s="25">
        <v>0</v>
      </c>
      <c r="BE239" s="25">
        <v>0</v>
      </c>
      <c r="BF239" s="25">
        <v>0</v>
      </c>
      <c r="BG239" s="25">
        <v>0</v>
      </c>
      <c r="BH239" s="25">
        <v>0</v>
      </c>
      <c r="BI239" s="25">
        <v>0</v>
      </c>
      <c r="BJ239" s="25">
        <v>0</v>
      </c>
      <c r="BK239" s="1"/>
      <c r="BL239" s="91"/>
      <c r="BM239" s="23">
        <f t="shared" si="283"/>
        <v>233</v>
      </c>
    </row>
    <row r="240" spans="1:65" ht="12.75" customHeight="1" outlineLevel="1">
      <c r="A240" s="118"/>
      <c r="B240" s="267" t="s">
        <v>53</v>
      </c>
      <c r="C240" s="12"/>
      <c r="D240" s="12"/>
      <c r="E240" s="12">
        <v>-20.2</v>
      </c>
      <c r="F240" s="12">
        <v>0</v>
      </c>
      <c r="G240" s="12">
        <v>-51.600999999999999</v>
      </c>
      <c r="H240" s="12">
        <f>SUM(INDEX($S240:$AH240,H$5):INDEX($S240:$AH240,H$6))</f>
        <v>0</v>
      </c>
      <c r="I240" s="12">
        <f>SUM(INDEX($S240:$AH240,I$5):INDEX($S240:$AH240,I$6))</f>
        <v>-26.460999999999999</v>
      </c>
      <c r="J240" s="12">
        <f>SUM(INDEX($S240:$AH240,J$5):INDEX($S240:$AH240,J$6))</f>
        <v>-13.3</v>
      </c>
      <c r="K240" s="12">
        <f>SUM(INDEX($S240:$BK240,K$5):INDEX($S240:$BK240,K$6))</f>
        <v>-26.871000000000002</v>
      </c>
      <c r="L240" s="12">
        <f>SUM(INDEX($S240:$BK240,L$5):INDEX($S240:$BK240,L$6))</f>
        <v>-26.797000000000001</v>
      </c>
      <c r="M240" s="12">
        <f>SUM(INDEX($S240:$BK240,M$5):INDEX($S240:$BK240,M$6))</f>
        <v>-15.125</v>
      </c>
      <c r="N240" s="12">
        <f>SUM(INDEX($S240:$BK240,N$5):INDEX($S240:$BK240,N$6))</f>
        <v>-20.376999999999999</v>
      </c>
      <c r="O240" s="12">
        <f>SUM(INDEX($S240:$BK240,O$5):INDEX($S240:$BK240,O$6))</f>
        <v>-20.387394752423194</v>
      </c>
      <c r="P240" s="12">
        <f>SUM(INDEX($S240:$BK240,P$5):INDEX($S240:$BK240,P$6))</f>
        <v>-20.356443003230925</v>
      </c>
      <c r="Q240" s="12">
        <f>SUM(INDEX($S240:$BK240,Q$5):INDEX($S240:$BK240,Q$6))</f>
        <v>-20.356443003230925</v>
      </c>
      <c r="R240" s="51"/>
      <c r="S240" s="12"/>
      <c r="T240" s="12"/>
      <c r="U240" s="12"/>
      <c r="V240" s="12"/>
      <c r="W240" s="12"/>
      <c r="X240" s="12"/>
      <c r="Y240" s="12"/>
      <c r="Z240" s="109">
        <v>0</v>
      </c>
      <c r="AA240" s="109">
        <v>0</v>
      </c>
      <c r="AB240" s="109">
        <v>0</v>
      </c>
      <c r="AC240" s="109">
        <v>0</v>
      </c>
      <c r="AD240" s="109">
        <f>-26.461</f>
        <v>-26.460999999999999</v>
      </c>
      <c r="AE240" s="109">
        <v>0</v>
      </c>
      <c r="AF240" s="109">
        <v>0</v>
      </c>
      <c r="AG240" s="109">
        <v>-6.6340000000000003</v>
      </c>
      <c r="AH240" s="109">
        <f>-13.3-AG240-AF240-AE240</f>
        <v>-6.6660000000000004</v>
      </c>
      <c r="AI240" s="109">
        <v>-13.401999999999999</v>
      </c>
      <c r="AJ240" s="133">
        <f>-13.402-AI240</f>
        <v>0</v>
      </c>
      <c r="AK240" s="133">
        <f>-20.132-SUM(AI240:AJ240)</f>
        <v>-6.7300000000000022</v>
      </c>
      <c r="AL240" s="133">
        <f>-26.871-AK240-AJ240-AI240</f>
        <v>-6.738999999999999</v>
      </c>
      <c r="AM240" s="133">
        <v>-6.758</v>
      </c>
      <c r="AN240" s="133">
        <f>-13.444-AM240</f>
        <v>-6.6860000000000008</v>
      </c>
      <c r="AO240" s="133">
        <f>-20.117-AN240-AM240</f>
        <v>-6.6730000000000009</v>
      </c>
      <c r="AP240" s="133">
        <f>-26.797-AO240-AN240-AM240</f>
        <v>-6.6799999999999988</v>
      </c>
      <c r="AQ240" s="133">
        <v>-3.3879999999999999</v>
      </c>
      <c r="AR240" s="133">
        <f>-6.732-AQ240</f>
        <v>-3.3440000000000003</v>
      </c>
      <c r="AS240" s="133">
        <f>-10.706-AR240-AQ240</f>
        <v>-3.9739999999999993</v>
      </c>
      <c r="AT240" s="133">
        <f>-15.125-AS240-AR240-AQ240</f>
        <v>-4.4189999999999996</v>
      </c>
      <c r="AU240" s="133">
        <v>-5.0919999999999996</v>
      </c>
      <c r="AV240" s="133">
        <f>-10.187-AU240</f>
        <v>-5.0949999999999998</v>
      </c>
      <c r="AW240" s="133">
        <f>-15.285-AV240-AU240</f>
        <v>-5.0980000000000016</v>
      </c>
      <c r="AX240" s="133">
        <f>-20.377-AW240-AV240-AU240</f>
        <v>-5.0919999999999979</v>
      </c>
      <c r="AY240" s="12">
        <f t="shared" ref="AY240:BJ240" si="313">-AX38*AX37</f>
        <v>-5.1200625000000004</v>
      </c>
      <c r="AZ240" s="12">
        <f t="shared" si="313"/>
        <v>-5.0891107508077313</v>
      </c>
      <c r="BA240" s="12">
        <f t="shared" si="313"/>
        <v>-5.0891107508077313</v>
      </c>
      <c r="BB240" s="12">
        <f t="shared" si="313"/>
        <v>-5.0891107508077313</v>
      </c>
      <c r="BC240" s="12">
        <f t="shared" si="313"/>
        <v>-5.0891107508077313</v>
      </c>
      <c r="BD240" s="12">
        <f t="shared" si="313"/>
        <v>-5.0891107508077313</v>
      </c>
      <c r="BE240" s="12">
        <f t="shared" si="313"/>
        <v>-5.0891107508077313</v>
      </c>
      <c r="BF240" s="12">
        <f t="shared" si="313"/>
        <v>-5.0891107508077313</v>
      </c>
      <c r="BG240" s="12">
        <f t="shared" si="313"/>
        <v>-5.0891107508077313</v>
      </c>
      <c r="BH240" s="12">
        <f t="shared" si="313"/>
        <v>-5.0891107508077313</v>
      </c>
      <c r="BI240" s="12">
        <f t="shared" si="313"/>
        <v>-5.0891107508077313</v>
      </c>
      <c r="BJ240" s="12">
        <f t="shared" si="313"/>
        <v>-5.0891107508077313</v>
      </c>
      <c r="BK240" s="1"/>
      <c r="BL240" s="91"/>
      <c r="BM240" s="23">
        <f t="shared" si="283"/>
        <v>234</v>
      </c>
    </row>
    <row r="241" spans="1:65" ht="12.75" customHeight="1" outlineLevel="1">
      <c r="A241" s="118"/>
      <c r="B241" s="5" t="s">
        <v>54</v>
      </c>
      <c r="C241" s="12"/>
      <c r="D241" s="12"/>
      <c r="E241" s="12">
        <f>121.2+5</f>
        <v>126.2</v>
      </c>
      <c r="F241" s="12">
        <v>0</v>
      </c>
      <c r="G241" s="12">
        <v>11.8</v>
      </c>
      <c r="H241" s="12">
        <f>SUM(INDEX($S241:$AH241,H$5):INDEX($S241:$AH241,H$6))</f>
        <v>0</v>
      </c>
      <c r="I241" s="12">
        <f>SUM(INDEX($S241:$AH241,I$5):INDEX($S241:$AH241,I$6))</f>
        <v>40.930999999999997</v>
      </c>
      <c r="J241" s="12">
        <f>SUM(INDEX($S241:$AH241,J$5):INDEX($S241:$AH241,J$6))</f>
        <v>9.1559999999999988</v>
      </c>
      <c r="K241" s="12">
        <f>SUM(INDEX($S241:$BK241,K$5):INDEX($S241:$BK241,K$6))</f>
        <v>8.7619999999999987</v>
      </c>
      <c r="L241" s="12">
        <f>SUM(INDEX($S241:$BK241,L$5):INDEX($S241:$BK241,L$6))</f>
        <v>-0.32100000000000006</v>
      </c>
      <c r="M241" s="12">
        <f>SUM(INDEX($S241:$BK241,M$5):INDEX($S241:$BK241,M$6))</f>
        <v>657.88400000000013</v>
      </c>
      <c r="N241" s="12">
        <f>SUM(INDEX($S241:$BK241,N$5):INDEX($S241:$BK241,N$6))</f>
        <v>0.79800000000000004</v>
      </c>
      <c r="O241" s="12">
        <f>SUM(INDEX($S241:$BK241,O$5):INDEX($S241:$BK241,O$6))</f>
        <v>0</v>
      </c>
      <c r="P241" s="12">
        <f>SUM(INDEX($S241:$BK241,P$5):INDEX($S241:$BK241,P$6))</f>
        <v>0</v>
      </c>
      <c r="Q241" s="12">
        <f>SUM(INDEX($S241:$BK241,Q$5):INDEX($S241:$BK241,Q$6))</f>
        <v>0</v>
      </c>
      <c r="R241" s="51"/>
      <c r="S241" s="12"/>
      <c r="T241" s="12"/>
      <c r="U241" s="12"/>
      <c r="V241" s="12"/>
      <c r="W241" s="12"/>
      <c r="X241" s="12"/>
      <c r="Y241" s="12"/>
      <c r="Z241" s="109">
        <v>0</v>
      </c>
      <c r="AA241" s="109">
        <f>50-8.974</f>
        <v>41.025999999999996</v>
      </c>
      <c r="AB241" s="109">
        <f>50-9.481-AA241</f>
        <v>-0.5069999999999979</v>
      </c>
      <c r="AC241" s="109">
        <f>50+0.022-9.171-AB241-AA241</f>
        <v>0.33200000000000074</v>
      </c>
      <c r="AD241" s="109">
        <f>50+0.102-9.171-AC241-AB241-AA241</f>
        <v>7.9999999999998295E-2</v>
      </c>
      <c r="AE241" s="109">
        <v>0.78800000000000003</v>
      </c>
      <c r="AF241" s="109">
        <f>2.164-AE241</f>
        <v>1.3760000000000001</v>
      </c>
      <c r="AG241" s="109">
        <f>6.505+0.823-0.145-AF241-AE241</f>
        <v>5.0189999999999992</v>
      </c>
      <c r="AH241" s="109">
        <f>7.942+1.38-0.166-AG241-AF241-AE241</f>
        <v>1.9729999999999992</v>
      </c>
      <c r="AI241" s="109">
        <v>3.004</v>
      </c>
      <c r="AJ241" s="109">
        <f>4.71+2.801-AI241</f>
        <v>4.5069999999999997</v>
      </c>
      <c r="AK241" s="109">
        <f>5.433+3.673-0.572-SUM(AI241:AJ241)</f>
        <v>1.0230000000000015</v>
      </c>
      <c r="AL241" s="109">
        <f>5.563+3.813-0.614-AK241-AJ241-AI241</f>
        <v>0.22799999999999754</v>
      </c>
      <c r="AM241" s="109">
        <f>0.043+0.006-0.443</f>
        <v>-0.39400000000000002</v>
      </c>
      <c r="AN241" s="109">
        <f>-0.722+0.363+0.264-AM241</f>
        <v>0.29900000000000004</v>
      </c>
      <c r="AO241" s="109">
        <f>0.364+0.225-0.747-AN241-AM241</f>
        <v>-6.3000000000000056E-2</v>
      </c>
      <c r="AP241" s="109">
        <f>0.473-0.794-AO241-AN241-AM241</f>
        <v>-0.16300000000000003</v>
      </c>
      <c r="AQ241" s="109">
        <f>200-13.798+0.022-0.499</f>
        <v>185.72499999999999</v>
      </c>
      <c r="AR241" s="109">
        <f>200-13.789+1.299-AQ241</f>
        <v>1.785000000000025</v>
      </c>
      <c r="AS241" s="109">
        <f>200+4.333-0.982-13.968-AR241-AQ241</f>
        <v>1.8729999999999905</v>
      </c>
      <c r="AT241" s="109">
        <f>678.791-25.732+4.825-AS241-AR241-AQ241</f>
        <v>468.50100000000009</v>
      </c>
      <c r="AU241" s="109">
        <v>0.51700000000000002</v>
      </c>
      <c r="AV241" s="109">
        <f>0.547-AU241</f>
        <v>3.0000000000000027E-2</v>
      </c>
      <c r="AW241" s="109">
        <f>0.798-AV241-AU241</f>
        <v>0.251</v>
      </c>
      <c r="AX241" s="109">
        <f>0.798-AW241-AV241-AU241</f>
        <v>0</v>
      </c>
      <c r="AY241" s="25">
        <v>0</v>
      </c>
      <c r="AZ241" s="25">
        <v>0</v>
      </c>
      <c r="BA241" s="25">
        <v>0</v>
      </c>
      <c r="BB241" s="25">
        <v>0</v>
      </c>
      <c r="BC241" s="25">
        <v>0</v>
      </c>
      <c r="BD241" s="25">
        <v>0</v>
      </c>
      <c r="BE241" s="25">
        <v>0</v>
      </c>
      <c r="BF241" s="25">
        <v>0</v>
      </c>
      <c r="BG241" s="25">
        <v>0</v>
      </c>
      <c r="BH241" s="25">
        <v>0</v>
      </c>
      <c r="BI241" s="25">
        <v>0</v>
      </c>
      <c r="BJ241" s="25">
        <v>0</v>
      </c>
      <c r="BK241" s="1"/>
      <c r="BL241" s="91"/>
      <c r="BM241" s="23">
        <f t="shared" si="283"/>
        <v>235</v>
      </c>
    </row>
    <row r="242" spans="1:65" ht="12.75" customHeight="1" outlineLevel="1">
      <c r="A242" s="118"/>
      <c r="B242" s="5" t="s">
        <v>55</v>
      </c>
      <c r="C242" s="12"/>
      <c r="D242" s="12"/>
      <c r="E242" s="12">
        <v>0</v>
      </c>
      <c r="F242" s="12">
        <v>0</v>
      </c>
      <c r="G242" s="12">
        <v>0</v>
      </c>
      <c r="H242" s="12">
        <f>SUM(INDEX($S242:$AH242,H$5):INDEX($S242:$AH242,H$6))</f>
        <v>0</v>
      </c>
      <c r="I242" s="12">
        <f>SUM(INDEX($S242:$AH242,I$5):INDEX($S242:$AH242,I$6))</f>
        <v>-1.0720000000000001</v>
      </c>
      <c r="J242" s="12">
        <f>SUM(INDEX($S242:$AH242,J$5):INDEX($S242:$AH242,J$6))</f>
        <v>0</v>
      </c>
      <c r="K242" s="12">
        <f>SUM(INDEX($S242:$BK242,K$5):INDEX($S242:$BK242,K$6))</f>
        <v>-0.499</v>
      </c>
      <c r="L242" s="12">
        <f>SUM(INDEX($S242:$BK242,L$5):INDEX($S242:$BK242,L$6))</f>
        <v>-15.255000000000001</v>
      </c>
      <c r="M242" s="12">
        <f>SUM(INDEX($S242:$BK242,M$5):INDEX($S242:$BK242,M$6))</f>
        <v>0</v>
      </c>
      <c r="N242" s="12">
        <f>SUM(INDEX($S242:$BK242,N$5):INDEX($S242:$BK242,N$6))</f>
        <v>-25.021999999999998</v>
      </c>
      <c r="O242" s="12">
        <f>SUM(INDEX($S242:$BK242,O$5):INDEX($S242:$BK242,O$6))</f>
        <v>0</v>
      </c>
      <c r="P242" s="12">
        <f>SUM(INDEX($S242:$BK242,P$5):INDEX($S242:$BK242,P$6))</f>
        <v>0</v>
      </c>
      <c r="Q242" s="12">
        <f>SUM(INDEX($S242:$BK242,Q$5):INDEX($S242:$BK242,Q$6))</f>
        <v>0</v>
      </c>
      <c r="R242" s="51"/>
      <c r="S242" s="12"/>
      <c r="T242" s="12"/>
      <c r="U242" s="12"/>
      <c r="V242" s="12"/>
      <c r="W242" s="12"/>
      <c r="X242" s="12"/>
      <c r="Y242" s="12"/>
      <c r="Z242" s="109">
        <v>0</v>
      </c>
      <c r="AA242" s="109">
        <v>0</v>
      </c>
      <c r="AB242" s="109">
        <v>-0.215</v>
      </c>
      <c r="AC242" s="109">
        <f>-1.072-AB242</f>
        <v>-0.8570000000000001</v>
      </c>
      <c r="AD242" s="109">
        <f>-1.072-AC242-AB242</f>
        <v>0</v>
      </c>
      <c r="AE242" s="109">
        <v>0</v>
      </c>
      <c r="AF242" s="109">
        <v>0</v>
      </c>
      <c r="AG242" s="109">
        <v>0</v>
      </c>
      <c r="AH242" s="109">
        <v>0</v>
      </c>
      <c r="AI242" s="109">
        <v>0</v>
      </c>
      <c r="AJ242" s="109">
        <v>0</v>
      </c>
      <c r="AK242" s="109">
        <v>0</v>
      </c>
      <c r="AL242" s="109">
        <f>-0.499-AK242-AJ242-AI242</f>
        <v>-0.499</v>
      </c>
      <c r="AM242" s="109">
        <v>-15.255000000000001</v>
      </c>
      <c r="AN242" s="109">
        <f>-15.255-AM242</f>
        <v>0</v>
      </c>
      <c r="AO242" s="109">
        <f>-15.255-AN242-AM242</f>
        <v>0</v>
      </c>
      <c r="AP242" s="109">
        <f>-15.255-AO242-AN242-AM242</f>
        <v>0</v>
      </c>
      <c r="AQ242" s="109">
        <v>0</v>
      </c>
      <c r="AR242" s="109">
        <v>0</v>
      </c>
      <c r="AS242" s="109">
        <v>0</v>
      </c>
      <c r="AT242" s="109">
        <v>0</v>
      </c>
      <c r="AU242" s="109">
        <v>0</v>
      </c>
      <c r="AV242" s="109">
        <v>0</v>
      </c>
      <c r="AW242" s="109">
        <v>0</v>
      </c>
      <c r="AX242" s="109">
        <f>-25.022-AW242-AV242-AU242</f>
        <v>-25.021999999999998</v>
      </c>
      <c r="AY242" s="25">
        <v>0</v>
      </c>
      <c r="AZ242" s="25">
        <v>0</v>
      </c>
      <c r="BA242" s="25">
        <v>0</v>
      </c>
      <c r="BB242" s="25">
        <v>0</v>
      </c>
      <c r="BC242" s="25">
        <v>0</v>
      </c>
      <c r="BD242" s="25">
        <v>0</v>
      </c>
      <c r="BE242" s="25">
        <v>0</v>
      </c>
      <c r="BF242" s="25">
        <v>0</v>
      </c>
      <c r="BG242" s="25">
        <v>0</v>
      </c>
      <c r="BH242" s="25">
        <v>0</v>
      </c>
      <c r="BI242" s="25">
        <v>0</v>
      </c>
      <c r="BJ242" s="25">
        <v>0</v>
      </c>
      <c r="BK242" s="1"/>
      <c r="BL242" s="91"/>
      <c r="BM242" s="23">
        <f t="shared" si="283"/>
        <v>236</v>
      </c>
    </row>
    <row r="243" spans="1:65" ht="12.75" customHeight="1" outlineLevel="1">
      <c r="A243" s="118"/>
      <c r="B243" s="5" t="s">
        <v>47</v>
      </c>
      <c r="C243" s="12"/>
      <c r="D243" s="12"/>
      <c r="E243" s="12">
        <f>-2.628+1.435+27-0.001-0.003-4.908</f>
        <v>20.894999999999996</v>
      </c>
      <c r="F243" s="12">
        <f>-1.488-0.004-0.055</f>
        <v>-1.5469999999999999</v>
      </c>
      <c r="G243" s="12">
        <f>2.497-0.005-3.543</f>
        <v>-1.0510000000000002</v>
      </c>
      <c r="H243" s="12">
        <f>SUM(INDEX($S243:$AH243,H$5):INDEX($S243:$AH243,H$6))</f>
        <v>8.4</v>
      </c>
      <c r="I243" s="12">
        <f>SUM(INDEX($S243:$AH243,I$5):INDEX($S243:$AH243,I$6))</f>
        <v>-1.3</v>
      </c>
      <c r="J243" s="12">
        <f>SUM(INDEX($S243:$AH243,J$5):INDEX($S243:$AH243,J$6))</f>
        <v>-0.69999999999999973</v>
      </c>
      <c r="K243" s="12">
        <f>SUM(INDEX($S243:$BK243,K$5):INDEX($S243:$BK243,K$6))</f>
        <v>100.18599999999999</v>
      </c>
      <c r="L243" s="12">
        <f>SUM(INDEX($S243:$BK243,L$5):INDEX($S243:$BK243,L$6))</f>
        <v>-3.964</v>
      </c>
      <c r="M243" s="12">
        <f>SUM(INDEX($S243:$BK243,M$5):INDEX($S243:$BK243,M$6))</f>
        <v>-2.5499999999999994</v>
      </c>
      <c r="N243" s="12">
        <f>SUM(INDEX($S243:$BK243,N$5):INDEX($S243:$BK243,N$6))</f>
        <v>-7.9649999999999999</v>
      </c>
      <c r="O243" s="12">
        <f>SUM(INDEX($S243:$BK243,O$5):INDEX($S243:$BK243,O$6))</f>
        <v>0</v>
      </c>
      <c r="P243" s="12">
        <f>SUM(INDEX($S243:$BK243,P$5):INDEX($S243:$BK243,P$6))</f>
        <v>0</v>
      </c>
      <c r="Q243" s="12">
        <f>SUM(INDEX($S243:$BK243,Q$5):INDEX($S243:$BK243,Q$6))</f>
        <v>0</v>
      </c>
      <c r="R243" s="51"/>
      <c r="S243" s="12"/>
      <c r="T243" s="12"/>
      <c r="U243" s="12"/>
      <c r="V243" s="12"/>
      <c r="W243" s="12"/>
      <c r="X243" s="12"/>
      <c r="Y243" s="12">
        <v>14.5</v>
      </c>
      <c r="Z243" s="109">
        <v>-6.1</v>
      </c>
      <c r="AA243" s="109">
        <v>-1.3</v>
      </c>
      <c r="AB243" s="109">
        <v>1.3</v>
      </c>
      <c r="AC243" s="109">
        <v>0</v>
      </c>
      <c r="AD243" s="109">
        <v>-1.3</v>
      </c>
      <c r="AE243" s="109">
        <v>-1.2</v>
      </c>
      <c r="AF243" s="109">
        <v>-3.9</v>
      </c>
      <c r="AG243" s="109">
        <v>0.5</v>
      </c>
      <c r="AH243" s="109">
        <v>3.9</v>
      </c>
      <c r="AI243" s="109">
        <v>1.3</v>
      </c>
      <c r="AJ243" s="109">
        <v>-1.734</v>
      </c>
      <c r="AK243" s="109">
        <v>100.6</v>
      </c>
      <c r="AL243" s="109">
        <f>-0.614+100+0.8-AK243-AJ243-AI243</f>
        <v>1.9999999999998463E-2</v>
      </c>
      <c r="AM243" s="109">
        <f>-0.064+0.1</f>
        <v>3.6000000000000004E-2</v>
      </c>
      <c r="AN243" s="109">
        <v>0.1</v>
      </c>
      <c r="AO243" s="109">
        <v>0.1</v>
      </c>
      <c r="AP243" s="109">
        <v>-4.2</v>
      </c>
      <c r="AQ243" s="109">
        <v>0</v>
      </c>
      <c r="AR243" s="109">
        <f>-0.959-AQ243</f>
        <v>-0.95899999999999996</v>
      </c>
      <c r="AS243" s="109">
        <f>(-0.259-0.223-AR243-AQ243)+-0.6</f>
        <v>-0.123</v>
      </c>
      <c r="AT243" s="109">
        <f>-0.959-1.591-AS243-AR243-AQ243</f>
        <v>-1.4679999999999995</v>
      </c>
      <c r="AU243" s="109">
        <f>-1.245-3.377</f>
        <v>-4.6219999999999999</v>
      </c>
      <c r="AV243" s="109">
        <f>-1.973-3.927+-AU243</f>
        <v>-1.2780000000000005</v>
      </c>
      <c r="AW243" s="109">
        <f>-2.6-3.945-AV243-AU243</f>
        <v>-0.64499999999999957</v>
      </c>
      <c r="AX243" s="109">
        <f>-3.586-4.379-AW243-AV243-AU243</f>
        <v>-1.42</v>
      </c>
      <c r="AY243" s="25">
        <v>0</v>
      </c>
      <c r="AZ243" s="25">
        <v>0</v>
      </c>
      <c r="BA243" s="25">
        <v>0</v>
      </c>
      <c r="BB243" s="25">
        <v>0</v>
      </c>
      <c r="BC243" s="25">
        <v>0</v>
      </c>
      <c r="BD243" s="25">
        <v>0</v>
      </c>
      <c r="BE243" s="25">
        <v>0</v>
      </c>
      <c r="BF243" s="25">
        <v>0</v>
      </c>
      <c r="BG243" s="25">
        <v>0</v>
      </c>
      <c r="BH243" s="25">
        <v>0</v>
      </c>
      <c r="BI243" s="25">
        <v>0</v>
      </c>
      <c r="BJ243" s="25">
        <v>0</v>
      </c>
      <c r="BK243" s="1"/>
      <c r="BL243" s="91"/>
      <c r="BM243" s="23">
        <f t="shared" si="283"/>
        <v>237</v>
      </c>
    </row>
    <row r="244" spans="1:65" ht="12.75" customHeight="1" outlineLevel="1">
      <c r="A244" s="118"/>
      <c r="B244" s="5" t="s">
        <v>56</v>
      </c>
      <c r="C244" s="12"/>
      <c r="D244" s="12"/>
      <c r="E244" s="12">
        <f>176.86-0.001-0.035</f>
        <v>176.82400000000001</v>
      </c>
      <c r="F244" s="12">
        <f>3.307-2.048</f>
        <v>1.2589999999999999</v>
      </c>
      <c r="G244" s="12">
        <f>15+65.909-11.214-0.392</f>
        <v>69.303000000000011</v>
      </c>
      <c r="H244" s="12">
        <f>SUM(INDEX($S244:$AH244,H$5):INDEX($S244:$AH244,H$6))</f>
        <v>18.772999999999978</v>
      </c>
      <c r="I244" s="12">
        <f>SUM(INDEX($S244:$AH244,I$5):INDEX($S244:$AH244,I$6))</f>
        <v>-6.7300000000000013</v>
      </c>
      <c r="J244" s="12">
        <f>SUM(INDEX($S244:$AH244,J$5):INDEX($S244:$AH244,J$6))</f>
        <v>110.72000000000001</v>
      </c>
      <c r="K244" s="12">
        <f>SUM(INDEX($S244:$BK244,K$5):INDEX($S244:$BK244,K$6))</f>
        <v>127.128</v>
      </c>
      <c r="L244" s="12">
        <f>SUM(INDEX($S244:$BK244,L$5):INDEX($S244:$BK244,L$6))</f>
        <v>-5.093</v>
      </c>
      <c r="M244" s="12">
        <f>SUM(INDEX($S244:$BK244,M$5):INDEX($S244:$BK244,M$6))</f>
        <v>-5.7439999999999998</v>
      </c>
      <c r="N244" s="12">
        <f>SUM(INDEX($S244:$BK244,N$5):INDEX($S244:$BK244,N$6))</f>
        <v>-8.1620000000000008</v>
      </c>
      <c r="O244" s="12">
        <f>SUM(INDEX($S244:$BK244,O$5):INDEX($S244:$BK244,O$6))</f>
        <v>790.41100000000017</v>
      </c>
      <c r="P244" s="12">
        <f>SUM(INDEX($S244:$BK244,P$5):INDEX($S244:$BK244,P$6))</f>
        <v>-1.75</v>
      </c>
      <c r="Q244" s="12">
        <f>SUM(INDEX($S244:$BK244,Q$5):INDEX($S244:$BK244,Q$6))</f>
        <v>-1.75</v>
      </c>
      <c r="R244" s="51"/>
      <c r="S244" s="12"/>
      <c r="T244" s="12"/>
      <c r="U244" s="12"/>
      <c r="V244" s="12"/>
      <c r="W244" s="12"/>
      <c r="X244" s="12"/>
      <c r="Y244" s="12"/>
      <c r="Z244" s="109">
        <f>259.061-240.476+3.932-1.5-4.105+1.861</f>
        <v>18.772999999999978</v>
      </c>
      <c r="AA244" s="109">
        <f>-0.65-1.418</f>
        <v>-2.0680000000000001</v>
      </c>
      <c r="AB244" s="109">
        <f>-1.286-1.56-1.304-AA244</f>
        <v>-2.0820000000000003</v>
      </c>
      <c r="AC244" s="109">
        <f>-1.95+0.91-1.304-AB244-AA244</f>
        <v>1.806</v>
      </c>
      <c r="AD244" s="109">
        <f>-2.6-0.198-3.932-AC244-AB244-AA244</f>
        <v>-4.386000000000001</v>
      </c>
      <c r="AE244" s="109">
        <f>-0.65+10.551</f>
        <v>9.9009999999999998</v>
      </c>
      <c r="AF244" s="109">
        <v>0</v>
      </c>
      <c r="AG244" s="109">
        <f>373.791-257.016-1.739-0.25-AF244-AE244</f>
        <v>104.88499999999998</v>
      </c>
      <c r="AH244" s="109">
        <f>373.728-257.976-0.731-0.25-4.051-AG244-AE244-AF244</f>
        <v>-4.0659999999999634</v>
      </c>
      <c r="AI244" s="109">
        <f>-0.938-2.13</f>
        <v>-3.0679999999999996</v>
      </c>
      <c r="AJ244" s="133">
        <f>-1.875-1.193-AI244</f>
        <v>0</v>
      </c>
      <c r="AK244" s="133">
        <f>-2.812+0.887-0.132-SUM(AI244:AJ244)</f>
        <v>1.0109999999999997</v>
      </c>
      <c r="AL244" s="133">
        <f>134.325-3.75-0.444-0.132-2.871-AK244-AJ244-AI244</f>
        <v>129.185</v>
      </c>
      <c r="AM244" s="133">
        <f>2.541-1.275</f>
        <v>1.266</v>
      </c>
      <c r="AN244" s="133">
        <f>-2.55-0.384-AM244</f>
        <v>-4.1999999999999993</v>
      </c>
      <c r="AO244" s="133">
        <f>-3.826-1.81-AN244-AM244</f>
        <v>-2.7020000000000008</v>
      </c>
      <c r="AP244" s="133">
        <f>-5.093-AO244-AN244-AM244</f>
        <v>0.54300000000000015</v>
      </c>
      <c r="AQ244" s="133">
        <v>-1.2749999999999999</v>
      </c>
      <c r="AR244" s="133">
        <f>-2.55-AQ244</f>
        <v>-1.2749999999999999</v>
      </c>
      <c r="AS244" s="133">
        <f>-4.035-AR244-AQ244</f>
        <v>-1.4850000000000003</v>
      </c>
      <c r="AT244" s="133">
        <f>-5.202-0.542-AS244-AR244-AQ244</f>
        <v>-1.7089999999999996</v>
      </c>
      <c r="AU244" s="133">
        <f>-1.405-0.318</f>
        <v>-1.7230000000000001</v>
      </c>
      <c r="AV244" s="133">
        <f>-3.27-0.631-AU244</f>
        <v>-2.1779999999999999</v>
      </c>
      <c r="AW244" s="133">
        <f>-5.576-0.878-AV244-AU244</f>
        <v>-2.5529999999999999</v>
      </c>
      <c r="AX244" s="133">
        <f>-7.211-0.951-AW244-AV244-AU244</f>
        <v>-1.7080000000000009</v>
      </c>
      <c r="AY244" s="12">
        <f>+(AY270-AX270)+(AY273-AX273)</f>
        <v>-0.91450000000012643</v>
      </c>
      <c r="AZ244" s="12">
        <f>+(AZ270-AY270)+(AZ273-AY273)</f>
        <v>792.20050000000026</v>
      </c>
      <c r="BA244" s="12">
        <f>+(BA270-AZ270)+(BA273-AZ273)</f>
        <v>-0.4375</v>
      </c>
      <c r="BB244" s="12">
        <f>+(BB270-BA270)+(BB273-BA273)</f>
        <v>-0.4375</v>
      </c>
      <c r="BC244" s="12">
        <f t="shared" ref="BC244:BJ244" si="314">+(BC270-BB270)+(BC273-BB273)</f>
        <v>-0.4375</v>
      </c>
      <c r="BD244" s="12">
        <f t="shared" si="314"/>
        <v>-0.4375</v>
      </c>
      <c r="BE244" s="12">
        <f t="shared" si="314"/>
        <v>-0.4375</v>
      </c>
      <c r="BF244" s="12">
        <f t="shared" si="314"/>
        <v>-0.4375</v>
      </c>
      <c r="BG244" s="12">
        <f t="shared" si="314"/>
        <v>-0.4375</v>
      </c>
      <c r="BH244" s="12">
        <f t="shared" si="314"/>
        <v>-0.4375</v>
      </c>
      <c r="BI244" s="12">
        <f t="shared" si="314"/>
        <v>-0.4375</v>
      </c>
      <c r="BJ244" s="12">
        <f t="shared" si="314"/>
        <v>-0.4375</v>
      </c>
      <c r="BK244" s="1"/>
      <c r="BL244" s="91"/>
      <c r="BM244" s="23">
        <f t="shared" si="283"/>
        <v>238</v>
      </c>
    </row>
    <row r="245" spans="1:65" ht="12.75" customHeight="1" outlineLevel="1">
      <c r="A245" s="118"/>
      <c r="B245" s="268" t="s">
        <v>440</v>
      </c>
      <c r="C245" s="12"/>
      <c r="D245" s="12"/>
      <c r="E245" s="12">
        <v>0</v>
      </c>
      <c r="F245" s="12">
        <v>0</v>
      </c>
      <c r="G245" s="12">
        <v>14.5</v>
      </c>
      <c r="H245" s="12">
        <f>SUM(INDEX($S245:$AH245,H$5):INDEX($S245:$AH245,H$6))</f>
        <v>0</v>
      </c>
      <c r="I245" s="12">
        <f>SUM(INDEX($S245:$AH245,I$5):INDEX($S245:$AH245,I$6))</f>
        <v>0</v>
      </c>
      <c r="J245" s="12">
        <f>SUM(INDEX($S245:$AH245,J$5):INDEX($S245:$AH245,J$6))</f>
        <v>0</v>
      </c>
      <c r="K245" s="12">
        <f>SUM(INDEX($S245:$BK245,K$5):INDEX($S245:$BK245,K$6))</f>
        <v>0</v>
      </c>
      <c r="L245" s="12">
        <f>SUM(INDEX($S245:$BK245,L$5):INDEX($S245:$BK245,L$6))</f>
        <v>0</v>
      </c>
      <c r="M245" s="12">
        <f>SUM(INDEX($S245:$BK245,M$5):INDEX($S245:$BK245,M$6))</f>
        <v>0</v>
      </c>
      <c r="N245" s="12">
        <f>SUM(INDEX($S245:$BK245,N$5):INDEX($S245:$BK245,N$6))</f>
        <v>0</v>
      </c>
      <c r="O245" s="12">
        <f>SUM(INDEX($S245:$BK245,O$5):INDEX($S245:$BK245,O$6))</f>
        <v>0</v>
      </c>
      <c r="P245" s="12">
        <f>SUM(INDEX($S245:$BK245,P$5):INDEX($S245:$BK245,P$6))</f>
        <v>0</v>
      </c>
      <c r="Q245" s="12">
        <f>SUM(INDEX($S245:$BK245,Q$5):INDEX($S245:$BK245,Q$6))</f>
        <v>0</v>
      </c>
      <c r="R245" s="51"/>
      <c r="S245" s="12"/>
      <c r="T245" s="12"/>
      <c r="U245" s="63">
        <v>4.5</v>
      </c>
      <c r="V245" s="63">
        <v>63.6</v>
      </c>
      <c r="W245" s="12"/>
      <c r="X245" s="12"/>
      <c r="Y245" s="12"/>
      <c r="Z245" s="12">
        <v>0</v>
      </c>
      <c r="AA245" s="12">
        <v>0</v>
      </c>
      <c r="AB245" s="12">
        <v>0</v>
      </c>
      <c r="AC245" s="12">
        <v>0</v>
      </c>
      <c r="AD245" s="12">
        <v>0</v>
      </c>
      <c r="AE245" s="12">
        <v>0</v>
      </c>
      <c r="AF245" s="12">
        <v>0</v>
      </c>
      <c r="AG245" s="12">
        <v>0</v>
      </c>
      <c r="AH245" s="12">
        <v>0</v>
      </c>
      <c r="AI245" s="12">
        <v>0</v>
      </c>
      <c r="AJ245" s="59">
        <v>0</v>
      </c>
      <c r="AK245" s="59">
        <v>0</v>
      </c>
      <c r="AL245" s="59">
        <v>0</v>
      </c>
      <c r="AM245" s="59">
        <v>0</v>
      </c>
      <c r="AN245" s="59">
        <v>0</v>
      </c>
      <c r="AO245" s="59">
        <v>0</v>
      </c>
      <c r="AP245" s="59">
        <v>0</v>
      </c>
      <c r="AQ245" s="59">
        <v>0</v>
      </c>
      <c r="AR245" s="59">
        <v>0</v>
      </c>
      <c r="AS245" s="59">
        <v>0</v>
      </c>
      <c r="AT245" s="59">
        <v>0</v>
      </c>
      <c r="AU245" s="59">
        <v>0</v>
      </c>
      <c r="AV245" s="59">
        <v>0</v>
      </c>
      <c r="AW245" s="59">
        <v>0</v>
      </c>
      <c r="AX245" s="59">
        <v>0</v>
      </c>
      <c r="AY245" s="25">
        <v>0</v>
      </c>
      <c r="AZ245" s="25">
        <v>0</v>
      </c>
      <c r="BA245" s="25">
        <v>0</v>
      </c>
      <c r="BB245" s="25">
        <v>0</v>
      </c>
      <c r="BC245" s="25">
        <v>0</v>
      </c>
      <c r="BD245" s="25">
        <v>0</v>
      </c>
      <c r="BE245" s="25">
        <v>0</v>
      </c>
      <c r="BF245" s="25">
        <v>0</v>
      </c>
      <c r="BG245" s="25">
        <v>0</v>
      </c>
      <c r="BH245" s="25">
        <v>0</v>
      </c>
      <c r="BI245" s="25">
        <v>0</v>
      </c>
      <c r="BJ245" s="25">
        <v>0</v>
      </c>
      <c r="BK245" s="1"/>
      <c r="BL245" s="91"/>
      <c r="BM245" s="23">
        <f t="shared" si="283"/>
        <v>239</v>
      </c>
    </row>
    <row r="246" spans="1:65" ht="12.75" customHeight="1" outlineLevel="1">
      <c r="A246" s="118"/>
      <c r="B246" s="265" t="s">
        <v>57</v>
      </c>
      <c r="C246" s="12"/>
      <c r="D246" s="12"/>
      <c r="E246" s="33">
        <f>SUM(E237:E245)</f>
        <v>9.7689999999999486</v>
      </c>
      <c r="F246" s="33">
        <f t="shared" ref="F246:Q246" si="315">SUM(F237:F245)</f>
        <v>0.26700000000000168</v>
      </c>
      <c r="G246" s="33">
        <f t="shared" si="315"/>
        <v>64.52600000000001</v>
      </c>
      <c r="H246" s="33">
        <f t="shared" si="315"/>
        <v>-5.2820000000000213</v>
      </c>
      <c r="I246" s="33">
        <f t="shared" si="315"/>
        <v>1.8206999999999693</v>
      </c>
      <c r="J246" s="33">
        <f t="shared" si="315"/>
        <v>92.214000000000013</v>
      </c>
      <c r="K246" s="33">
        <f t="shared" si="315"/>
        <v>189.21099999999996</v>
      </c>
      <c r="L246" s="33">
        <f t="shared" si="315"/>
        <v>-43.457000000000008</v>
      </c>
      <c r="M246" s="33">
        <f t="shared" si="315"/>
        <v>412.27600000000018</v>
      </c>
      <c r="N246" s="33">
        <f t="shared" si="315"/>
        <v>-326.65800000000002</v>
      </c>
      <c r="O246" s="33">
        <f t="shared" si="315"/>
        <v>62.238578738354818</v>
      </c>
      <c r="P246" s="33">
        <f t="shared" si="315"/>
        <v>322.28018505288497</v>
      </c>
      <c r="Q246" s="33">
        <f t="shared" si="315"/>
        <v>356.04744694096337</v>
      </c>
      <c r="R246" s="51"/>
      <c r="S246" s="12"/>
      <c r="T246" s="12"/>
      <c r="U246" s="33">
        <f t="shared" ref="U246:BJ246" si="316">SUM(U237:U245)</f>
        <v>2.0059999999999993</v>
      </c>
      <c r="V246" s="33">
        <f t="shared" si="316"/>
        <v>62.524000000000001</v>
      </c>
      <c r="W246" s="33">
        <f t="shared" si="316"/>
        <v>-8.1320000000000014</v>
      </c>
      <c r="X246" s="33">
        <f t="shared" si="316"/>
        <v>9.6499999999999986</v>
      </c>
      <c r="Y246" s="33">
        <f t="shared" si="316"/>
        <v>7.7819999999999983</v>
      </c>
      <c r="Z246" s="33">
        <f t="shared" si="316"/>
        <v>-14.582000000000026</v>
      </c>
      <c r="AA246" s="33">
        <f t="shared" si="316"/>
        <v>25.445999999999984</v>
      </c>
      <c r="AB246" s="33">
        <f t="shared" si="316"/>
        <v>17.980999999999991</v>
      </c>
      <c r="AC246" s="33">
        <f t="shared" si="316"/>
        <v>-9.6450000000000067</v>
      </c>
      <c r="AD246" s="33">
        <f t="shared" si="316"/>
        <v>-31.961300000000008</v>
      </c>
      <c r="AE246" s="33">
        <f t="shared" si="316"/>
        <v>-18.12299999999999</v>
      </c>
      <c r="AF246" s="33">
        <f t="shared" si="316"/>
        <v>4.1209999999999898</v>
      </c>
      <c r="AG246" s="33">
        <f t="shared" si="316"/>
        <v>106.61799999999998</v>
      </c>
      <c r="AH246" s="33">
        <f t="shared" si="316"/>
        <v>-0.4019999999999655</v>
      </c>
      <c r="AI246" s="33">
        <f t="shared" si="316"/>
        <v>7.5350000000000019</v>
      </c>
      <c r="AJ246" s="33">
        <f t="shared" si="316"/>
        <v>20.283000000000001</v>
      </c>
      <c r="AK246" s="33">
        <f t="shared" si="316"/>
        <v>15.8</v>
      </c>
      <c r="AL246" s="33">
        <f t="shared" si="316"/>
        <v>145.59300000000002</v>
      </c>
      <c r="AM246" s="33">
        <f t="shared" si="316"/>
        <v>-14.626000000000003</v>
      </c>
      <c r="AN246" s="33">
        <f t="shared" si="316"/>
        <v>-5.5599999999999978</v>
      </c>
      <c r="AO246" s="33">
        <f t="shared" si="316"/>
        <v>-22.418000000000006</v>
      </c>
      <c r="AP246" s="33">
        <f t="shared" si="316"/>
        <v>-0.85299999999999887</v>
      </c>
      <c r="AQ246" s="33">
        <f t="shared" si="316"/>
        <v>171.298</v>
      </c>
      <c r="AR246" s="33">
        <f t="shared" si="316"/>
        <v>-16.029999999999976</v>
      </c>
      <c r="AS246" s="33">
        <f t="shared" si="316"/>
        <v>-190.12700000000001</v>
      </c>
      <c r="AT246" s="33">
        <f t="shared" si="316"/>
        <v>447.1350000000001</v>
      </c>
      <c r="AU246" s="33">
        <f t="shared" si="316"/>
        <v>-50.321999999999996</v>
      </c>
      <c r="AV246" s="33">
        <f t="shared" si="316"/>
        <v>-62.368999999999993</v>
      </c>
      <c r="AW246" s="33">
        <f t="shared" si="316"/>
        <v>-134.88400000000004</v>
      </c>
      <c r="AX246" s="33">
        <f t="shared" si="316"/>
        <v>-79.082999999999956</v>
      </c>
      <c r="AY246" s="33">
        <f t="shared" si="316"/>
        <v>-26.687063360994081</v>
      </c>
      <c r="AZ246" s="33">
        <f t="shared" si="316"/>
        <v>-5.5079397456923971</v>
      </c>
      <c r="BA246" s="33">
        <f t="shared" si="316"/>
        <v>22.836415124991323</v>
      </c>
      <c r="BB246" s="33">
        <f t="shared" si="316"/>
        <v>71.59716672004987</v>
      </c>
      <c r="BC246" s="33">
        <f t="shared" si="316"/>
        <v>84.834290798730379</v>
      </c>
      <c r="BD246" s="33">
        <f t="shared" si="316"/>
        <v>81.817308006347659</v>
      </c>
      <c r="BE246" s="33">
        <f t="shared" si="316"/>
        <v>79.064640078803819</v>
      </c>
      <c r="BF246" s="33">
        <f t="shared" si="316"/>
        <v>76.563946169003117</v>
      </c>
      <c r="BG246" s="33">
        <f t="shared" si="316"/>
        <v>77.643840969995509</v>
      </c>
      <c r="BH246" s="33">
        <f t="shared" si="316"/>
        <v>91.368490780953337</v>
      </c>
      <c r="BI246" s="33">
        <f t="shared" si="316"/>
        <v>93.620852027888972</v>
      </c>
      <c r="BJ246" s="33">
        <f t="shared" si="316"/>
        <v>93.414263162125522</v>
      </c>
      <c r="BK246" s="1"/>
      <c r="BL246" s="91"/>
      <c r="BM246" s="23">
        <f t="shared" si="283"/>
        <v>240</v>
      </c>
    </row>
    <row r="247" spans="1:65" ht="12.75" customHeight="1" outlineLevel="1">
      <c r="A247" s="118"/>
      <c r="B247" s="1"/>
      <c r="C247" s="1"/>
      <c r="D247" s="1"/>
      <c r="E247" s="1"/>
      <c r="F247" s="1"/>
      <c r="G247" s="35"/>
      <c r="H247" s="35">
        <f t="shared" ref="H247:O247" si="317">ROUND(H252-G252-H246,1)</f>
        <v>0</v>
      </c>
      <c r="I247" s="35">
        <f t="shared" si="317"/>
        <v>0</v>
      </c>
      <c r="J247" s="35">
        <f t="shared" si="317"/>
        <v>0</v>
      </c>
      <c r="K247" s="35">
        <f t="shared" si="317"/>
        <v>0</v>
      </c>
      <c r="L247" s="35">
        <f t="shared" si="317"/>
        <v>0</v>
      </c>
      <c r="M247" s="35">
        <f t="shared" si="317"/>
        <v>0</v>
      </c>
      <c r="N247" s="35">
        <f t="shared" si="317"/>
        <v>0</v>
      </c>
      <c r="O247" s="35">
        <f t="shared" si="317"/>
        <v>0</v>
      </c>
      <c r="P247" s="35">
        <f>ROUND(P252-O252-P246,1)</f>
        <v>0</v>
      </c>
      <c r="Q247" s="35">
        <f>ROUND(Q252-P252-Q246,1)</f>
        <v>0</v>
      </c>
      <c r="R247" s="51"/>
      <c r="S247" s="1"/>
      <c r="T247" s="1"/>
      <c r="U247" s="35">
        <f t="shared" ref="U247:AQ247" si="318">ROUND(U252-T252-U246,1)</f>
        <v>0</v>
      </c>
      <c r="V247" s="35">
        <f t="shared" si="318"/>
        <v>0</v>
      </c>
      <c r="W247" s="35">
        <f t="shared" si="318"/>
        <v>0</v>
      </c>
      <c r="X247" s="35">
        <f t="shared" si="318"/>
        <v>0</v>
      </c>
      <c r="Y247" s="35">
        <f t="shared" si="318"/>
        <v>0</v>
      </c>
      <c r="Z247" s="35">
        <f t="shared" si="318"/>
        <v>0</v>
      </c>
      <c r="AA247" s="35">
        <f t="shared" si="318"/>
        <v>0</v>
      </c>
      <c r="AB247" s="35">
        <f t="shared" si="318"/>
        <v>0</v>
      </c>
      <c r="AC247" s="35">
        <f t="shared" si="318"/>
        <v>0</v>
      </c>
      <c r="AD247" s="35">
        <f t="shared" si="318"/>
        <v>0</v>
      </c>
      <c r="AE247" s="35">
        <f t="shared" si="318"/>
        <v>0</v>
      </c>
      <c r="AF247" s="35">
        <f t="shared" si="318"/>
        <v>0</v>
      </c>
      <c r="AG247" s="35">
        <f t="shared" si="318"/>
        <v>0</v>
      </c>
      <c r="AH247" s="35">
        <f t="shared" si="318"/>
        <v>0</v>
      </c>
      <c r="AI247" s="35">
        <f t="shared" si="318"/>
        <v>0</v>
      </c>
      <c r="AJ247" s="62">
        <f>ROUND(AJ252-AI252-AJ246,1)</f>
        <v>0</v>
      </c>
      <c r="AK247" s="62">
        <f>ROUND(AK252-AJ252-AK246,1)</f>
        <v>0</v>
      </c>
      <c r="AL247" s="62">
        <f t="shared" si="318"/>
        <v>0</v>
      </c>
      <c r="AM247" s="62">
        <f>ROUND(AM252-AL252-AM246,1)</f>
        <v>0</v>
      </c>
      <c r="AN247" s="62">
        <f t="shared" si="318"/>
        <v>0</v>
      </c>
      <c r="AO247" s="62">
        <f t="shared" si="318"/>
        <v>0</v>
      </c>
      <c r="AP247" s="62">
        <f t="shared" si="318"/>
        <v>0</v>
      </c>
      <c r="AQ247" s="62">
        <f t="shared" si="318"/>
        <v>0</v>
      </c>
      <c r="AR247" s="62">
        <f t="shared" ref="AR247:AX247" si="319">ROUND(AR252-AQ252-AR246,1)</f>
        <v>0</v>
      </c>
      <c r="AS247" s="62">
        <f t="shared" si="319"/>
        <v>0</v>
      </c>
      <c r="AT247" s="62">
        <f t="shared" si="319"/>
        <v>0</v>
      </c>
      <c r="AU247" s="62">
        <f t="shared" si="319"/>
        <v>0</v>
      </c>
      <c r="AV247" s="62">
        <f t="shared" si="319"/>
        <v>0</v>
      </c>
      <c r="AW247" s="62">
        <f t="shared" si="319"/>
        <v>0</v>
      </c>
      <c r="AX247" s="62">
        <f t="shared" si="319"/>
        <v>0</v>
      </c>
      <c r="AY247" s="35">
        <f>ROUND(AY252-AX252-AY246,1)</f>
        <v>0</v>
      </c>
      <c r="AZ247" s="35">
        <f>ROUND(AZ252-AY252-AZ246,1)</f>
        <v>0</v>
      </c>
      <c r="BA247" s="35">
        <f>ROUND(BA252-AZ252-BA246,1)</f>
        <v>0</v>
      </c>
      <c r="BB247" s="35">
        <f>ROUND(BB252-BA252-BB246,1)</f>
        <v>0</v>
      </c>
      <c r="BC247" s="35">
        <f t="shared" ref="BC247:BJ247" si="320">ROUND(BC252-BB252-BC246,1)</f>
        <v>0</v>
      </c>
      <c r="BD247" s="35">
        <f t="shared" si="320"/>
        <v>0</v>
      </c>
      <c r="BE247" s="35">
        <f t="shared" si="320"/>
        <v>0</v>
      </c>
      <c r="BF247" s="35">
        <f t="shared" si="320"/>
        <v>0</v>
      </c>
      <c r="BG247" s="35">
        <f t="shared" si="320"/>
        <v>0</v>
      </c>
      <c r="BH247" s="35">
        <f t="shared" si="320"/>
        <v>0</v>
      </c>
      <c r="BI247" s="35">
        <f t="shared" si="320"/>
        <v>0</v>
      </c>
      <c r="BJ247" s="35">
        <f t="shared" si="320"/>
        <v>0</v>
      </c>
      <c r="BK247" s="1"/>
      <c r="BL247" s="1"/>
      <c r="BM247" s="23">
        <f t="shared" si="283"/>
        <v>241</v>
      </c>
    </row>
    <row r="248" spans="1:65" ht="12.75" customHeight="1" outlineLevel="1">
      <c r="A248" s="118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5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23">
        <f t="shared" si="283"/>
        <v>242</v>
      </c>
    </row>
    <row r="249" spans="1:65" ht="12.75" customHeight="1">
      <c r="A249" s="118" t="s">
        <v>29</v>
      </c>
      <c r="B249" s="19" t="s">
        <v>64</v>
      </c>
      <c r="C249" s="1"/>
      <c r="D249" s="1"/>
      <c r="E249" s="1"/>
      <c r="F249" s="1"/>
      <c r="G249" s="1"/>
      <c r="H249" s="1"/>
      <c r="I249" s="1"/>
      <c r="J249" s="1"/>
      <c r="K249" s="1"/>
      <c r="L249" s="75"/>
      <c r="M249" s="1"/>
      <c r="N249" s="1"/>
      <c r="O249" s="1"/>
      <c r="P249" s="1"/>
      <c r="Q249" s="1"/>
      <c r="R249" s="5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23">
        <f t="shared" si="283"/>
        <v>243</v>
      </c>
    </row>
    <row r="250" spans="1:65" ht="12.75" customHeight="1" outlineLevel="1">
      <c r="A250" s="118"/>
      <c r="B250" s="30" t="s">
        <v>2</v>
      </c>
      <c r="C250" s="4">
        <f t="shared" ref="C250:Q250" si="321">C$7</f>
        <v>2006</v>
      </c>
      <c r="D250" s="4">
        <f t="shared" si="321"/>
        <v>2007</v>
      </c>
      <c r="E250" s="4">
        <f t="shared" si="321"/>
        <v>2008</v>
      </c>
      <c r="F250" s="4">
        <f t="shared" si="321"/>
        <v>2009</v>
      </c>
      <c r="G250" s="4">
        <f t="shared" si="321"/>
        <v>2010</v>
      </c>
      <c r="H250" s="4">
        <f t="shared" si="321"/>
        <v>2011</v>
      </c>
      <c r="I250" s="4">
        <f t="shared" si="321"/>
        <v>2012</v>
      </c>
      <c r="J250" s="4">
        <f t="shared" si="321"/>
        <v>2013</v>
      </c>
      <c r="K250" s="4">
        <f t="shared" si="321"/>
        <v>2014</v>
      </c>
      <c r="L250" s="4">
        <f t="shared" si="321"/>
        <v>2015</v>
      </c>
      <c r="M250" s="4">
        <f t="shared" si="321"/>
        <v>2016</v>
      </c>
      <c r="N250" s="4">
        <f t="shared" si="321"/>
        <v>2017</v>
      </c>
      <c r="O250" s="4" t="str">
        <f t="shared" si="321"/>
        <v>2018E</v>
      </c>
      <c r="P250" s="4" t="str">
        <f t="shared" si="321"/>
        <v>2019E</v>
      </c>
      <c r="Q250" s="4" t="str">
        <f t="shared" si="321"/>
        <v>2020E</v>
      </c>
      <c r="R250" s="51"/>
      <c r="S250" s="4" t="str">
        <f t="shared" ref="S250:BJ250" si="322">S$7</f>
        <v>1Q10</v>
      </c>
      <c r="T250" s="4" t="str">
        <f t="shared" si="322"/>
        <v>2Q10</v>
      </c>
      <c r="U250" s="4" t="str">
        <f t="shared" si="322"/>
        <v>3Q10</v>
      </c>
      <c r="V250" s="4" t="str">
        <f t="shared" si="322"/>
        <v>4Q10</v>
      </c>
      <c r="W250" s="4" t="str">
        <f t="shared" si="322"/>
        <v>1Q11</v>
      </c>
      <c r="X250" s="4" t="str">
        <f t="shared" si="322"/>
        <v>2Q11</v>
      </c>
      <c r="Y250" s="4" t="str">
        <f t="shared" si="322"/>
        <v>3Q11</v>
      </c>
      <c r="Z250" s="4" t="str">
        <f t="shared" si="322"/>
        <v>4Q11</v>
      </c>
      <c r="AA250" s="4" t="str">
        <f t="shared" si="322"/>
        <v>1Q12</v>
      </c>
      <c r="AB250" s="4" t="str">
        <f t="shared" si="322"/>
        <v>2Q12</v>
      </c>
      <c r="AC250" s="4" t="str">
        <f t="shared" si="322"/>
        <v>3Q12</v>
      </c>
      <c r="AD250" s="4" t="str">
        <f t="shared" si="322"/>
        <v>4Q12</v>
      </c>
      <c r="AE250" s="4" t="str">
        <f t="shared" si="322"/>
        <v>1Q13</v>
      </c>
      <c r="AF250" s="4" t="str">
        <f t="shared" si="322"/>
        <v>2Q13</v>
      </c>
      <c r="AG250" s="4" t="str">
        <f t="shared" si="322"/>
        <v>3Q13</v>
      </c>
      <c r="AH250" s="4" t="str">
        <f t="shared" si="322"/>
        <v>4Q13</v>
      </c>
      <c r="AI250" s="4" t="str">
        <f t="shared" si="322"/>
        <v>1Q14</v>
      </c>
      <c r="AJ250" s="4" t="str">
        <f t="shared" si="322"/>
        <v>2Q14</v>
      </c>
      <c r="AK250" s="4" t="str">
        <f t="shared" si="322"/>
        <v>3Q14</v>
      </c>
      <c r="AL250" s="4" t="str">
        <f t="shared" si="322"/>
        <v>4Q14</v>
      </c>
      <c r="AM250" s="4" t="str">
        <f t="shared" si="322"/>
        <v>1Q15</v>
      </c>
      <c r="AN250" s="4" t="str">
        <f t="shared" si="322"/>
        <v>2Q15</v>
      </c>
      <c r="AO250" s="4" t="str">
        <f t="shared" si="322"/>
        <v>3Q15</v>
      </c>
      <c r="AP250" s="4" t="str">
        <f t="shared" si="322"/>
        <v>4Q15</v>
      </c>
      <c r="AQ250" s="4" t="str">
        <f t="shared" si="322"/>
        <v>1Q16</v>
      </c>
      <c r="AR250" s="4" t="str">
        <f t="shared" si="322"/>
        <v>2Q16</v>
      </c>
      <c r="AS250" s="4" t="str">
        <f t="shared" si="322"/>
        <v>3Q16</v>
      </c>
      <c r="AT250" s="4" t="str">
        <f t="shared" si="322"/>
        <v>4Q16</v>
      </c>
      <c r="AU250" s="4" t="str">
        <f t="shared" si="322"/>
        <v>1Q17</v>
      </c>
      <c r="AV250" s="4" t="str">
        <f t="shared" si="322"/>
        <v>2Q17</v>
      </c>
      <c r="AW250" s="4" t="str">
        <f t="shared" si="322"/>
        <v>3Q17</v>
      </c>
      <c r="AX250" s="4" t="str">
        <f t="shared" si="322"/>
        <v>4Q17</v>
      </c>
      <c r="AY250" s="4" t="str">
        <f t="shared" si="322"/>
        <v>1Q18E</v>
      </c>
      <c r="AZ250" s="4" t="str">
        <f t="shared" si="322"/>
        <v>2Q18E</v>
      </c>
      <c r="BA250" s="4" t="str">
        <f t="shared" si="322"/>
        <v>3Q18E</v>
      </c>
      <c r="BB250" s="4" t="str">
        <f t="shared" si="322"/>
        <v>4Q18E</v>
      </c>
      <c r="BC250" s="4" t="str">
        <f t="shared" si="322"/>
        <v>1Q19E</v>
      </c>
      <c r="BD250" s="4" t="str">
        <f t="shared" si="322"/>
        <v>2Q19E</v>
      </c>
      <c r="BE250" s="4" t="str">
        <f t="shared" si="322"/>
        <v>3Q19E</v>
      </c>
      <c r="BF250" s="4" t="str">
        <f t="shared" si="322"/>
        <v>4Q19E</v>
      </c>
      <c r="BG250" s="4" t="str">
        <f t="shared" si="322"/>
        <v>1Q20E</v>
      </c>
      <c r="BH250" s="4" t="str">
        <f t="shared" si="322"/>
        <v>2Q20E</v>
      </c>
      <c r="BI250" s="4" t="str">
        <f t="shared" si="322"/>
        <v>3Q20E</v>
      </c>
      <c r="BJ250" s="4" t="str">
        <f t="shared" si="322"/>
        <v>4Q20E</v>
      </c>
      <c r="BK250" s="1"/>
      <c r="BL250" s="1"/>
      <c r="BM250" s="23">
        <f t="shared" si="283"/>
        <v>244</v>
      </c>
    </row>
    <row r="251" spans="1:65" ht="12.75" customHeight="1" outlineLevel="1">
      <c r="A251" s="118"/>
      <c r="B251" s="34" t="s">
        <v>65</v>
      </c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90"/>
      <c r="S251" s="12"/>
      <c r="T251" s="12"/>
      <c r="U251" s="12"/>
      <c r="V251" s="12"/>
      <c r="W251" s="12"/>
      <c r="X251" s="12"/>
      <c r="Y251" s="12"/>
      <c r="Z251" s="12"/>
      <c r="AA251" s="12"/>
      <c r="AB251" s="12"/>
      <c r="AC251" s="12"/>
      <c r="AD251" s="12"/>
      <c r="AE251" s="12"/>
      <c r="AF251" s="12"/>
      <c r="AG251" s="12"/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87"/>
      <c r="AS251" s="87"/>
      <c r="AT251" s="87"/>
      <c r="AU251" s="87"/>
      <c r="AV251" s="87"/>
      <c r="AW251" s="87"/>
      <c r="AX251" s="87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12"/>
      <c r="BK251" s="1"/>
      <c r="BL251" s="1"/>
      <c r="BM251" s="23">
        <f t="shared" si="283"/>
        <v>245</v>
      </c>
    </row>
    <row r="252" spans="1:65" ht="12.75" customHeight="1" outlineLevel="1">
      <c r="A252" s="118"/>
      <c r="B252" s="5" t="s">
        <v>66</v>
      </c>
      <c r="C252" s="12"/>
      <c r="D252" s="12"/>
      <c r="E252" s="12"/>
      <c r="F252" s="65">
        <f>F246</f>
        <v>0.26700000000000168</v>
      </c>
      <c r="G252" s="12">
        <f t="shared" ref="G252:J256" si="323">INDEX($S252:$AH252,G$6)</f>
        <v>64.5</v>
      </c>
      <c r="H252" s="12">
        <f t="shared" si="323"/>
        <v>59.198999999999998</v>
      </c>
      <c r="I252" s="12">
        <f t="shared" si="323"/>
        <v>61.021999999999998</v>
      </c>
      <c r="J252" s="12">
        <f t="shared" si="323"/>
        <v>153.23599999999999</v>
      </c>
      <c r="K252" s="12">
        <f t="shared" ref="K252:Q256" si="324">INDEX($S252:$BK252,K$6)</f>
        <v>342.42399999999998</v>
      </c>
      <c r="L252" s="12">
        <f t="shared" si="324"/>
        <v>298.92599999999999</v>
      </c>
      <c r="M252" s="12">
        <f t="shared" si="324"/>
        <v>711.22500000000002</v>
      </c>
      <c r="N252" s="12">
        <f t="shared" si="324"/>
        <v>384.56700000000001</v>
      </c>
      <c r="O252" s="12">
        <f t="shared" si="324"/>
        <v>446.80557873835471</v>
      </c>
      <c r="P252" s="12">
        <f t="shared" si="324"/>
        <v>769.08576379123963</v>
      </c>
      <c r="Q252" s="12">
        <f t="shared" si="324"/>
        <v>1125.133210732203</v>
      </c>
      <c r="R252" s="90"/>
      <c r="S252" s="12"/>
      <c r="T252" s="12"/>
      <c r="U252" s="109">
        <v>2</v>
      </c>
      <c r="V252" s="109">
        <v>64.5</v>
      </c>
      <c r="W252" s="109">
        <f>V252+W246</f>
        <v>56.367999999999995</v>
      </c>
      <c r="X252" s="109">
        <f>W252+X246</f>
        <v>66.018000000000001</v>
      </c>
      <c r="Y252" s="109">
        <f>73.809</f>
        <v>73.808999999999997</v>
      </c>
      <c r="Z252" s="109">
        <v>59.198999999999998</v>
      </c>
      <c r="AA252" s="109">
        <v>84.641000000000005</v>
      </c>
      <c r="AB252" s="109">
        <v>102.625</v>
      </c>
      <c r="AC252" s="109">
        <v>93.01</v>
      </c>
      <c r="AD252" s="109">
        <v>61.021999999999998</v>
      </c>
      <c r="AE252" s="109">
        <v>42.918999999999997</v>
      </c>
      <c r="AF252" s="109">
        <v>47.067999999999998</v>
      </c>
      <c r="AG252" s="109">
        <f>128.687+24.986</f>
        <v>153.673</v>
      </c>
      <c r="AH252" s="109">
        <f>78.256+74.98</f>
        <v>153.23599999999999</v>
      </c>
      <c r="AI252" s="109">
        <f>85.7+75.068</f>
        <v>160.768</v>
      </c>
      <c r="AJ252" s="109">
        <f>75.101+105.974</f>
        <v>181.07499999999999</v>
      </c>
      <c r="AK252" s="109">
        <f>121.708+75.155</f>
        <v>196.863</v>
      </c>
      <c r="AL252" s="109">
        <f>267.281+75.143</f>
        <v>342.42399999999998</v>
      </c>
      <c r="AM252" s="109">
        <f>252.555+75.253</f>
        <v>327.80799999999999</v>
      </c>
      <c r="AN252" s="109">
        <f>251.488+70.74</f>
        <v>322.22800000000001</v>
      </c>
      <c r="AO252" s="109">
        <f>253.765+46.007</f>
        <v>299.77199999999999</v>
      </c>
      <c r="AP252" s="109">
        <f>277.077+21.849</f>
        <v>298.92599999999999</v>
      </c>
      <c r="AQ252" s="109">
        <f>463.395+6.84</f>
        <v>470.23499999999996</v>
      </c>
      <c r="AR252" s="109">
        <v>454.20800000000003</v>
      </c>
      <c r="AS252" s="109">
        <v>264.06</v>
      </c>
      <c r="AT252" s="109">
        <v>711.22500000000002</v>
      </c>
      <c r="AU252" s="109">
        <v>660.90300000000002</v>
      </c>
      <c r="AV252" s="109">
        <v>598.53499999999997</v>
      </c>
      <c r="AW252" s="109">
        <v>463.65</v>
      </c>
      <c r="AX252" s="109">
        <v>384.56700000000001</v>
      </c>
      <c r="AY252" s="12">
        <f>AX252+AY246</f>
        <v>357.8799366390059</v>
      </c>
      <c r="AZ252" s="12">
        <f>AY252+AZ246</f>
        <v>352.37199689331351</v>
      </c>
      <c r="BA252" s="12">
        <f>AZ252+BA246</f>
        <v>375.20841201830484</v>
      </c>
      <c r="BB252" s="12">
        <f>BA252+BB246</f>
        <v>446.80557873835471</v>
      </c>
      <c r="BC252" s="12">
        <f t="shared" ref="BC252:BJ252" si="325">BB252+BC246</f>
        <v>531.63986953708513</v>
      </c>
      <c r="BD252" s="12">
        <f t="shared" si="325"/>
        <v>613.45717754343275</v>
      </c>
      <c r="BE252" s="12">
        <f t="shared" si="325"/>
        <v>692.52181762223654</v>
      </c>
      <c r="BF252" s="12">
        <f t="shared" si="325"/>
        <v>769.08576379123963</v>
      </c>
      <c r="BG252" s="12">
        <f t="shared" si="325"/>
        <v>846.72960476123512</v>
      </c>
      <c r="BH252" s="12">
        <f t="shared" si="325"/>
        <v>938.0980955421885</v>
      </c>
      <c r="BI252" s="12">
        <f t="shared" si="325"/>
        <v>1031.7189475700775</v>
      </c>
      <c r="BJ252" s="12">
        <f t="shared" si="325"/>
        <v>1125.133210732203</v>
      </c>
      <c r="BK252" s="1"/>
      <c r="BL252" s="12"/>
      <c r="BM252" s="23">
        <f t="shared" si="283"/>
        <v>246</v>
      </c>
    </row>
    <row r="253" spans="1:65" ht="12.75" customHeight="1" outlineLevel="1">
      <c r="A253" s="118"/>
      <c r="B253" s="5" t="s">
        <v>88</v>
      </c>
      <c r="C253" s="12"/>
      <c r="D253" s="12"/>
      <c r="E253" s="12"/>
      <c r="F253" s="65">
        <f>-F252</f>
        <v>-0.26700000000000168</v>
      </c>
      <c r="G253" s="12">
        <f t="shared" si="323"/>
        <v>30.044</v>
      </c>
      <c r="H253" s="12">
        <f t="shared" si="323"/>
        <v>46.6</v>
      </c>
      <c r="I253" s="12">
        <f t="shared" si="323"/>
        <v>59.564</v>
      </c>
      <c r="J253" s="12">
        <f t="shared" si="323"/>
        <v>75.206999999999994</v>
      </c>
      <c r="K253" s="12">
        <f t="shared" si="324"/>
        <v>120.881</v>
      </c>
      <c r="L253" s="12">
        <f t="shared" si="324"/>
        <v>58.706000000000003</v>
      </c>
      <c r="M253" s="12">
        <f t="shared" si="324"/>
        <v>89.006</v>
      </c>
      <c r="N253" s="12">
        <f t="shared" si="324"/>
        <v>212.58600000000001</v>
      </c>
      <c r="O253" s="12">
        <f t="shared" si="324"/>
        <v>339.51403808876711</v>
      </c>
      <c r="P253" s="12">
        <f t="shared" si="324"/>
        <v>346.52108594811352</v>
      </c>
      <c r="Q253" s="12">
        <f t="shared" si="324"/>
        <v>354.08127968332934</v>
      </c>
      <c r="R253" s="90"/>
      <c r="S253" s="12"/>
      <c r="T253" s="12"/>
      <c r="U253" s="109"/>
      <c r="V253" s="109">
        <f>29.265+0.779</f>
        <v>30.044</v>
      </c>
      <c r="W253" s="109">
        <f t="shared" ref="W253:X256" si="326">V253</f>
        <v>30.044</v>
      </c>
      <c r="X253" s="109">
        <f t="shared" si="326"/>
        <v>30.044</v>
      </c>
      <c r="Y253" s="109">
        <f>38.04+0.77</f>
        <v>38.81</v>
      </c>
      <c r="Z253" s="109">
        <v>46.6</v>
      </c>
      <c r="AA253" s="109">
        <v>56.765999999999998</v>
      </c>
      <c r="AB253" s="109">
        <v>49.904000000000003</v>
      </c>
      <c r="AC253" s="109">
        <v>59.470999999999997</v>
      </c>
      <c r="AD253" s="109">
        <v>59.564</v>
      </c>
      <c r="AE253" s="109">
        <v>65.248999999999995</v>
      </c>
      <c r="AF253" s="109">
        <v>61.783999999999999</v>
      </c>
      <c r="AG253" s="109">
        <v>74.661000000000001</v>
      </c>
      <c r="AH253" s="109">
        <v>75.206999999999994</v>
      </c>
      <c r="AI253" s="109">
        <v>97.369</v>
      </c>
      <c r="AJ253" s="109">
        <v>108.452</v>
      </c>
      <c r="AK253" s="109">
        <v>129.755</v>
      </c>
      <c r="AL253" s="109">
        <v>120.881</v>
      </c>
      <c r="AM253" s="109">
        <v>96.355000000000004</v>
      </c>
      <c r="AN253" s="109">
        <v>77.777000000000001</v>
      </c>
      <c r="AO253" s="109">
        <v>85.605000000000004</v>
      </c>
      <c r="AP253" s="109">
        <v>58.706000000000003</v>
      </c>
      <c r="AQ253" s="109">
        <v>59.078000000000003</v>
      </c>
      <c r="AR253" s="109">
        <v>54.292999999999999</v>
      </c>
      <c r="AS253" s="109">
        <v>70.724999999999994</v>
      </c>
      <c r="AT253" s="109">
        <v>89.006</v>
      </c>
      <c r="AU253" s="109">
        <v>139.97</v>
      </c>
      <c r="AV253" s="109">
        <v>159.11000000000001</v>
      </c>
      <c r="AW253" s="109">
        <v>206.09899999999999</v>
      </c>
      <c r="AX253" s="109">
        <v>212.58600000000001</v>
      </c>
      <c r="AY253" s="12">
        <f t="shared" ref="AY253:BJ253" si="327">(AY14*4)/AY310</f>
        <v>219.26540763616438</v>
      </c>
      <c r="AZ253" s="12">
        <f t="shared" si="327"/>
        <v>246.89100908712328</v>
      </c>
      <c r="BA253" s="12">
        <f t="shared" si="327"/>
        <v>324.4432607605479</v>
      </c>
      <c r="BB253" s="12">
        <f t="shared" si="327"/>
        <v>339.51403808876711</v>
      </c>
      <c r="BC253" s="12">
        <f t="shared" si="327"/>
        <v>341.78119567132148</v>
      </c>
      <c r="BD253" s="12">
        <f t="shared" si="327"/>
        <v>344.3732473206851</v>
      </c>
      <c r="BE253" s="12">
        <f t="shared" si="327"/>
        <v>347.48048158845631</v>
      </c>
      <c r="BF253" s="12">
        <f t="shared" si="327"/>
        <v>346.52108594811352</v>
      </c>
      <c r="BG253" s="12">
        <f t="shared" si="327"/>
        <v>349.77086726125924</v>
      </c>
      <c r="BH253" s="12">
        <f t="shared" si="327"/>
        <v>354.70332861935259</v>
      </c>
      <c r="BI253" s="12">
        <f t="shared" si="327"/>
        <v>356.51525799811498</v>
      </c>
      <c r="BJ253" s="12">
        <f t="shared" si="327"/>
        <v>354.08127968332934</v>
      </c>
      <c r="BK253" s="1"/>
      <c r="BL253" s="12"/>
      <c r="BM253" s="23">
        <f t="shared" si="283"/>
        <v>247</v>
      </c>
    </row>
    <row r="254" spans="1:65" ht="12.75" customHeight="1" outlineLevel="1">
      <c r="A254" s="118"/>
      <c r="B254" s="5" t="s">
        <v>67</v>
      </c>
      <c r="C254" s="12"/>
      <c r="D254" s="12"/>
      <c r="E254" s="12"/>
      <c r="F254" s="65"/>
      <c r="G254" s="12">
        <f t="shared" si="323"/>
        <v>22.417999999999999</v>
      </c>
      <c r="H254" s="12">
        <f t="shared" si="323"/>
        <v>29.306999999999999</v>
      </c>
      <c r="I254" s="12">
        <f t="shared" si="323"/>
        <v>39.835000000000001</v>
      </c>
      <c r="J254" s="12">
        <f t="shared" si="323"/>
        <v>64.212000000000003</v>
      </c>
      <c r="K254" s="12">
        <f t="shared" si="324"/>
        <v>66.712000000000003</v>
      </c>
      <c r="L254" s="12">
        <f t="shared" si="324"/>
        <v>65.004000000000005</v>
      </c>
      <c r="M254" s="12">
        <f t="shared" si="324"/>
        <v>78.709000000000003</v>
      </c>
      <c r="N254" s="12">
        <f t="shared" si="324"/>
        <v>92.376000000000005</v>
      </c>
      <c r="O254" s="12">
        <f t="shared" si="324"/>
        <v>135.60398334246577</v>
      </c>
      <c r="P254" s="12">
        <f t="shared" si="324"/>
        <v>145.11637865095892</v>
      </c>
      <c r="Q254" s="12">
        <f t="shared" si="324"/>
        <v>148.63550614747399</v>
      </c>
      <c r="R254" s="90"/>
      <c r="S254" s="12"/>
      <c r="T254" s="12"/>
      <c r="U254" s="109">
        <f>U280-U252</f>
        <v>97.012</v>
      </c>
      <c r="V254" s="109">
        <v>22.417999999999999</v>
      </c>
      <c r="W254" s="109">
        <f t="shared" si="326"/>
        <v>22.417999999999999</v>
      </c>
      <c r="X254" s="109">
        <f t="shared" si="326"/>
        <v>22.417999999999999</v>
      </c>
      <c r="Y254" s="109">
        <v>25.881</v>
      </c>
      <c r="Z254" s="109">
        <v>29.306999999999999</v>
      </c>
      <c r="AA254" s="109">
        <v>31.936</v>
      </c>
      <c r="AB254" s="109">
        <v>40.131</v>
      </c>
      <c r="AC254" s="109">
        <v>36.228000000000002</v>
      </c>
      <c r="AD254" s="109">
        <v>39.835000000000001</v>
      </c>
      <c r="AE254" s="109">
        <v>42.776000000000003</v>
      </c>
      <c r="AF254" s="109">
        <v>52.19</v>
      </c>
      <c r="AG254" s="109">
        <v>59.127000000000002</v>
      </c>
      <c r="AH254" s="109">
        <v>64.212000000000003</v>
      </c>
      <c r="AI254" s="109">
        <v>51.170999999999999</v>
      </c>
      <c r="AJ254" s="109">
        <v>58.65</v>
      </c>
      <c r="AK254" s="109">
        <v>64.641999999999996</v>
      </c>
      <c r="AL254" s="109">
        <v>66.712000000000003</v>
      </c>
      <c r="AM254" s="109">
        <v>65.034999999999997</v>
      </c>
      <c r="AN254" s="109">
        <v>64.183000000000007</v>
      </c>
      <c r="AO254" s="109">
        <v>70.671000000000006</v>
      </c>
      <c r="AP254" s="109">
        <v>65.004000000000005</v>
      </c>
      <c r="AQ254" s="109">
        <v>67.090999999999994</v>
      </c>
      <c r="AR254" s="109">
        <v>67.158000000000001</v>
      </c>
      <c r="AS254" s="109">
        <v>77.429000000000002</v>
      </c>
      <c r="AT254" s="109">
        <v>78.709000000000003</v>
      </c>
      <c r="AU254" s="109">
        <v>69.457999999999998</v>
      </c>
      <c r="AV254" s="109">
        <v>74.278000000000006</v>
      </c>
      <c r="AW254" s="109">
        <v>86.174000000000007</v>
      </c>
      <c r="AX254" s="109">
        <v>92.376000000000005</v>
      </c>
      <c r="AY254" s="12">
        <f t="shared" ref="AY254:BJ254" si="328">(4*AY189/AY312)</f>
        <v>95.887570191780824</v>
      </c>
      <c r="AZ254" s="12">
        <f t="shared" si="328"/>
        <v>101.0101791780822</v>
      </c>
      <c r="BA254" s="12">
        <f t="shared" si="328"/>
        <v>129.58215057534244</v>
      </c>
      <c r="BB254" s="12">
        <f t="shared" si="328"/>
        <v>135.60398334246577</v>
      </c>
      <c r="BC254" s="12">
        <f t="shared" si="328"/>
        <v>138.66316283178085</v>
      </c>
      <c r="BD254" s="12">
        <f t="shared" si="328"/>
        <v>140.91883342191781</v>
      </c>
      <c r="BE254" s="12">
        <f t="shared" si="328"/>
        <v>143.63074364054793</v>
      </c>
      <c r="BF254" s="12">
        <f t="shared" si="328"/>
        <v>145.11637865095892</v>
      </c>
      <c r="BG254" s="12">
        <f t="shared" si="328"/>
        <v>146.90756129207671</v>
      </c>
      <c r="BH254" s="12">
        <f t="shared" si="328"/>
        <v>148.22319848991785</v>
      </c>
      <c r="BI254" s="12">
        <f t="shared" si="328"/>
        <v>149.06232052510686</v>
      </c>
      <c r="BJ254" s="12">
        <f t="shared" si="328"/>
        <v>148.63550614747399</v>
      </c>
      <c r="BK254" s="1"/>
      <c r="BL254" s="12"/>
      <c r="BM254" s="23">
        <f t="shared" si="283"/>
        <v>248</v>
      </c>
    </row>
    <row r="255" spans="1:65" ht="12.75" customHeight="1" outlineLevel="1">
      <c r="A255" s="118"/>
      <c r="B255" s="5" t="s">
        <v>68</v>
      </c>
      <c r="C255" s="12"/>
      <c r="D255" s="12"/>
      <c r="E255" s="12"/>
      <c r="F255" s="65"/>
      <c r="G255" s="12">
        <f t="shared" si="323"/>
        <v>4.5570000000000004</v>
      </c>
      <c r="H255" s="12">
        <f t="shared" si="323"/>
        <v>28.007000000000001</v>
      </c>
      <c r="I255" s="12">
        <f t="shared" si="323"/>
        <v>10.108000000000001</v>
      </c>
      <c r="J255" s="12">
        <f t="shared" si="323"/>
        <v>17.736999999999998</v>
      </c>
      <c r="K255" s="12">
        <f t="shared" si="324"/>
        <v>22.295000000000002</v>
      </c>
      <c r="L255" s="12">
        <f t="shared" si="324"/>
        <v>0</v>
      </c>
      <c r="M255" s="12">
        <f t="shared" si="324"/>
        <v>0</v>
      </c>
      <c r="N255" s="12">
        <f t="shared" si="324"/>
        <v>0</v>
      </c>
      <c r="O255" s="12">
        <f t="shared" si="324"/>
        <v>0</v>
      </c>
      <c r="P255" s="12">
        <f t="shared" si="324"/>
        <v>0</v>
      </c>
      <c r="Q255" s="12">
        <f t="shared" si="324"/>
        <v>0</v>
      </c>
      <c r="R255" s="90"/>
      <c r="S255" s="12"/>
      <c r="T255" s="12"/>
      <c r="U255" s="109"/>
      <c r="V255" s="109">
        <v>4.5570000000000004</v>
      </c>
      <c r="W255" s="109">
        <f t="shared" si="326"/>
        <v>4.5570000000000004</v>
      </c>
      <c r="X255" s="109">
        <f t="shared" si="326"/>
        <v>4.5570000000000004</v>
      </c>
      <c r="Y255" s="109">
        <v>4.6180000000000003</v>
      </c>
      <c r="Z255" s="109">
        <v>28.007000000000001</v>
      </c>
      <c r="AA255" s="109">
        <v>24.283000000000001</v>
      </c>
      <c r="AB255" s="109">
        <v>20.423999999999999</v>
      </c>
      <c r="AC255" s="109">
        <v>11.170999999999999</v>
      </c>
      <c r="AD255" s="109">
        <v>10.108000000000001</v>
      </c>
      <c r="AE255" s="109">
        <v>10.122</v>
      </c>
      <c r="AF255" s="109">
        <v>10.141</v>
      </c>
      <c r="AG255" s="109">
        <v>9.9789999999999992</v>
      </c>
      <c r="AH255" s="109">
        <v>17.736999999999998</v>
      </c>
      <c r="AI255" s="109">
        <v>18.021999999999998</v>
      </c>
      <c r="AJ255" s="109">
        <v>18.582000000000001</v>
      </c>
      <c r="AK255" s="109">
        <v>20.771000000000001</v>
      </c>
      <c r="AL255" s="109">
        <v>22.295000000000002</v>
      </c>
      <c r="AM255" s="109">
        <v>23.776</v>
      </c>
      <c r="AN255" s="109">
        <v>21.472000000000001</v>
      </c>
      <c r="AO255" s="109">
        <v>8.9250000000000007</v>
      </c>
      <c r="AP255" s="109">
        <v>0</v>
      </c>
      <c r="AQ255" s="109">
        <v>0</v>
      </c>
      <c r="AR255" s="109">
        <v>0</v>
      </c>
      <c r="AS255" s="109">
        <v>0</v>
      </c>
      <c r="AT255" s="109">
        <v>0</v>
      </c>
      <c r="AU255" s="109">
        <f>+AT255+MAX(AU29,0)</f>
        <v>0</v>
      </c>
      <c r="AV255" s="109">
        <f>+AU255+MAX(AV29,0)</f>
        <v>0</v>
      </c>
      <c r="AW255" s="109">
        <v>0</v>
      </c>
      <c r="AX255" s="109">
        <v>0</v>
      </c>
      <c r="AY255" s="139">
        <f t="shared" ref="AY255:BJ255" si="329">+AX255+MAX(AY29,0)</f>
        <v>0</v>
      </c>
      <c r="AZ255" s="139">
        <f t="shared" si="329"/>
        <v>0</v>
      </c>
      <c r="BA255" s="139">
        <f t="shared" si="329"/>
        <v>0</v>
      </c>
      <c r="BB255" s="139">
        <f t="shared" si="329"/>
        <v>0</v>
      </c>
      <c r="BC255" s="139">
        <f t="shared" si="329"/>
        <v>0</v>
      </c>
      <c r="BD255" s="139">
        <f t="shared" si="329"/>
        <v>0</v>
      </c>
      <c r="BE255" s="139">
        <f t="shared" si="329"/>
        <v>0</v>
      </c>
      <c r="BF255" s="139">
        <f t="shared" si="329"/>
        <v>0</v>
      </c>
      <c r="BG255" s="139">
        <f t="shared" si="329"/>
        <v>0</v>
      </c>
      <c r="BH255" s="139">
        <f t="shared" si="329"/>
        <v>0</v>
      </c>
      <c r="BI255" s="139">
        <f t="shared" si="329"/>
        <v>0</v>
      </c>
      <c r="BJ255" s="139">
        <f t="shared" si="329"/>
        <v>0</v>
      </c>
      <c r="BK255" s="1"/>
      <c r="BL255" s="12"/>
      <c r="BM255" s="23">
        <f t="shared" si="283"/>
        <v>249</v>
      </c>
    </row>
    <row r="256" spans="1:65" ht="12.75" customHeight="1" outlineLevel="1">
      <c r="A256" s="118"/>
      <c r="B256" s="5" t="s">
        <v>89</v>
      </c>
      <c r="C256" s="12"/>
      <c r="D256" s="12"/>
      <c r="E256" s="12"/>
      <c r="F256" s="65"/>
      <c r="G256" s="12">
        <f t="shared" si="323"/>
        <v>5.3409999999999993</v>
      </c>
      <c r="H256" s="12">
        <f t="shared" si="323"/>
        <v>12.456</v>
      </c>
      <c r="I256" s="12">
        <f t="shared" si="323"/>
        <v>6.7380000000000004</v>
      </c>
      <c r="J256" s="12">
        <f t="shared" si="323"/>
        <v>11.103999999999999</v>
      </c>
      <c r="K256" s="12">
        <f t="shared" si="324"/>
        <v>10.013</v>
      </c>
      <c r="L256" s="12">
        <f t="shared" si="324"/>
        <v>16.503999999999998</v>
      </c>
      <c r="M256" s="12">
        <f t="shared" si="324"/>
        <v>14.005000000000001</v>
      </c>
      <c r="N256" s="12">
        <f t="shared" si="324"/>
        <v>13.715</v>
      </c>
      <c r="O256" s="12">
        <f t="shared" si="324"/>
        <v>13.715</v>
      </c>
      <c r="P256" s="12">
        <f t="shared" si="324"/>
        <v>13.715</v>
      </c>
      <c r="Q256" s="12">
        <f t="shared" si="324"/>
        <v>13.715</v>
      </c>
      <c r="R256" s="90"/>
      <c r="S256" s="12"/>
      <c r="T256" s="12"/>
      <c r="U256" s="109"/>
      <c r="V256" s="109">
        <f>3.191+2.15</f>
        <v>5.3409999999999993</v>
      </c>
      <c r="W256" s="109">
        <f t="shared" si="326"/>
        <v>5.3409999999999993</v>
      </c>
      <c r="X256" s="109">
        <f t="shared" si="326"/>
        <v>5.3409999999999993</v>
      </c>
      <c r="Y256" s="109">
        <f>4.452+1.089</f>
        <v>5.5410000000000004</v>
      </c>
      <c r="Z256" s="109">
        <f>8.561+3.895</f>
        <v>12.456</v>
      </c>
      <c r="AA256" s="109">
        <v>5.8040000000000003</v>
      </c>
      <c r="AB256" s="109">
        <v>7.165</v>
      </c>
      <c r="AC256" s="109">
        <v>8.5990000000000002</v>
      </c>
      <c r="AD256" s="109">
        <v>6.7380000000000004</v>
      </c>
      <c r="AE256" s="109">
        <v>7.6859999999999999</v>
      </c>
      <c r="AF256" s="109">
        <f>AF257-SUM(AF252:AF255)</f>
        <v>9.5490000000000066</v>
      </c>
      <c r="AG256" s="109">
        <f>2.629+10.826</f>
        <v>13.455</v>
      </c>
      <c r="AH256" s="109">
        <v>11.103999999999999</v>
      </c>
      <c r="AI256" s="109">
        <v>13.89</v>
      </c>
      <c r="AJ256" s="109">
        <f>8.936+5.074</f>
        <v>14.01</v>
      </c>
      <c r="AK256" s="109">
        <f>8.71+2.753</f>
        <v>11.463000000000001</v>
      </c>
      <c r="AL256" s="109">
        <f>9.267+0.746</f>
        <v>10.013</v>
      </c>
      <c r="AM256" s="109">
        <v>10.775</v>
      </c>
      <c r="AN256" s="109">
        <f>9.658+3.979</f>
        <v>13.637</v>
      </c>
      <c r="AO256" s="109">
        <f>12.516+6.26</f>
        <v>18.776</v>
      </c>
      <c r="AP256" s="109">
        <f>9.921+6.583</f>
        <v>16.503999999999998</v>
      </c>
      <c r="AQ256" s="109">
        <f>10.375+0.939</f>
        <v>11.314</v>
      </c>
      <c r="AR256" s="109">
        <f>8.899+1.145</f>
        <v>10.043999999999999</v>
      </c>
      <c r="AS256" s="109">
        <f>8.017+14.092</f>
        <v>22.109000000000002</v>
      </c>
      <c r="AT256" s="109">
        <f>12.323+1.682</f>
        <v>14.005000000000001</v>
      </c>
      <c r="AU256" s="109">
        <f>12.401+1.397</f>
        <v>13.798</v>
      </c>
      <c r="AV256" s="109">
        <v>10.254</v>
      </c>
      <c r="AW256" s="109">
        <v>15.124000000000001</v>
      </c>
      <c r="AX256" s="109">
        <v>13.715</v>
      </c>
      <c r="AY256" s="109">
        <f>AX256</f>
        <v>13.715</v>
      </c>
      <c r="AZ256" s="109">
        <f>AY256</f>
        <v>13.715</v>
      </c>
      <c r="BA256" s="109">
        <f>AZ256</f>
        <v>13.715</v>
      </c>
      <c r="BB256" s="109">
        <f>BA256</f>
        <v>13.715</v>
      </c>
      <c r="BC256" s="109">
        <f t="shared" ref="BC256:BJ256" si="330">BB256</f>
        <v>13.715</v>
      </c>
      <c r="BD256" s="109">
        <f t="shared" si="330"/>
        <v>13.715</v>
      </c>
      <c r="BE256" s="109">
        <f t="shared" si="330"/>
        <v>13.715</v>
      </c>
      <c r="BF256" s="109">
        <f t="shared" si="330"/>
        <v>13.715</v>
      </c>
      <c r="BG256" s="109">
        <f t="shared" si="330"/>
        <v>13.715</v>
      </c>
      <c r="BH256" s="109">
        <f t="shared" si="330"/>
        <v>13.715</v>
      </c>
      <c r="BI256" s="109">
        <f t="shared" si="330"/>
        <v>13.715</v>
      </c>
      <c r="BJ256" s="109">
        <f t="shared" si="330"/>
        <v>13.715</v>
      </c>
      <c r="BK256" s="1"/>
      <c r="BL256" s="12"/>
      <c r="BM256" s="23">
        <f t="shared" si="283"/>
        <v>250</v>
      </c>
    </row>
    <row r="257" spans="1:71" ht="12.75" customHeight="1" outlineLevel="1">
      <c r="A257" s="118"/>
      <c r="B257" s="6" t="s">
        <v>69</v>
      </c>
      <c r="C257" s="12"/>
      <c r="D257" s="12"/>
      <c r="E257" s="12"/>
      <c r="F257" s="65"/>
      <c r="G257" s="36">
        <f t="shared" ref="G257:N257" si="331">SUM(G252:G256)</f>
        <v>126.85999999999999</v>
      </c>
      <c r="H257" s="36">
        <f t="shared" si="331"/>
        <v>175.56899999999999</v>
      </c>
      <c r="I257" s="36">
        <f t="shared" si="331"/>
        <v>177.267</v>
      </c>
      <c r="J257" s="36">
        <f t="shared" si="331"/>
        <v>321.49599999999998</v>
      </c>
      <c r="K257" s="36">
        <f t="shared" si="331"/>
        <v>562.32499999999993</v>
      </c>
      <c r="L257" s="36">
        <f t="shared" si="331"/>
        <v>439.14000000000004</v>
      </c>
      <c r="M257" s="36">
        <f t="shared" si="331"/>
        <v>892.94500000000005</v>
      </c>
      <c r="N257" s="36">
        <f t="shared" si="331"/>
        <v>703.24400000000003</v>
      </c>
      <c r="O257" s="36">
        <f>SUM(O252:O256)</f>
        <v>935.63860016958756</v>
      </c>
      <c r="P257" s="36">
        <f>SUM(P252:P256)</f>
        <v>1274.4382283903119</v>
      </c>
      <c r="Q257" s="36">
        <f>SUM(Q252:Q256)</f>
        <v>1641.5649965630062</v>
      </c>
      <c r="R257" s="90"/>
      <c r="S257" s="12"/>
      <c r="T257" s="12"/>
      <c r="U257" s="65"/>
      <c r="V257" s="36">
        <f>SUM(V252:V256)</f>
        <v>126.85999999999999</v>
      </c>
      <c r="W257" s="66">
        <f>SUM(W252:W256)</f>
        <v>118.72799999999998</v>
      </c>
      <c r="X257" s="66">
        <f>SUM(X252:X256)</f>
        <v>128.37799999999999</v>
      </c>
      <c r="Y257" s="36">
        <f>SUM(Y252:Y256)</f>
        <v>148.65899999999999</v>
      </c>
      <c r="Z257" s="36">
        <f>SUM(Z252:Z256)</f>
        <v>175.56899999999999</v>
      </c>
      <c r="AA257" s="36">
        <f t="shared" ref="AA257:AI257" si="332">SUM(AA252:AA256)</f>
        <v>203.43000000000004</v>
      </c>
      <c r="AB257" s="36">
        <f t="shared" si="332"/>
        <v>220.249</v>
      </c>
      <c r="AC257" s="36">
        <f t="shared" si="332"/>
        <v>208.47899999999998</v>
      </c>
      <c r="AD257" s="36">
        <f t="shared" si="332"/>
        <v>177.267</v>
      </c>
      <c r="AE257" s="36">
        <f t="shared" si="332"/>
        <v>168.75199999999998</v>
      </c>
      <c r="AF257" s="36">
        <v>180.732</v>
      </c>
      <c r="AG257" s="36">
        <f t="shared" si="332"/>
        <v>310.89499999999998</v>
      </c>
      <c r="AH257" s="36">
        <f t="shared" si="332"/>
        <v>321.49599999999998</v>
      </c>
      <c r="AI257" s="36">
        <f t="shared" si="332"/>
        <v>341.21999999999997</v>
      </c>
      <c r="AJ257" s="36">
        <f>SUM(AJ252:AJ256)</f>
        <v>380.76899999999995</v>
      </c>
      <c r="AK257" s="36">
        <f t="shared" ref="AK257:AP257" si="333">SUM(AK252:AK256)</f>
        <v>423.49400000000003</v>
      </c>
      <c r="AL257" s="36">
        <f t="shared" si="333"/>
        <v>562.32499999999993</v>
      </c>
      <c r="AM257" s="36">
        <f t="shared" si="333"/>
        <v>523.74899999999991</v>
      </c>
      <c r="AN257" s="36">
        <f t="shared" si="333"/>
        <v>499.29699999999997</v>
      </c>
      <c r="AO257" s="36">
        <f t="shared" si="333"/>
        <v>483.74900000000002</v>
      </c>
      <c r="AP257" s="36">
        <f t="shared" si="333"/>
        <v>439.14000000000004</v>
      </c>
      <c r="AQ257" s="36">
        <f t="shared" ref="AQ257:AX257" si="334">SUM(AQ252:AQ256)</f>
        <v>607.71799999999996</v>
      </c>
      <c r="AR257" s="36">
        <f t="shared" si="334"/>
        <v>585.70299999999997</v>
      </c>
      <c r="AS257" s="36">
        <f t="shared" si="334"/>
        <v>434.32299999999992</v>
      </c>
      <c r="AT257" s="36">
        <f t="shared" si="334"/>
        <v>892.94500000000005</v>
      </c>
      <c r="AU257" s="36">
        <f t="shared" si="334"/>
        <v>884.12900000000002</v>
      </c>
      <c r="AV257" s="36">
        <f t="shared" si="334"/>
        <v>842.17700000000002</v>
      </c>
      <c r="AW257" s="36">
        <f t="shared" si="334"/>
        <v>771.04700000000003</v>
      </c>
      <c r="AX257" s="36">
        <f t="shared" si="334"/>
        <v>703.24400000000003</v>
      </c>
      <c r="AY257" s="36">
        <f>SUM(AY252:AY256)</f>
        <v>686.7479144669511</v>
      </c>
      <c r="AZ257" s="36">
        <f>SUM(AZ252:AZ256)</f>
        <v>713.98818515851906</v>
      </c>
      <c r="BA257" s="36">
        <f>SUM(BA252:BA256)</f>
        <v>842.94882335419527</v>
      </c>
      <c r="BB257" s="36">
        <f>SUM(BB252:BB256)</f>
        <v>935.63860016958756</v>
      </c>
      <c r="BC257" s="36">
        <f t="shared" ref="BC257:BJ257" si="335">SUM(BC252:BC256)</f>
        <v>1025.7992280401875</v>
      </c>
      <c r="BD257" s="36">
        <f t="shared" si="335"/>
        <v>1112.4642582860356</v>
      </c>
      <c r="BE257" s="36">
        <f t="shared" si="335"/>
        <v>1197.3480428512407</v>
      </c>
      <c r="BF257" s="36">
        <f t="shared" si="335"/>
        <v>1274.4382283903119</v>
      </c>
      <c r="BG257" s="36">
        <f t="shared" si="335"/>
        <v>1357.1230333145709</v>
      </c>
      <c r="BH257" s="36">
        <f t="shared" si="335"/>
        <v>1454.7396226514588</v>
      </c>
      <c r="BI257" s="36">
        <f t="shared" si="335"/>
        <v>1551.0115260932992</v>
      </c>
      <c r="BJ257" s="36">
        <f t="shared" si="335"/>
        <v>1641.5649965630062</v>
      </c>
      <c r="BK257" s="1"/>
      <c r="BL257" s="12"/>
      <c r="BM257" s="23">
        <f t="shared" si="283"/>
        <v>251</v>
      </c>
    </row>
    <row r="258" spans="1:71" s="154" customFormat="1" ht="12.75" hidden="1" customHeight="1" outlineLevel="3">
      <c r="A258" s="152"/>
      <c r="B258" s="260" t="s">
        <v>70</v>
      </c>
      <c r="C258" s="153"/>
      <c r="D258" s="153"/>
      <c r="E258" s="153"/>
      <c r="F258" s="153"/>
      <c r="G258" s="153">
        <f t="shared" ref="G258:J263" si="336">INDEX($S258:$AH258,G$6)</f>
        <v>324.226</v>
      </c>
      <c r="H258" s="153">
        <f t="shared" si="336"/>
        <v>393.58300000000003</v>
      </c>
      <c r="I258" s="153">
        <f t="shared" si="336"/>
        <v>496.11200000000002</v>
      </c>
      <c r="J258" s="153">
        <f t="shared" si="336"/>
        <v>560.428</v>
      </c>
      <c r="K258" s="153">
        <f t="shared" ref="K258:Q263" si="337">INDEX($S258:$BK258,K$6)</f>
        <v>729.08600000000001</v>
      </c>
      <c r="L258" s="153">
        <f t="shared" si="337"/>
        <v>781.90100000000007</v>
      </c>
      <c r="M258" s="153">
        <f t="shared" si="337"/>
        <v>1049.701</v>
      </c>
      <c r="N258" s="153">
        <f t="shared" si="337"/>
        <v>1525.405</v>
      </c>
      <c r="O258" s="153">
        <f t="shared" si="337"/>
        <v>2232.9049999999997</v>
      </c>
      <c r="P258" s="153">
        <f t="shared" si="337"/>
        <v>2340.9049999999997</v>
      </c>
      <c r="Q258" s="153">
        <f t="shared" si="337"/>
        <v>2411.4049999999997</v>
      </c>
      <c r="R258" s="314"/>
      <c r="S258" s="153"/>
      <c r="T258" s="153"/>
      <c r="U258" s="153"/>
      <c r="V258" s="153">
        <v>324.226</v>
      </c>
      <c r="W258" s="153">
        <f t="shared" ref="W258:X263" si="338">V258</f>
        <v>324.226</v>
      </c>
      <c r="X258" s="153">
        <f t="shared" si="338"/>
        <v>324.226</v>
      </c>
      <c r="Y258" s="153">
        <v>352.791</v>
      </c>
      <c r="Z258" s="153">
        <f t="shared" ref="Z258:AE258" si="339">Z260-Z259</f>
        <v>393.58300000000003</v>
      </c>
      <c r="AA258" s="153">
        <f t="shared" si="339"/>
        <v>408.05</v>
      </c>
      <c r="AB258" s="153">
        <f t="shared" si="339"/>
        <v>432.57499999999999</v>
      </c>
      <c r="AC258" s="153">
        <f t="shared" si="339"/>
        <v>468.471</v>
      </c>
      <c r="AD258" s="153">
        <f t="shared" si="339"/>
        <v>496.11200000000002</v>
      </c>
      <c r="AE258" s="153">
        <f t="shared" si="339"/>
        <v>519.78300000000002</v>
      </c>
      <c r="AF258" s="153">
        <f t="shared" ref="AF258:AL258" si="340">AF260-AF259</f>
        <v>528.42599999999993</v>
      </c>
      <c r="AG258" s="153">
        <f t="shared" si="340"/>
        <v>545.96199999999999</v>
      </c>
      <c r="AH258" s="153">
        <f t="shared" si="340"/>
        <v>560.428</v>
      </c>
      <c r="AI258" s="153">
        <f t="shared" si="340"/>
        <v>571.30700000000002</v>
      </c>
      <c r="AJ258" s="153">
        <f t="shared" si="340"/>
        <v>579.69200000000001</v>
      </c>
      <c r="AK258" s="153">
        <f t="shared" si="340"/>
        <v>687.38800000000003</v>
      </c>
      <c r="AL258" s="153">
        <f t="shared" si="340"/>
        <v>729.08600000000001</v>
      </c>
      <c r="AM258" s="153">
        <f t="shared" ref="AM258:AR258" si="341">AM260-AM259</f>
        <v>741.91100000000006</v>
      </c>
      <c r="AN258" s="153">
        <f t="shared" si="341"/>
        <v>757.46600000000001</v>
      </c>
      <c r="AO258" s="153">
        <f t="shared" si="341"/>
        <v>768.68899999999996</v>
      </c>
      <c r="AP258" s="153">
        <f t="shared" si="341"/>
        <v>781.90100000000007</v>
      </c>
      <c r="AQ258" s="153">
        <f t="shared" si="341"/>
        <v>788.26599999999996</v>
      </c>
      <c r="AR258" s="153">
        <f t="shared" si="341"/>
        <v>805.95699999999999</v>
      </c>
      <c r="AS258" s="153">
        <v>1044.1489999999999</v>
      </c>
      <c r="AT258" s="153">
        <v>1049.701</v>
      </c>
      <c r="AU258" s="153">
        <v>1092.03</v>
      </c>
      <c r="AV258" s="153">
        <v>1226.7149999999999</v>
      </c>
      <c r="AW258" s="153">
        <v>1378.72</v>
      </c>
      <c r="AX258" s="153">
        <f>+AX260-AX259</f>
        <v>1525.405</v>
      </c>
      <c r="AY258" s="153">
        <f>AX258-AY236-75</f>
        <v>1604.155</v>
      </c>
      <c r="AZ258" s="153">
        <f>AY258-AZ236+750*0.6</f>
        <v>2162.9049999999997</v>
      </c>
      <c r="BA258" s="153">
        <f t="shared" ref="BA258:BJ258" si="342">AZ258-BA236</f>
        <v>2197.9049999999997</v>
      </c>
      <c r="BB258" s="153">
        <f t="shared" si="342"/>
        <v>2232.9049999999997</v>
      </c>
      <c r="BC258" s="153">
        <f t="shared" si="342"/>
        <v>2259.9049999999997</v>
      </c>
      <c r="BD258" s="153">
        <f t="shared" si="342"/>
        <v>2286.9049999999997</v>
      </c>
      <c r="BE258" s="153">
        <f t="shared" si="342"/>
        <v>2313.9049999999997</v>
      </c>
      <c r="BF258" s="153">
        <f t="shared" si="342"/>
        <v>2340.9049999999997</v>
      </c>
      <c r="BG258" s="153">
        <f t="shared" si="342"/>
        <v>2367.9049999999997</v>
      </c>
      <c r="BH258" s="153">
        <f t="shared" si="342"/>
        <v>2382.4049999999997</v>
      </c>
      <c r="BI258" s="153">
        <f t="shared" si="342"/>
        <v>2396.9049999999997</v>
      </c>
      <c r="BJ258" s="153">
        <f t="shared" si="342"/>
        <v>2411.4049999999997</v>
      </c>
      <c r="BK258" s="107"/>
      <c r="BL258" s="153"/>
      <c r="BM258" s="23">
        <f t="shared" si="283"/>
        <v>252</v>
      </c>
      <c r="BN258"/>
      <c r="BO258"/>
      <c r="BP258"/>
      <c r="BQ258"/>
      <c r="BR258"/>
      <c r="BS258"/>
    </row>
    <row r="259" spans="1:71" s="154" customFormat="1" ht="12.75" hidden="1" customHeight="1" outlineLevel="3">
      <c r="A259" s="152"/>
      <c r="B259" s="260" t="s">
        <v>71</v>
      </c>
      <c r="C259" s="153"/>
      <c r="D259" s="153"/>
      <c r="E259" s="153"/>
      <c r="F259" s="153"/>
      <c r="G259" s="153">
        <f t="shared" si="336"/>
        <v>-36.631</v>
      </c>
      <c r="H259" s="153">
        <f t="shared" si="336"/>
        <v>-56.795000000000002</v>
      </c>
      <c r="I259" s="153">
        <f t="shared" si="336"/>
        <v>-81.894000000000005</v>
      </c>
      <c r="J259" s="153">
        <f t="shared" si="336"/>
        <v>-118.31200000000001</v>
      </c>
      <c r="K259" s="153">
        <f t="shared" si="337"/>
        <v>-163.33100000000002</v>
      </c>
      <c r="L259" s="153">
        <f t="shared" si="337"/>
        <v>-220.70499999999998</v>
      </c>
      <c r="M259" s="153">
        <f t="shared" si="337"/>
        <v>-266.38799999999998</v>
      </c>
      <c r="N259" s="153">
        <f t="shared" si="337"/>
        <v>-356.25</v>
      </c>
      <c r="O259" s="153">
        <f t="shared" si="337"/>
        <v>-503.75038926708487</v>
      </c>
      <c r="P259" s="153">
        <f t="shared" si="337"/>
        <v>-666.04702081791208</v>
      </c>
      <c r="Q259" s="153">
        <f t="shared" si="337"/>
        <v>-822.48276605453032</v>
      </c>
      <c r="R259" s="314"/>
      <c r="S259" s="153"/>
      <c r="T259" s="153"/>
      <c r="U259" s="153"/>
      <c r="V259" s="153">
        <v>-36.631</v>
      </c>
      <c r="W259" s="153">
        <f t="shared" si="338"/>
        <v>-36.631</v>
      </c>
      <c r="X259" s="153">
        <f t="shared" si="338"/>
        <v>-36.631</v>
      </c>
      <c r="Y259" s="153">
        <v>-51.432000000000002</v>
      </c>
      <c r="Z259" s="153">
        <f t="shared" ref="Z259:AR259" si="343">Y259+Z24</f>
        <v>-56.795000000000002</v>
      </c>
      <c r="AA259" s="153">
        <f t="shared" si="343"/>
        <v>-62.773000000000003</v>
      </c>
      <c r="AB259" s="153">
        <f t="shared" si="343"/>
        <v>-68.747</v>
      </c>
      <c r="AC259" s="153">
        <f t="shared" si="343"/>
        <v>-74.715000000000003</v>
      </c>
      <c r="AD259" s="153">
        <f t="shared" si="343"/>
        <v>-81.894000000000005</v>
      </c>
      <c r="AE259" s="153">
        <f t="shared" si="343"/>
        <v>-90.172000000000011</v>
      </c>
      <c r="AF259" s="153">
        <f t="shared" si="343"/>
        <v>-99.062000000000012</v>
      </c>
      <c r="AG259" s="153">
        <f t="shared" si="343"/>
        <v>-108.21400000000001</v>
      </c>
      <c r="AH259" s="153">
        <f t="shared" si="343"/>
        <v>-118.31200000000001</v>
      </c>
      <c r="AI259" s="153">
        <f t="shared" si="343"/>
        <v>-127.90100000000001</v>
      </c>
      <c r="AJ259" s="153">
        <f t="shared" si="343"/>
        <v>-138.24200000000002</v>
      </c>
      <c r="AK259" s="153">
        <f t="shared" si="343"/>
        <v>-150.66700000000003</v>
      </c>
      <c r="AL259" s="153">
        <f t="shared" si="343"/>
        <v>-163.33100000000002</v>
      </c>
      <c r="AM259" s="153">
        <f t="shared" si="343"/>
        <v>-176.57400000000001</v>
      </c>
      <c r="AN259" s="153">
        <f t="shared" si="343"/>
        <v>-190.26900000000001</v>
      </c>
      <c r="AO259" s="153">
        <f t="shared" si="343"/>
        <v>-205.42699999999999</v>
      </c>
      <c r="AP259" s="153">
        <f t="shared" si="343"/>
        <v>-220.70499999999998</v>
      </c>
      <c r="AQ259" s="153">
        <f t="shared" si="343"/>
        <v>-235.261</v>
      </c>
      <c r="AR259" s="153">
        <f t="shared" si="343"/>
        <v>-250.47</v>
      </c>
      <c r="AS259" s="153">
        <v>-253.584</v>
      </c>
      <c r="AT259" s="153">
        <v>-266.38799999999998</v>
      </c>
      <c r="AU259" s="153">
        <v>-285.74200000000002</v>
      </c>
      <c r="AV259" s="153">
        <v>-306.875</v>
      </c>
      <c r="AW259" s="153">
        <v>-328.91500000000002</v>
      </c>
      <c r="AX259" s="153">
        <f t="shared" ref="AX259:BJ259" si="344">AW259+AX24</f>
        <v>-356.25</v>
      </c>
      <c r="AY259" s="153">
        <f t="shared" si="344"/>
        <v>-389.27862875</v>
      </c>
      <c r="AZ259" s="153">
        <f t="shared" si="344"/>
        <v>-421.16913349531251</v>
      </c>
      <c r="BA259" s="153">
        <f t="shared" si="344"/>
        <v>-462.53536032479883</v>
      </c>
      <c r="BB259" s="153">
        <f t="shared" si="344"/>
        <v>-503.75038926708487</v>
      </c>
      <c r="BC259" s="153">
        <f t="shared" si="344"/>
        <v>-544.81781127199156</v>
      </c>
      <c r="BD259" s="153">
        <f t="shared" si="344"/>
        <v>-585.55113200428173</v>
      </c>
      <c r="BE259" s="153">
        <f t="shared" si="344"/>
        <v>-625.95828636918009</v>
      </c>
      <c r="BF259" s="153">
        <f t="shared" si="344"/>
        <v>-666.04702081791208</v>
      </c>
      <c r="BG259" s="153">
        <f t="shared" si="344"/>
        <v>-705.82489782348671</v>
      </c>
      <c r="BH259" s="153">
        <f t="shared" si="344"/>
        <v>-745.29930025017893</v>
      </c>
      <c r="BI259" s="153">
        <f t="shared" si="344"/>
        <v>-784.18056061923721</v>
      </c>
      <c r="BJ259" s="153">
        <f t="shared" si="344"/>
        <v>-822.48276605453032</v>
      </c>
      <c r="BK259" s="107"/>
      <c r="BL259" s="153"/>
      <c r="BM259" s="23">
        <f t="shared" si="283"/>
        <v>253</v>
      </c>
      <c r="BN259"/>
      <c r="BO259"/>
      <c r="BP259"/>
      <c r="BQ259"/>
      <c r="BR259"/>
      <c r="BS259"/>
    </row>
    <row r="260" spans="1:71" ht="12.75" customHeight="1" outlineLevel="1" collapsed="1">
      <c r="A260" s="118"/>
      <c r="B260" s="5" t="s">
        <v>72</v>
      </c>
      <c r="C260" s="12"/>
      <c r="D260" s="12"/>
      <c r="E260" s="12"/>
      <c r="F260" s="65"/>
      <c r="G260" s="12">
        <f t="shared" si="336"/>
        <v>287.59500000000003</v>
      </c>
      <c r="H260" s="12">
        <f t="shared" si="336"/>
        <v>336.78800000000001</v>
      </c>
      <c r="I260" s="12">
        <f t="shared" si="336"/>
        <v>414.21800000000002</v>
      </c>
      <c r="J260" s="12">
        <f t="shared" si="336"/>
        <v>442.11599999999999</v>
      </c>
      <c r="K260" s="12">
        <f t="shared" si="337"/>
        <v>565.755</v>
      </c>
      <c r="L260" s="12">
        <f t="shared" si="337"/>
        <v>561.19600000000003</v>
      </c>
      <c r="M260" s="12">
        <f t="shared" si="337"/>
        <v>783.31299999999999</v>
      </c>
      <c r="N260" s="12">
        <f t="shared" si="337"/>
        <v>1169.155</v>
      </c>
      <c r="O260" s="12">
        <f t="shared" si="337"/>
        <v>1729.154610732915</v>
      </c>
      <c r="P260" s="12">
        <f t="shared" si="337"/>
        <v>1674.8579791820875</v>
      </c>
      <c r="Q260" s="12">
        <f t="shared" si="337"/>
        <v>1588.9222339454695</v>
      </c>
      <c r="R260" s="90"/>
      <c r="S260" s="12"/>
      <c r="T260" s="12"/>
      <c r="U260" s="65"/>
      <c r="V260" s="109">
        <f>V258+V259</f>
        <v>287.59500000000003</v>
      </c>
      <c r="W260" s="109">
        <f t="shared" si="338"/>
        <v>287.59500000000003</v>
      </c>
      <c r="X260" s="109">
        <f t="shared" si="338"/>
        <v>287.59500000000003</v>
      </c>
      <c r="Y260" s="109">
        <f>Y258+Y259</f>
        <v>301.35899999999998</v>
      </c>
      <c r="Z260" s="109">
        <v>336.78800000000001</v>
      </c>
      <c r="AA260" s="109">
        <v>345.27699999999999</v>
      </c>
      <c r="AB260" s="109">
        <v>363.82799999999997</v>
      </c>
      <c r="AC260" s="109">
        <v>393.75599999999997</v>
      </c>
      <c r="AD260" s="109">
        <v>414.21800000000002</v>
      </c>
      <c r="AE260" s="109">
        <v>429.61099999999999</v>
      </c>
      <c r="AF260" s="109">
        <v>429.36399999999998</v>
      </c>
      <c r="AG260" s="109">
        <v>437.74799999999999</v>
      </c>
      <c r="AH260" s="109">
        <v>442.11599999999999</v>
      </c>
      <c r="AI260" s="109">
        <v>443.40600000000001</v>
      </c>
      <c r="AJ260" s="109">
        <v>441.45</v>
      </c>
      <c r="AK260" s="109">
        <v>536.721</v>
      </c>
      <c r="AL260" s="109">
        <v>565.755</v>
      </c>
      <c r="AM260" s="109">
        <v>565.33699999999999</v>
      </c>
      <c r="AN260" s="109">
        <v>567.197</v>
      </c>
      <c r="AO260" s="109">
        <v>563.26199999999994</v>
      </c>
      <c r="AP260" s="109">
        <v>561.19600000000003</v>
      </c>
      <c r="AQ260" s="109">
        <v>553.005</v>
      </c>
      <c r="AR260" s="109">
        <v>555.48699999999997</v>
      </c>
      <c r="AS260" s="109">
        <v>790.56500000000005</v>
      </c>
      <c r="AT260" s="109">
        <v>783.31299999999999</v>
      </c>
      <c r="AU260" s="109">
        <v>806.28800000000001</v>
      </c>
      <c r="AV260" s="109">
        <v>919.84</v>
      </c>
      <c r="AW260" s="109">
        <v>1049.8050000000001</v>
      </c>
      <c r="AX260" s="109">
        <v>1169.155</v>
      </c>
      <c r="AY260" s="12">
        <f>AY258+AY259</f>
        <v>1214.8763712499999</v>
      </c>
      <c r="AZ260" s="12">
        <f>AZ258+AZ259</f>
        <v>1741.7358665046872</v>
      </c>
      <c r="BA260" s="12">
        <f>BA258+BA259</f>
        <v>1735.3696396752009</v>
      </c>
      <c r="BB260" s="12">
        <f>BB258+BB259</f>
        <v>1729.154610732915</v>
      </c>
      <c r="BC260" s="12">
        <f t="shared" ref="BC260:BJ260" si="345">BC258+BC259</f>
        <v>1715.0871887280082</v>
      </c>
      <c r="BD260" s="12">
        <f t="shared" si="345"/>
        <v>1701.353867995718</v>
      </c>
      <c r="BE260" s="12">
        <f t="shared" si="345"/>
        <v>1687.9467136308197</v>
      </c>
      <c r="BF260" s="12">
        <f t="shared" si="345"/>
        <v>1674.8579791820875</v>
      </c>
      <c r="BG260" s="12">
        <f t="shared" si="345"/>
        <v>1662.080102176513</v>
      </c>
      <c r="BH260" s="12">
        <f t="shared" si="345"/>
        <v>1637.1056997498208</v>
      </c>
      <c r="BI260" s="12">
        <f t="shared" si="345"/>
        <v>1612.7244393807625</v>
      </c>
      <c r="BJ260" s="12">
        <f t="shared" si="345"/>
        <v>1588.9222339454695</v>
      </c>
      <c r="BK260" s="1"/>
      <c r="BL260" s="12"/>
      <c r="BM260" s="23">
        <f t="shared" si="283"/>
        <v>254</v>
      </c>
    </row>
    <row r="261" spans="1:71" ht="12.75" customHeight="1" outlineLevel="1">
      <c r="A261" s="118"/>
      <c r="B261" s="5" t="s">
        <v>73</v>
      </c>
      <c r="C261" s="12"/>
      <c r="D261" s="12"/>
      <c r="E261" s="12"/>
      <c r="F261" s="65"/>
      <c r="G261" s="12">
        <f t="shared" si="336"/>
        <v>68.403000000000006</v>
      </c>
      <c r="H261" s="12">
        <f t="shared" si="336"/>
        <v>68.403000000000006</v>
      </c>
      <c r="I261" s="12">
        <f t="shared" si="336"/>
        <v>68.403000000000006</v>
      </c>
      <c r="J261" s="12">
        <f t="shared" si="336"/>
        <v>68.403000000000006</v>
      </c>
      <c r="K261" s="12">
        <f t="shared" si="337"/>
        <v>68.647000000000006</v>
      </c>
      <c r="L261" s="12">
        <f t="shared" si="337"/>
        <v>68.647000000000006</v>
      </c>
      <c r="M261" s="12">
        <f t="shared" si="337"/>
        <v>240.97499999999999</v>
      </c>
      <c r="N261" s="12">
        <f t="shared" si="337"/>
        <v>272.07900000000001</v>
      </c>
      <c r="O261" s="12">
        <f t="shared" si="337"/>
        <v>572.07899999999995</v>
      </c>
      <c r="P261" s="12">
        <f t="shared" si="337"/>
        <v>572.07899999999995</v>
      </c>
      <c r="Q261" s="12">
        <f t="shared" si="337"/>
        <v>572.07899999999995</v>
      </c>
      <c r="R261" s="90"/>
      <c r="S261" s="12"/>
      <c r="T261" s="12"/>
      <c r="U261" s="65"/>
      <c r="V261" s="109">
        <v>68.403000000000006</v>
      </c>
      <c r="W261" s="109">
        <f t="shared" si="338"/>
        <v>68.403000000000006</v>
      </c>
      <c r="X261" s="109">
        <f t="shared" si="338"/>
        <v>68.403000000000006</v>
      </c>
      <c r="Y261" s="109">
        <v>68.403000000000006</v>
      </c>
      <c r="Z261" s="109">
        <v>68.403000000000006</v>
      </c>
      <c r="AA261" s="109">
        <v>68.403000000000006</v>
      </c>
      <c r="AB261" s="109">
        <v>68.403000000000006</v>
      </c>
      <c r="AC261" s="109">
        <v>68.403000000000006</v>
      </c>
      <c r="AD261" s="109">
        <v>68.403000000000006</v>
      </c>
      <c r="AE261" s="109">
        <v>68.403000000000006</v>
      </c>
      <c r="AF261" s="109">
        <v>68.403000000000006</v>
      </c>
      <c r="AG261" s="109">
        <v>68.403000000000006</v>
      </c>
      <c r="AH261" s="109">
        <v>68.403000000000006</v>
      </c>
      <c r="AI261" s="109">
        <v>68.403000000000006</v>
      </c>
      <c r="AJ261" s="109">
        <v>68.403000000000006</v>
      </c>
      <c r="AK261" s="109">
        <v>68.91</v>
      </c>
      <c r="AL261" s="109">
        <v>68.647000000000006</v>
      </c>
      <c r="AM261" s="109">
        <f>AL261</f>
        <v>68.647000000000006</v>
      </c>
      <c r="AN261" s="109">
        <v>68.647000000000006</v>
      </c>
      <c r="AO261" s="109">
        <v>68.647000000000006</v>
      </c>
      <c r="AP261" s="109">
        <v>68.647000000000006</v>
      </c>
      <c r="AQ261" s="109">
        <v>68.647000000000006</v>
      </c>
      <c r="AR261" s="109">
        <v>68.647000000000006</v>
      </c>
      <c r="AS261" s="109">
        <v>233.196</v>
      </c>
      <c r="AT261" s="109">
        <v>240.97499999999999</v>
      </c>
      <c r="AU261" s="109">
        <v>242.30099999999999</v>
      </c>
      <c r="AV261" s="109">
        <v>246.18100000000001</v>
      </c>
      <c r="AW261" s="109">
        <v>301.74400000000003</v>
      </c>
      <c r="AX261" s="109">
        <v>272.07900000000001</v>
      </c>
      <c r="AY261" s="25">
        <f t="shared" ref="AY261:BB263" si="346">AX261</f>
        <v>272.07900000000001</v>
      </c>
      <c r="AZ261" s="25">
        <f>AY261+0.4*750</f>
        <v>572.07899999999995</v>
      </c>
      <c r="BA261" s="25">
        <f t="shared" si="346"/>
        <v>572.07899999999995</v>
      </c>
      <c r="BB261" s="25">
        <f t="shared" si="346"/>
        <v>572.07899999999995</v>
      </c>
      <c r="BC261" s="25">
        <f t="shared" ref="BC261:BJ263" si="347">BB261</f>
        <v>572.07899999999995</v>
      </c>
      <c r="BD261" s="25">
        <f t="shared" si="347"/>
        <v>572.07899999999995</v>
      </c>
      <c r="BE261" s="25">
        <f t="shared" si="347"/>
        <v>572.07899999999995</v>
      </c>
      <c r="BF261" s="25">
        <f t="shared" si="347"/>
        <v>572.07899999999995</v>
      </c>
      <c r="BG261" s="25">
        <f t="shared" si="347"/>
        <v>572.07899999999995</v>
      </c>
      <c r="BH261" s="25">
        <f t="shared" si="347"/>
        <v>572.07899999999995</v>
      </c>
      <c r="BI261" s="25">
        <f t="shared" si="347"/>
        <v>572.07899999999995</v>
      </c>
      <c r="BJ261" s="25">
        <f t="shared" si="347"/>
        <v>572.07899999999995</v>
      </c>
      <c r="BK261" s="1"/>
      <c r="BL261" s="12"/>
      <c r="BM261" s="23">
        <f t="shared" si="283"/>
        <v>255</v>
      </c>
    </row>
    <row r="262" spans="1:71" ht="12.75" customHeight="1" outlineLevel="1">
      <c r="A262" s="118"/>
      <c r="B262" s="5" t="s">
        <v>74</v>
      </c>
      <c r="C262" s="12"/>
      <c r="D262" s="12"/>
      <c r="E262" s="12"/>
      <c r="F262" s="65"/>
      <c r="G262" s="12">
        <f t="shared" si="336"/>
        <v>17.789000000000001</v>
      </c>
      <c r="H262" s="12">
        <f t="shared" si="336"/>
        <v>17.378</v>
      </c>
      <c r="I262" s="12">
        <f t="shared" si="336"/>
        <v>16.966999999999999</v>
      </c>
      <c r="J262" s="12">
        <f t="shared" si="336"/>
        <v>16.556000000000001</v>
      </c>
      <c r="K262" s="12">
        <f t="shared" si="337"/>
        <v>21.898</v>
      </c>
      <c r="L262" s="12">
        <f t="shared" si="337"/>
        <v>20.927</v>
      </c>
      <c r="M262" s="12">
        <f t="shared" si="337"/>
        <v>140.47800000000001</v>
      </c>
      <c r="N262" s="12">
        <f t="shared" si="337"/>
        <v>150.00700000000001</v>
      </c>
      <c r="O262" s="12">
        <f t="shared" si="337"/>
        <v>150.00700000000001</v>
      </c>
      <c r="P262" s="12">
        <f t="shared" si="337"/>
        <v>150.00700000000001</v>
      </c>
      <c r="Q262" s="12">
        <f t="shared" si="337"/>
        <v>150.00700000000001</v>
      </c>
      <c r="R262" s="90"/>
      <c r="S262" s="12"/>
      <c r="T262" s="12"/>
      <c r="U262" s="65"/>
      <c r="V262" s="109">
        <f>10.436+7.353</f>
        <v>17.789000000000001</v>
      </c>
      <c r="W262" s="109">
        <f t="shared" si="338"/>
        <v>17.789000000000001</v>
      </c>
      <c r="X262" s="109">
        <f t="shared" si="338"/>
        <v>17.789000000000001</v>
      </c>
      <c r="Y262" s="109">
        <f>10.436+7.045</f>
        <v>17.481000000000002</v>
      </c>
      <c r="Z262" s="109">
        <f>10.436+6.942</f>
        <v>17.378</v>
      </c>
      <c r="AA262" s="109">
        <f>10.436+6.839</f>
        <v>17.274999999999999</v>
      </c>
      <c r="AB262" s="109">
        <f>10.436+6.737</f>
        <v>17.173000000000002</v>
      </c>
      <c r="AC262" s="109">
        <f>10.436+6.634</f>
        <v>17.07</v>
      </c>
      <c r="AD262" s="109">
        <f>10.436+6.531</f>
        <v>16.966999999999999</v>
      </c>
      <c r="AE262" s="109">
        <f>10.436+6.428</f>
        <v>16.864000000000001</v>
      </c>
      <c r="AF262" s="109">
        <f>10.436+6.325</f>
        <v>16.760999999999999</v>
      </c>
      <c r="AG262" s="109">
        <f>10.436+6.223</f>
        <v>16.658999999999999</v>
      </c>
      <c r="AH262" s="109">
        <f>10.436+6.12</f>
        <v>16.556000000000001</v>
      </c>
      <c r="AI262" s="109">
        <f>10.436+6.018</f>
        <v>16.454000000000001</v>
      </c>
      <c r="AJ262" s="109">
        <f>10.436+5.915</f>
        <v>16.350999999999999</v>
      </c>
      <c r="AK262" s="109">
        <f>14.991+7.331</f>
        <v>22.321999999999999</v>
      </c>
      <c r="AL262" s="109">
        <f>14.914+6.984</f>
        <v>21.898</v>
      </c>
      <c r="AM262" s="109">
        <f>14.914+6.824</f>
        <v>21.738</v>
      </c>
      <c r="AN262" s="109">
        <f>14.914+6.7</f>
        <v>21.614000000000001</v>
      </c>
      <c r="AO262" s="109">
        <f>14.914+6.577</f>
        <v>21.491</v>
      </c>
      <c r="AP262" s="109">
        <f>14.474+6.453</f>
        <v>20.927</v>
      </c>
      <c r="AQ262" s="109">
        <f>14.474+6.329</f>
        <v>20.803000000000001</v>
      </c>
      <c r="AR262" s="109">
        <f>14.474+6.205</f>
        <v>20.679000000000002</v>
      </c>
      <c r="AS262" s="109">
        <f>32.318+57.7+56.7</f>
        <v>146.71800000000002</v>
      </c>
      <c r="AT262" s="109">
        <f>32.318+57.27+50.89</f>
        <v>140.47800000000001</v>
      </c>
      <c r="AU262" s="109">
        <f>32.318+57.524+49.882</f>
        <v>139.72399999999999</v>
      </c>
      <c r="AV262" s="109">
        <f>33.068+65.384+52.508</f>
        <v>150.96</v>
      </c>
      <c r="AW262" s="109">
        <f>33.068+64.836+51.433</f>
        <v>149.33699999999999</v>
      </c>
      <c r="AX262" s="109">
        <f>33.068+64.786+52.153</f>
        <v>150.00700000000001</v>
      </c>
      <c r="AY262" s="25">
        <f t="shared" si="346"/>
        <v>150.00700000000001</v>
      </c>
      <c r="AZ262" s="25">
        <f t="shared" si="346"/>
        <v>150.00700000000001</v>
      </c>
      <c r="BA262" s="25">
        <f t="shared" si="346"/>
        <v>150.00700000000001</v>
      </c>
      <c r="BB262" s="25">
        <f t="shared" si="346"/>
        <v>150.00700000000001</v>
      </c>
      <c r="BC262" s="25">
        <f t="shared" si="347"/>
        <v>150.00700000000001</v>
      </c>
      <c r="BD262" s="25">
        <f t="shared" si="347"/>
        <v>150.00700000000001</v>
      </c>
      <c r="BE262" s="25">
        <f t="shared" si="347"/>
        <v>150.00700000000001</v>
      </c>
      <c r="BF262" s="25">
        <f t="shared" si="347"/>
        <v>150.00700000000001</v>
      </c>
      <c r="BG262" s="25">
        <f t="shared" si="347"/>
        <v>150.00700000000001</v>
      </c>
      <c r="BH262" s="25">
        <f t="shared" si="347"/>
        <v>150.00700000000001</v>
      </c>
      <c r="BI262" s="25">
        <f t="shared" si="347"/>
        <v>150.00700000000001</v>
      </c>
      <c r="BJ262" s="25">
        <f t="shared" si="347"/>
        <v>150.00700000000001</v>
      </c>
      <c r="BK262" s="1"/>
      <c r="BL262" s="12"/>
      <c r="BM262" s="23">
        <f t="shared" si="283"/>
        <v>256</v>
      </c>
    </row>
    <row r="263" spans="1:71" ht="12.75" customHeight="1" outlineLevel="1">
      <c r="A263" s="118"/>
      <c r="B263" s="5" t="s">
        <v>47</v>
      </c>
      <c r="C263" s="12"/>
      <c r="D263" s="12"/>
      <c r="E263" s="12"/>
      <c r="F263" s="65"/>
      <c r="G263" s="12">
        <f t="shared" si="336"/>
        <v>7.8870000000000005</v>
      </c>
      <c r="H263" s="12">
        <f t="shared" si="336"/>
        <v>7.6579999999999995</v>
      </c>
      <c r="I263" s="12">
        <f t="shared" si="336"/>
        <v>9.9540000000000006</v>
      </c>
      <c r="J263" s="12">
        <f t="shared" si="336"/>
        <v>14.89</v>
      </c>
      <c r="K263" s="12">
        <f t="shared" si="337"/>
        <v>19.527999999999999</v>
      </c>
      <c r="L263" s="12">
        <f t="shared" si="337"/>
        <v>18.709</v>
      </c>
      <c r="M263" s="12">
        <f t="shared" si="337"/>
        <v>15.509</v>
      </c>
      <c r="N263" s="12">
        <f t="shared" si="337"/>
        <v>12.798</v>
      </c>
      <c r="O263" s="12">
        <f t="shared" si="337"/>
        <v>12.798</v>
      </c>
      <c r="P263" s="12">
        <f t="shared" si="337"/>
        <v>12.798</v>
      </c>
      <c r="Q263" s="12">
        <f t="shared" si="337"/>
        <v>12.798</v>
      </c>
      <c r="R263" s="90"/>
      <c r="S263" s="12"/>
      <c r="T263" s="12"/>
      <c r="U263" s="65"/>
      <c r="V263" s="109">
        <f>1.322+6.565</f>
        <v>7.8870000000000005</v>
      </c>
      <c r="W263" s="109">
        <f t="shared" si="338"/>
        <v>7.8870000000000005</v>
      </c>
      <c r="X263" s="109">
        <f t="shared" si="338"/>
        <v>7.8870000000000005</v>
      </c>
      <c r="Y263" s="109">
        <f>6.374+1.228</f>
        <v>7.6019999999999994</v>
      </c>
      <c r="Z263" s="109">
        <f>6.367+1.291</f>
        <v>7.6579999999999995</v>
      </c>
      <c r="AA263" s="109">
        <f>6.182+2.483</f>
        <v>8.6650000000000009</v>
      </c>
      <c r="AB263" s="109">
        <f>6.458+2.348</f>
        <v>8.8060000000000009</v>
      </c>
      <c r="AC263" s="109">
        <f>2.215+7.266</f>
        <v>9.4809999999999999</v>
      </c>
      <c r="AD263" s="109">
        <f>7.844+2.11</f>
        <v>9.9540000000000006</v>
      </c>
      <c r="AE263" s="109">
        <f>8.451+1.98</f>
        <v>10.431000000000001</v>
      </c>
      <c r="AF263" s="109">
        <f>8.369+1.849</f>
        <v>10.218</v>
      </c>
      <c r="AG263" s="109">
        <f>9.325+5.475</f>
        <v>14.799999999999999</v>
      </c>
      <c r="AH263" s="109">
        <f>9.635+5.255</f>
        <v>14.89</v>
      </c>
      <c r="AI263" s="109">
        <f>8.659+5.035</f>
        <v>13.694000000000001</v>
      </c>
      <c r="AJ263" s="109">
        <f>11.073+4.815</f>
        <v>15.888000000000002</v>
      </c>
      <c r="AK263" s="109">
        <f>11.046+4.596</f>
        <v>15.641999999999999</v>
      </c>
      <c r="AL263" s="109">
        <f>12.317+7.211</f>
        <v>19.527999999999999</v>
      </c>
      <c r="AM263" s="109">
        <v>13.882</v>
      </c>
      <c r="AN263" s="109">
        <v>17.914999999999999</v>
      </c>
      <c r="AO263" s="109">
        <v>19.443999999999999</v>
      </c>
      <c r="AP263" s="109">
        <v>18.709</v>
      </c>
      <c r="AQ263" s="109">
        <v>18.126999999999999</v>
      </c>
      <c r="AR263" s="109">
        <f>17.323+1.314</f>
        <v>18.637</v>
      </c>
      <c r="AS263" s="109">
        <v>16.030999999999999</v>
      </c>
      <c r="AT263" s="109">
        <v>15.509</v>
      </c>
      <c r="AU263" s="109">
        <v>14.798</v>
      </c>
      <c r="AV263" s="109">
        <v>15.013</v>
      </c>
      <c r="AW263" s="109">
        <v>14.973000000000001</v>
      </c>
      <c r="AX263" s="109">
        <v>12.798</v>
      </c>
      <c r="AY263" s="25">
        <f t="shared" si="346"/>
        <v>12.798</v>
      </c>
      <c r="AZ263" s="25">
        <f t="shared" si="346"/>
        <v>12.798</v>
      </c>
      <c r="BA263" s="25">
        <f t="shared" si="346"/>
        <v>12.798</v>
      </c>
      <c r="BB263" s="25">
        <f t="shared" si="346"/>
        <v>12.798</v>
      </c>
      <c r="BC263" s="25">
        <f t="shared" si="347"/>
        <v>12.798</v>
      </c>
      <c r="BD263" s="25">
        <f t="shared" si="347"/>
        <v>12.798</v>
      </c>
      <c r="BE263" s="25">
        <f t="shared" si="347"/>
        <v>12.798</v>
      </c>
      <c r="BF263" s="25">
        <f t="shared" si="347"/>
        <v>12.798</v>
      </c>
      <c r="BG263" s="25">
        <f t="shared" si="347"/>
        <v>12.798</v>
      </c>
      <c r="BH263" s="25">
        <f t="shared" si="347"/>
        <v>12.798</v>
      </c>
      <c r="BI263" s="25">
        <f t="shared" si="347"/>
        <v>12.798</v>
      </c>
      <c r="BJ263" s="25">
        <f t="shared" si="347"/>
        <v>12.798</v>
      </c>
      <c r="BK263" s="1"/>
      <c r="BL263" s="12"/>
      <c r="BM263" s="23">
        <f t="shared" si="283"/>
        <v>257</v>
      </c>
    </row>
    <row r="264" spans="1:71" ht="12.75" customHeight="1" outlineLevel="1">
      <c r="A264" s="118"/>
      <c r="B264" s="258" t="s">
        <v>75</v>
      </c>
      <c r="C264" s="12"/>
      <c r="D264" s="12"/>
      <c r="E264" s="12"/>
      <c r="F264" s="65"/>
      <c r="G264" s="36">
        <f t="shared" ref="G264:N264" si="348">G257+G260+G261+G262+G263</f>
        <v>508.53400000000005</v>
      </c>
      <c r="H264" s="36">
        <f t="shared" si="348"/>
        <v>605.79600000000005</v>
      </c>
      <c r="I264" s="36">
        <f t="shared" si="348"/>
        <v>686.80899999999997</v>
      </c>
      <c r="J264" s="36">
        <f t="shared" si="348"/>
        <v>863.46100000000001</v>
      </c>
      <c r="K264" s="36">
        <f t="shared" si="348"/>
        <v>1238.1529999999998</v>
      </c>
      <c r="L264" s="36">
        <f t="shared" si="348"/>
        <v>1108.6189999999999</v>
      </c>
      <c r="M264" s="36">
        <f t="shared" si="348"/>
        <v>2073.2199999999998</v>
      </c>
      <c r="N264" s="36">
        <f t="shared" si="348"/>
        <v>2307.2829999999999</v>
      </c>
      <c r="O264" s="36">
        <f>O257+O260+O261+O262+O263</f>
        <v>3399.6772109025019</v>
      </c>
      <c r="P264" s="36">
        <f>P257+P260+P261+P262+P263</f>
        <v>3684.1802075723995</v>
      </c>
      <c r="Q264" s="36">
        <f>Q257+Q260+Q261+Q262+Q263</f>
        <v>3965.371230508475</v>
      </c>
      <c r="R264" s="90"/>
      <c r="S264" s="12"/>
      <c r="T264" s="12"/>
      <c r="U264" s="65"/>
      <c r="V264" s="36">
        <f>V257+V260+V261+V262+V263</f>
        <v>508.53400000000005</v>
      </c>
      <c r="W264" s="66">
        <f>W257+W260+W261+W262+W263</f>
        <v>500.40199999999999</v>
      </c>
      <c r="X264" s="66">
        <f>X257+X260+X261+X262+X263</f>
        <v>510.05200000000002</v>
      </c>
      <c r="Y264" s="36">
        <f>Y257+Y260+Y261+Y262+Y263</f>
        <v>543.50399999999991</v>
      </c>
      <c r="Z264" s="36">
        <f>Z257+Z260+Z261+Z262+Z263</f>
        <v>605.79600000000005</v>
      </c>
      <c r="AA264" s="36">
        <f t="shared" ref="AA264:AI264" si="349">AA257+AA260+AA261+AA262+AA263</f>
        <v>643.04999999999995</v>
      </c>
      <c r="AB264" s="36">
        <f t="shared" si="349"/>
        <v>678.45900000000006</v>
      </c>
      <c r="AC264" s="36">
        <f t="shared" si="349"/>
        <v>697.18899999999996</v>
      </c>
      <c r="AD264" s="36">
        <f t="shared" si="349"/>
        <v>686.80899999999997</v>
      </c>
      <c r="AE264" s="36">
        <f t="shared" si="349"/>
        <v>694.06100000000004</v>
      </c>
      <c r="AF264" s="36">
        <f t="shared" si="349"/>
        <v>705.47799999999995</v>
      </c>
      <c r="AG264" s="36">
        <f t="shared" si="349"/>
        <v>848.505</v>
      </c>
      <c r="AH264" s="36">
        <f t="shared" si="349"/>
        <v>863.46100000000001</v>
      </c>
      <c r="AI264" s="36">
        <f t="shared" si="349"/>
        <v>883.17699999999991</v>
      </c>
      <c r="AJ264" s="36">
        <f>AJ257+AJ260+AJ261+AJ262+AJ263</f>
        <v>922.86099999999999</v>
      </c>
      <c r="AK264" s="36">
        <f t="shared" ref="AK264:AP264" si="350">AK257+AK260+AK261+AK262+AK263</f>
        <v>1067.0889999999999</v>
      </c>
      <c r="AL264" s="36">
        <f t="shared" si="350"/>
        <v>1238.1529999999998</v>
      </c>
      <c r="AM264" s="36">
        <f t="shared" si="350"/>
        <v>1193.3529999999998</v>
      </c>
      <c r="AN264" s="36">
        <f t="shared" si="350"/>
        <v>1174.6699999999998</v>
      </c>
      <c r="AO264" s="36">
        <f t="shared" si="350"/>
        <v>1156.5929999999998</v>
      </c>
      <c r="AP264" s="36">
        <f t="shared" si="350"/>
        <v>1108.6189999999999</v>
      </c>
      <c r="AQ264" s="36">
        <f t="shared" ref="AQ264:AX264" si="351">AQ257+AQ260+AQ261+AQ262+AQ263</f>
        <v>1268.3</v>
      </c>
      <c r="AR264" s="36">
        <f t="shared" si="351"/>
        <v>1249.153</v>
      </c>
      <c r="AS264" s="36">
        <f t="shared" si="351"/>
        <v>1620.8329999999999</v>
      </c>
      <c r="AT264" s="36">
        <f t="shared" si="351"/>
        <v>2073.2199999999998</v>
      </c>
      <c r="AU264" s="36">
        <f t="shared" si="351"/>
        <v>2087.2399999999998</v>
      </c>
      <c r="AV264" s="36">
        <f t="shared" si="351"/>
        <v>2174.1709999999998</v>
      </c>
      <c r="AW264" s="36">
        <f t="shared" si="351"/>
        <v>2286.9059999999999</v>
      </c>
      <c r="AX264" s="36">
        <f t="shared" si="351"/>
        <v>2307.2829999999999</v>
      </c>
      <c r="AY264" s="36">
        <f>AY257+AY260+AY261+AY262+AY263</f>
        <v>2336.5082857169509</v>
      </c>
      <c r="AZ264" s="36">
        <f>AZ257+AZ260+AZ261+AZ262+AZ263</f>
        <v>3190.608051663206</v>
      </c>
      <c r="BA264" s="36">
        <f>BA257+BA260+BA261+BA262+BA263</f>
        <v>3313.2024630293959</v>
      </c>
      <c r="BB264" s="36">
        <f>BB257+BB260+BB261+BB262+BB263</f>
        <v>3399.6772109025019</v>
      </c>
      <c r="BC264" s="36">
        <f t="shared" ref="BC264:BJ264" si="352">BC257+BC260+BC261+BC262+BC263</f>
        <v>3475.7704167681954</v>
      </c>
      <c r="BD264" s="36">
        <f t="shared" si="352"/>
        <v>3548.702126281753</v>
      </c>
      <c r="BE264" s="36">
        <f t="shared" si="352"/>
        <v>3620.1787564820602</v>
      </c>
      <c r="BF264" s="36">
        <f t="shared" si="352"/>
        <v>3684.1802075723995</v>
      </c>
      <c r="BG264" s="36">
        <f t="shared" si="352"/>
        <v>3754.0871354910837</v>
      </c>
      <c r="BH264" s="36">
        <f t="shared" si="352"/>
        <v>3826.7293224012797</v>
      </c>
      <c r="BI264" s="36">
        <f t="shared" si="352"/>
        <v>3898.6199654740617</v>
      </c>
      <c r="BJ264" s="36">
        <f t="shared" si="352"/>
        <v>3965.371230508475</v>
      </c>
      <c r="BK264" s="1"/>
      <c r="BL264" s="12"/>
      <c r="BM264" s="23">
        <f t="shared" si="283"/>
        <v>258</v>
      </c>
    </row>
    <row r="265" spans="1:71" ht="12.75" customHeight="1" outlineLevel="1">
      <c r="A265" s="118"/>
      <c r="B265" s="7"/>
      <c r="C265" s="12"/>
      <c r="D265" s="12"/>
      <c r="E265" s="12"/>
      <c r="F265" s="65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90"/>
      <c r="S265" s="12"/>
      <c r="T265" s="12"/>
      <c r="U265" s="65"/>
      <c r="V265" s="12"/>
      <c r="W265" s="65"/>
      <c r="X265" s="65"/>
      <c r="Y265" s="12"/>
      <c r="Z265" s="12"/>
      <c r="AA265" s="12"/>
      <c r="AB265" s="12"/>
      <c r="AC265" s="12"/>
      <c r="AD265" s="12"/>
      <c r="AE265" s="12"/>
      <c r="AF265" s="12"/>
      <c r="AG265" s="12"/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37"/>
      <c r="AT265" s="137"/>
      <c r="AU265" s="137"/>
      <c r="AV265" s="137"/>
      <c r="AW265" s="137"/>
      <c r="AX265" s="137"/>
      <c r="AY265" s="12"/>
      <c r="AZ265" s="12"/>
      <c r="BA265" s="12"/>
      <c r="BB265" s="12"/>
      <c r="BC265" s="12"/>
      <c r="BD265" s="12"/>
      <c r="BE265" s="12"/>
      <c r="BF265" s="12"/>
      <c r="BG265" s="12"/>
      <c r="BH265" s="12"/>
      <c r="BI265" s="12"/>
      <c r="BJ265" s="12"/>
      <c r="BK265" s="1"/>
      <c r="BL265" s="12"/>
      <c r="BM265" s="23">
        <f t="shared" si="283"/>
        <v>259</v>
      </c>
    </row>
    <row r="266" spans="1:71" ht="12.75" customHeight="1" outlineLevel="1">
      <c r="A266" s="118"/>
      <c r="B266" s="259" t="s">
        <v>76</v>
      </c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90"/>
      <c r="S266" s="12"/>
      <c r="T266" s="12"/>
      <c r="U266" s="65"/>
      <c r="V266" s="12"/>
      <c r="W266" s="65"/>
      <c r="X266" s="65"/>
      <c r="Y266" s="12"/>
      <c r="Z266" s="12"/>
      <c r="AA266" s="12"/>
      <c r="AB266" s="12"/>
      <c r="AC266" s="12"/>
      <c r="AD266" s="12"/>
      <c r="AE266" s="12"/>
      <c r="AF266" s="12"/>
      <c r="AG266" s="12"/>
      <c r="AH266" s="12"/>
      <c r="AI266" s="12"/>
      <c r="AJ266" s="12"/>
      <c r="AK266" s="12"/>
      <c r="AL266" s="12"/>
      <c r="AM266" s="12"/>
      <c r="AN266" s="12"/>
      <c r="AO266" s="12"/>
      <c r="AP266" s="12"/>
      <c r="AQ266" s="12"/>
      <c r="AR266" s="12"/>
      <c r="AS266" s="137"/>
      <c r="AT266" s="137"/>
      <c r="AU266" s="137"/>
      <c r="AV266" s="137"/>
      <c r="AW266" s="137"/>
      <c r="AX266" s="137"/>
      <c r="AY266" s="12"/>
      <c r="AZ266" s="12"/>
      <c r="BA266" s="12"/>
      <c r="BB266" s="12"/>
      <c r="BC266" s="12"/>
      <c r="BD266" s="12"/>
      <c r="BE266" s="12"/>
      <c r="BF266" s="12"/>
      <c r="BG266" s="12"/>
      <c r="BH266" s="12"/>
      <c r="BI266" s="12"/>
      <c r="BJ266" s="12"/>
      <c r="BK266" s="1"/>
      <c r="BL266" s="12"/>
      <c r="BM266" s="23">
        <f t="shared" ref="BM266:BM329" si="353">BM265+1</f>
        <v>260</v>
      </c>
    </row>
    <row r="267" spans="1:71" ht="12.75" customHeight="1" outlineLevel="1">
      <c r="A267" s="118"/>
      <c r="B267" s="5" t="s">
        <v>90</v>
      </c>
      <c r="C267" s="12"/>
      <c r="D267" s="12"/>
      <c r="E267" s="12"/>
      <c r="F267" s="12"/>
      <c r="G267" s="12">
        <f t="shared" ref="G267:J271" si="354">INDEX($S267:$AH267,G$6)</f>
        <v>3.7269999999999999</v>
      </c>
      <c r="H267" s="12">
        <f t="shared" si="354"/>
        <v>5.5880000000000001</v>
      </c>
      <c r="I267" s="12">
        <f t="shared" si="354"/>
        <v>5.39</v>
      </c>
      <c r="J267" s="12">
        <f t="shared" si="354"/>
        <v>4.6589999999999998</v>
      </c>
      <c r="K267" s="12">
        <f t="shared" ref="K267:Q271" si="355">INDEX($S267:$BK267,K$6)</f>
        <v>4.2149999999999999</v>
      </c>
      <c r="L267" s="12">
        <f t="shared" si="355"/>
        <v>0</v>
      </c>
      <c r="M267" s="12">
        <f t="shared" si="355"/>
        <v>0</v>
      </c>
      <c r="N267" s="12">
        <f t="shared" si="355"/>
        <v>0</v>
      </c>
      <c r="O267" s="12">
        <f t="shared" si="355"/>
        <v>0</v>
      </c>
      <c r="P267" s="12">
        <f t="shared" si="355"/>
        <v>0</v>
      </c>
      <c r="Q267" s="12">
        <f t="shared" si="355"/>
        <v>0</v>
      </c>
      <c r="R267" s="90"/>
      <c r="S267" s="12"/>
      <c r="T267" s="12"/>
      <c r="U267" s="65"/>
      <c r="V267" s="109">
        <v>3.7269999999999999</v>
      </c>
      <c r="W267" s="109">
        <f t="shared" ref="W267:X271" si="356">V267</f>
        <v>3.7269999999999999</v>
      </c>
      <c r="X267" s="109">
        <f t="shared" si="356"/>
        <v>3.7269999999999999</v>
      </c>
      <c r="Y267" s="109">
        <v>5.5629999999999997</v>
      </c>
      <c r="Z267" s="109">
        <v>5.5880000000000001</v>
      </c>
      <c r="AA267" s="109">
        <v>4.17</v>
      </c>
      <c r="AB267" s="109">
        <v>4.0279999999999996</v>
      </c>
      <c r="AC267" s="109">
        <v>6.4980000000000002</v>
      </c>
      <c r="AD267" s="109">
        <v>5.39</v>
      </c>
      <c r="AE267" s="109">
        <v>4.3760000000000003</v>
      </c>
      <c r="AF267" s="109">
        <v>5.0129999999999999</v>
      </c>
      <c r="AG267" s="109">
        <v>3.6509999999999998</v>
      </c>
      <c r="AH267" s="109">
        <v>4.6589999999999998</v>
      </c>
      <c r="AI267" s="109">
        <v>2.5289999999999999</v>
      </c>
      <c r="AJ267" s="109">
        <v>3.4660000000000002</v>
      </c>
      <c r="AK267" s="109">
        <v>5.5449999999999999</v>
      </c>
      <c r="AL267" s="109">
        <v>4.2149999999999999</v>
      </c>
      <c r="AM267" s="109">
        <v>6.7560000000000002</v>
      </c>
      <c r="AN267" s="109">
        <v>3.8330000000000002</v>
      </c>
      <c r="AO267" s="109">
        <v>2.4049999999999998</v>
      </c>
      <c r="AP267" s="109">
        <v>0</v>
      </c>
      <c r="AQ267" s="109">
        <v>0</v>
      </c>
      <c r="AR267" s="109">
        <v>0</v>
      </c>
      <c r="AS267" s="109">
        <v>0</v>
      </c>
      <c r="AT267" s="109">
        <v>0</v>
      </c>
      <c r="AU267" s="109">
        <v>0</v>
      </c>
      <c r="AV267" s="109">
        <v>0</v>
      </c>
      <c r="AW267" s="109">
        <v>0</v>
      </c>
      <c r="AX267" s="109">
        <v>0</v>
      </c>
      <c r="AY267" s="59">
        <f>AX267</f>
        <v>0</v>
      </c>
      <c r="AZ267" s="59">
        <f>AY267</f>
        <v>0</v>
      </c>
      <c r="BA267" s="59">
        <f>AZ267</f>
        <v>0</v>
      </c>
      <c r="BB267" s="59">
        <f>BA267</f>
        <v>0</v>
      </c>
      <c r="BC267" s="59">
        <f t="shared" ref="BC267:BJ267" si="357">BB267</f>
        <v>0</v>
      </c>
      <c r="BD267" s="59">
        <f t="shared" si="357"/>
        <v>0</v>
      </c>
      <c r="BE267" s="59">
        <f t="shared" si="357"/>
        <v>0</v>
      </c>
      <c r="BF267" s="59">
        <f t="shared" si="357"/>
        <v>0</v>
      </c>
      <c r="BG267" s="59">
        <f t="shared" si="357"/>
        <v>0</v>
      </c>
      <c r="BH267" s="59">
        <f t="shared" si="357"/>
        <v>0</v>
      </c>
      <c r="BI267" s="59">
        <f t="shared" si="357"/>
        <v>0</v>
      </c>
      <c r="BJ267" s="59">
        <f t="shared" si="357"/>
        <v>0</v>
      </c>
      <c r="BK267" s="1"/>
      <c r="BL267" s="12"/>
      <c r="BM267" s="23">
        <f t="shared" si="353"/>
        <v>261</v>
      </c>
    </row>
    <row r="268" spans="1:71" ht="12.75" customHeight="1" outlineLevel="1">
      <c r="A268" s="118"/>
      <c r="B268" s="5" t="s">
        <v>77</v>
      </c>
      <c r="C268" s="12"/>
      <c r="D268" s="12"/>
      <c r="E268" s="12"/>
      <c r="F268" s="12"/>
      <c r="G268" s="12">
        <f t="shared" si="354"/>
        <v>12.026999999999999</v>
      </c>
      <c r="H268" s="12">
        <f t="shared" si="354"/>
        <v>36.579000000000001</v>
      </c>
      <c r="I268" s="12">
        <f t="shared" si="354"/>
        <v>37.332999999999998</v>
      </c>
      <c r="J268" s="12">
        <f t="shared" si="354"/>
        <v>37.375999999999998</v>
      </c>
      <c r="K268" s="12">
        <f t="shared" si="355"/>
        <v>85.781000000000006</v>
      </c>
      <c r="L268" s="12">
        <f t="shared" si="355"/>
        <v>49.631</v>
      </c>
      <c r="M268" s="12">
        <f t="shared" si="355"/>
        <v>70.778000000000006</v>
      </c>
      <c r="N268" s="12">
        <f t="shared" si="355"/>
        <v>148.77199999999999</v>
      </c>
      <c r="O268" s="12">
        <f t="shared" si="355"/>
        <v>217.7882156712329</v>
      </c>
      <c r="P268" s="12">
        <f t="shared" si="355"/>
        <v>233.06569904547948</v>
      </c>
      <c r="Q268" s="12">
        <f t="shared" si="355"/>
        <v>238.71763108533702</v>
      </c>
      <c r="R268" s="90"/>
      <c r="S268" s="12"/>
      <c r="T268" s="12"/>
      <c r="U268" s="65"/>
      <c r="V268" s="109">
        <v>12.026999999999999</v>
      </c>
      <c r="W268" s="109">
        <f t="shared" si="356"/>
        <v>12.026999999999999</v>
      </c>
      <c r="X268" s="109">
        <f t="shared" si="356"/>
        <v>12.026999999999999</v>
      </c>
      <c r="Y268" s="109">
        <v>13.859</v>
      </c>
      <c r="Z268" s="109">
        <v>36.579000000000001</v>
      </c>
      <c r="AA268" s="109">
        <v>19.704999999999998</v>
      </c>
      <c r="AB268" s="109">
        <v>37.588000000000001</v>
      </c>
      <c r="AC268" s="109">
        <v>39.597999999999999</v>
      </c>
      <c r="AD268" s="109">
        <v>37.332999999999998</v>
      </c>
      <c r="AE268" s="109">
        <v>30.306999999999999</v>
      </c>
      <c r="AF268" s="109">
        <v>30.710999999999999</v>
      </c>
      <c r="AG268" s="109">
        <v>40.6</v>
      </c>
      <c r="AH268" s="109">
        <v>37.375999999999998</v>
      </c>
      <c r="AI268" s="109">
        <v>46.430999999999997</v>
      </c>
      <c r="AJ268" s="109">
        <v>52.826000000000001</v>
      </c>
      <c r="AK268" s="109">
        <v>67.55</v>
      </c>
      <c r="AL268" s="109">
        <v>85.781000000000006</v>
      </c>
      <c r="AM268" s="109">
        <v>56.698999999999998</v>
      </c>
      <c r="AN268" s="109">
        <v>53.814999999999998</v>
      </c>
      <c r="AO268" s="109">
        <v>57.981999999999999</v>
      </c>
      <c r="AP268" s="109">
        <v>49.631</v>
      </c>
      <c r="AQ268" s="109">
        <v>45.393999999999998</v>
      </c>
      <c r="AR268" s="109">
        <v>48.216999999999999</v>
      </c>
      <c r="AS268" s="109">
        <v>68.691999999999993</v>
      </c>
      <c r="AT268" s="109">
        <v>70.778000000000006</v>
      </c>
      <c r="AU268" s="109">
        <v>71.950999999999993</v>
      </c>
      <c r="AV268" s="109">
        <v>102.376</v>
      </c>
      <c r="AW268" s="109">
        <v>140.18799999999999</v>
      </c>
      <c r="AX268" s="109">
        <v>148.77199999999999</v>
      </c>
      <c r="AY268" s="12">
        <f t="shared" ref="AY268:BJ268" si="358">(AY189*4)/(365/AY314)</f>
        <v>154.00124909589042</v>
      </c>
      <c r="AZ268" s="12">
        <f t="shared" si="358"/>
        <v>162.22846958904111</v>
      </c>
      <c r="BA268" s="12">
        <f t="shared" si="358"/>
        <v>208.1167872876712</v>
      </c>
      <c r="BB268" s="12">
        <f t="shared" si="358"/>
        <v>217.7882156712329</v>
      </c>
      <c r="BC268" s="12">
        <f t="shared" si="358"/>
        <v>222.70144333589047</v>
      </c>
      <c r="BD268" s="12">
        <f t="shared" si="358"/>
        <v>226.32418701095889</v>
      </c>
      <c r="BE268" s="12">
        <f t="shared" si="358"/>
        <v>230.67967918027398</v>
      </c>
      <c r="BF268" s="12">
        <f t="shared" si="358"/>
        <v>233.06569904547948</v>
      </c>
      <c r="BG268" s="12">
        <f t="shared" si="358"/>
        <v>235.94244692363836</v>
      </c>
      <c r="BH268" s="12">
        <f t="shared" si="358"/>
        <v>238.05543999895897</v>
      </c>
      <c r="BI268" s="12">
        <f t="shared" si="358"/>
        <v>239.40312084335346</v>
      </c>
      <c r="BJ268" s="12">
        <f t="shared" si="358"/>
        <v>238.71763108533702</v>
      </c>
      <c r="BK268" s="1"/>
      <c r="BL268" s="12"/>
      <c r="BM268" s="23">
        <f t="shared" si="353"/>
        <v>262</v>
      </c>
    </row>
    <row r="269" spans="1:71" ht="12.75" customHeight="1" outlineLevel="1">
      <c r="A269" s="118"/>
      <c r="B269" s="5" t="s">
        <v>78</v>
      </c>
      <c r="C269" s="12"/>
      <c r="D269" s="12"/>
      <c r="E269" s="12"/>
      <c r="F269" s="12"/>
      <c r="G269" s="12">
        <f t="shared" si="354"/>
        <v>8.9489999999999998</v>
      </c>
      <c r="H269" s="12">
        <f t="shared" si="354"/>
        <v>9.875</v>
      </c>
      <c r="I269" s="12">
        <f t="shared" si="354"/>
        <v>9.4809999999999999</v>
      </c>
      <c r="J269" s="12">
        <f t="shared" si="354"/>
        <v>10.823</v>
      </c>
      <c r="K269" s="12">
        <f t="shared" si="355"/>
        <v>17.911000000000001</v>
      </c>
      <c r="L269" s="12">
        <f t="shared" si="355"/>
        <v>11.708</v>
      </c>
      <c r="M269" s="12">
        <f t="shared" si="355"/>
        <v>13.034000000000001</v>
      </c>
      <c r="N269" s="12">
        <f t="shared" si="355"/>
        <v>22.269000000000002</v>
      </c>
      <c r="O269" s="12">
        <f t="shared" si="355"/>
        <v>35.433397200031628</v>
      </c>
      <c r="P269" s="12">
        <f t="shared" si="355"/>
        <v>36.164688051501329</v>
      </c>
      <c r="Q269" s="12">
        <f t="shared" si="355"/>
        <v>36.953707996117153</v>
      </c>
      <c r="R269" s="90"/>
      <c r="S269" s="12"/>
      <c r="T269" s="12"/>
      <c r="U269" s="65"/>
      <c r="V269" s="109">
        <v>8.9489999999999998</v>
      </c>
      <c r="W269" s="109">
        <f t="shared" si="356"/>
        <v>8.9489999999999998</v>
      </c>
      <c r="X269" s="109">
        <f t="shared" si="356"/>
        <v>8.9489999999999998</v>
      </c>
      <c r="Y269" s="109">
        <v>9.6039999999999992</v>
      </c>
      <c r="Z269" s="109">
        <v>9.875</v>
      </c>
      <c r="AA269" s="109">
        <v>8.7710000000000008</v>
      </c>
      <c r="AB269" s="109">
        <v>8.6199999999999992</v>
      </c>
      <c r="AC269" s="109">
        <v>9.4149999999999991</v>
      </c>
      <c r="AD269" s="109">
        <v>9.4809999999999999</v>
      </c>
      <c r="AE269" s="109">
        <v>10.08</v>
      </c>
      <c r="AF269" s="109">
        <v>9.1780000000000008</v>
      </c>
      <c r="AG269" s="109">
        <v>10.755000000000001</v>
      </c>
      <c r="AH269" s="109">
        <v>10.823</v>
      </c>
      <c r="AI269" s="109">
        <v>10.879</v>
      </c>
      <c r="AJ269" s="109">
        <v>13.02</v>
      </c>
      <c r="AK269" s="109">
        <v>16.998000000000001</v>
      </c>
      <c r="AL269" s="109">
        <v>17.911000000000001</v>
      </c>
      <c r="AM269" s="109">
        <v>13.922000000000001</v>
      </c>
      <c r="AN269" s="109">
        <v>14.430999999999999</v>
      </c>
      <c r="AO269" s="109">
        <v>14.055</v>
      </c>
      <c r="AP269" s="109">
        <v>11.708</v>
      </c>
      <c r="AQ269" s="109">
        <v>11.547000000000001</v>
      </c>
      <c r="AR269" s="109">
        <v>11.538</v>
      </c>
      <c r="AS269" s="109">
        <v>12.821</v>
      </c>
      <c r="AT269" s="109">
        <v>13.034000000000001</v>
      </c>
      <c r="AU269" s="109">
        <f>5.223+13.202+0.069</f>
        <v>18.494</v>
      </c>
      <c r="AV269" s="109">
        <f>5.229+14.698+0.061</f>
        <v>19.988</v>
      </c>
      <c r="AW269" s="109">
        <f>17.494+5.231+0.123</f>
        <v>22.848000000000003</v>
      </c>
      <c r="AX269" s="109">
        <f>5.229+16.841+0.199</f>
        <v>22.269000000000002</v>
      </c>
      <c r="AY269" s="60">
        <f t="shared" ref="AY269:BJ269" si="359">AY318*AY14</f>
        <v>22.8836437065608</v>
      </c>
      <c r="AZ269" s="60">
        <f t="shared" si="359"/>
        <v>25.766790791176103</v>
      </c>
      <c r="BA269" s="60">
        <f t="shared" si="359"/>
        <v>33.860534875427525</v>
      </c>
      <c r="BB269" s="60">
        <f t="shared" si="359"/>
        <v>35.433397200031628</v>
      </c>
      <c r="BC269" s="60">
        <f t="shared" si="359"/>
        <v>35.670009198728152</v>
      </c>
      <c r="BD269" s="60">
        <f t="shared" si="359"/>
        <v>35.940528780692787</v>
      </c>
      <c r="BE269" s="60">
        <f t="shared" si="359"/>
        <v>36.264815418804346</v>
      </c>
      <c r="BF269" s="60">
        <f t="shared" si="359"/>
        <v>36.164688051501329</v>
      </c>
      <c r="BG269" s="60">
        <f t="shared" si="359"/>
        <v>36.503851618139556</v>
      </c>
      <c r="BH269" s="60">
        <f t="shared" si="359"/>
        <v>37.01862816010226</v>
      </c>
      <c r="BI269" s="60">
        <f t="shared" si="359"/>
        <v>37.207730247714046</v>
      </c>
      <c r="BJ269" s="60">
        <f t="shared" si="359"/>
        <v>36.953707996117153</v>
      </c>
      <c r="BK269" s="1"/>
      <c r="BL269" s="12"/>
      <c r="BM269" s="23">
        <f t="shared" si="353"/>
        <v>263</v>
      </c>
    </row>
    <row r="270" spans="1:71" ht="12.75" customHeight="1" outlineLevel="1">
      <c r="A270" s="118"/>
      <c r="B270" s="5" t="s">
        <v>127</v>
      </c>
      <c r="C270" s="12"/>
      <c r="D270" s="12"/>
      <c r="E270" s="12"/>
      <c r="F270" s="12"/>
      <c r="G270" s="12">
        <f t="shared" si="354"/>
        <v>1.51</v>
      </c>
      <c r="H270" s="12">
        <f t="shared" si="354"/>
        <v>6.3639999999999999</v>
      </c>
      <c r="I270" s="12">
        <f t="shared" si="354"/>
        <v>2.4329999999999998</v>
      </c>
      <c r="J270" s="12">
        <f t="shared" si="354"/>
        <v>3.488</v>
      </c>
      <c r="K270" s="12">
        <f t="shared" si="355"/>
        <v>4.718</v>
      </c>
      <c r="L270" s="12">
        <f t="shared" si="355"/>
        <v>3.33</v>
      </c>
      <c r="M270" s="12">
        <f t="shared" si="355"/>
        <v>7.0579999999999998</v>
      </c>
      <c r="N270" s="12">
        <f t="shared" si="355"/>
        <v>4.5039999999999996</v>
      </c>
      <c r="O270" s="12">
        <f t="shared" si="355"/>
        <v>1.75</v>
      </c>
      <c r="P270" s="12">
        <f t="shared" si="355"/>
        <v>1.75</v>
      </c>
      <c r="Q270" s="12">
        <f t="shared" si="355"/>
        <v>1.75</v>
      </c>
      <c r="R270" s="90"/>
      <c r="S270" s="12"/>
      <c r="T270" s="12"/>
      <c r="U270" s="65"/>
      <c r="V270" s="109">
        <v>1.51</v>
      </c>
      <c r="W270" s="109">
        <f t="shared" si="356"/>
        <v>1.51</v>
      </c>
      <c r="X270" s="109">
        <f t="shared" si="356"/>
        <v>1.51</v>
      </c>
      <c r="Y270" s="109">
        <f>2.431</f>
        <v>2.431</v>
      </c>
      <c r="Z270" s="109">
        <v>6.3639999999999999</v>
      </c>
      <c r="AA270" s="109">
        <v>6.3639999999999999</v>
      </c>
      <c r="AB270" s="109">
        <v>6.3639999999999999</v>
      </c>
      <c r="AC270" s="109">
        <v>6.3639999999999999</v>
      </c>
      <c r="AD270" s="109">
        <v>2.4329999999999998</v>
      </c>
      <c r="AE270" s="109">
        <f>2.434+10.551</f>
        <v>12.984999999999999</v>
      </c>
      <c r="AF270" s="109">
        <f>2.434+6.866</f>
        <v>9.3000000000000007</v>
      </c>
      <c r="AG270" s="109">
        <f>0.266+3.487</f>
        <v>3.7530000000000001</v>
      </c>
      <c r="AH270" s="109">
        <v>3.488</v>
      </c>
      <c r="AI270" s="109">
        <v>3.4889999999999999</v>
      </c>
      <c r="AJ270" s="109">
        <v>3.4889999999999999</v>
      </c>
      <c r="AK270" s="109">
        <v>3.49</v>
      </c>
      <c r="AL270" s="109">
        <v>4.718</v>
      </c>
      <c r="AM270" s="109">
        <v>3.3210000000000002</v>
      </c>
      <c r="AN270" s="109">
        <v>3.3239999999999998</v>
      </c>
      <c r="AO270" s="109">
        <v>3.327</v>
      </c>
      <c r="AP270" s="109">
        <v>3.33</v>
      </c>
      <c r="AQ270" s="109">
        <v>3.3330000000000002</v>
      </c>
      <c r="AR270" s="109">
        <v>3.3359999999999999</v>
      </c>
      <c r="AS270" s="109">
        <v>6.7450000000000001</v>
      </c>
      <c r="AT270" s="109">
        <f>4.821+2.237</f>
        <v>7.0579999999999998</v>
      </c>
      <c r="AU270" s="109">
        <f>5.034+2.19</f>
        <v>7.2240000000000002</v>
      </c>
      <c r="AV270" s="109">
        <f>4.832+1.961</f>
        <v>6.7930000000000001</v>
      </c>
      <c r="AW270" s="109">
        <f>4.735+1.09</f>
        <v>5.8250000000000002</v>
      </c>
      <c r="AX270" s="109">
        <v>4.5039999999999996</v>
      </c>
      <c r="AY270" s="147">
        <f>AY344</f>
        <v>5</v>
      </c>
      <c r="AZ270" s="147">
        <f>AZ344</f>
        <v>1.75</v>
      </c>
      <c r="BA270" s="147">
        <f>BA344</f>
        <v>1.75</v>
      </c>
      <c r="BB270" s="147">
        <f>BB344</f>
        <v>1.75</v>
      </c>
      <c r="BC270" s="147">
        <f t="shared" ref="BC270:BJ270" si="360">BC344</f>
        <v>1.75</v>
      </c>
      <c r="BD270" s="147">
        <f t="shared" si="360"/>
        <v>1.75</v>
      </c>
      <c r="BE270" s="147">
        <f t="shared" si="360"/>
        <v>1.75</v>
      </c>
      <c r="BF270" s="147">
        <f t="shared" si="360"/>
        <v>1.75</v>
      </c>
      <c r="BG270" s="147">
        <f t="shared" si="360"/>
        <v>1.75</v>
      </c>
      <c r="BH270" s="147">
        <f t="shared" si="360"/>
        <v>1.75</v>
      </c>
      <c r="BI270" s="147">
        <f t="shared" si="360"/>
        <v>1.75</v>
      </c>
      <c r="BJ270" s="147">
        <f t="shared" si="360"/>
        <v>1.75</v>
      </c>
      <c r="BK270" s="1"/>
      <c r="BL270" s="12"/>
      <c r="BM270" s="23">
        <f t="shared" si="353"/>
        <v>264</v>
      </c>
    </row>
    <row r="271" spans="1:71" ht="12.75" customHeight="1" outlineLevel="1">
      <c r="A271" s="118"/>
      <c r="B271" s="5" t="s">
        <v>79</v>
      </c>
      <c r="C271" s="12"/>
      <c r="D271" s="12"/>
      <c r="E271" s="12"/>
      <c r="F271" s="12"/>
      <c r="G271" s="12">
        <f t="shared" si="354"/>
        <v>6.6129999999999995</v>
      </c>
      <c r="H271" s="12">
        <f t="shared" si="354"/>
        <v>12.052000000000001</v>
      </c>
      <c r="I271" s="12">
        <f t="shared" si="354"/>
        <v>25.452999999999999</v>
      </c>
      <c r="J271" s="12">
        <f t="shared" si="354"/>
        <v>7.786999999999999</v>
      </c>
      <c r="K271" s="12">
        <f t="shared" si="355"/>
        <v>33.636000000000003</v>
      </c>
      <c r="L271" s="12">
        <f t="shared" si="355"/>
        <v>19.248999999999999</v>
      </c>
      <c r="M271" s="12">
        <f t="shared" si="355"/>
        <v>19.09</v>
      </c>
      <c r="N271" s="12">
        <f t="shared" si="355"/>
        <v>38.400000000000006</v>
      </c>
      <c r="O271" s="12">
        <f t="shared" si="355"/>
        <v>38.400000000000006</v>
      </c>
      <c r="P271" s="12">
        <f t="shared" si="355"/>
        <v>38.400000000000006</v>
      </c>
      <c r="Q271" s="12">
        <f t="shared" si="355"/>
        <v>38.400000000000006</v>
      </c>
      <c r="R271" s="90"/>
      <c r="S271" s="12"/>
      <c r="T271" s="12"/>
      <c r="U271" s="65"/>
      <c r="V271" s="109">
        <f>6.512+0.101</f>
        <v>6.6129999999999995</v>
      </c>
      <c r="W271" s="109">
        <f t="shared" si="356"/>
        <v>6.6129999999999995</v>
      </c>
      <c r="X271" s="109">
        <f t="shared" si="356"/>
        <v>6.6129999999999995</v>
      </c>
      <c r="Y271" s="109">
        <f>1.221+6.512</f>
        <v>7.7329999999999997</v>
      </c>
      <c r="Z271" s="109">
        <f>10.393+1.659</f>
        <v>12.052000000000001</v>
      </c>
      <c r="AA271" s="109">
        <f>0.099+2.55+10.393</f>
        <v>13.042000000000002</v>
      </c>
      <c r="AB271" s="109">
        <f>8.081+7.223+0.086</f>
        <v>15.389999999999999</v>
      </c>
      <c r="AC271" s="109">
        <f>0.12+10.197+6.118</f>
        <v>16.434999999999999</v>
      </c>
      <c r="AD271" s="109">
        <f>0.002+20.596+4.855</f>
        <v>25.452999999999999</v>
      </c>
      <c r="AE271" s="109">
        <f>0.154+0.489+6.149+2.938</f>
        <v>9.73</v>
      </c>
      <c r="AF271" s="109">
        <f>AF272-SUM(AF267:AF270)</f>
        <v>7.7160000000000011</v>
      </c>
      <c r="AG271" s="109">
        <f>AG272-SUM(AG267:AG270)</f>
        <v>6.725999999999992</v>
      </c>
      <c r="AH271" s="109">
        <f>AH272-SUM(AH267:AH270)</f>
        <v>7.786999999999999</v>
      </c>
      <c r="AI271" s="109">
        <f>2.648+0.041+0.026</f>
        <v>2.7149999999999999</v>
      </c>
      <c r="AJ271" s="109">
        <f>0.041+6.77</f>
        <v>6.8109999999999999</v>
      </c>
      <c r="AK271" s="109">
        <f>6.791+0.041+26.85</f>
        <v>33.682000000000002</v>
      </c>
      <c r="AL271" s="109">
        <f>6.805+26.771+0.06</f>
        <v>33.636000000000003</v>
      </c>
      <c r="AM271" s="109">
        <f>26.771+4.997+6.738+0.06</f>
        <v>38.566000000000003</v>
      </c>
      <c r="AN271" s="109">
        <f>0.058+6.754+26.771</f>
        <v>33.582999999999998</v>
      </c>
      <c r="AO271" s="109">
        <f>6.772+0.058+14.022</f>
        <v>20.852</v>
      </c>
      <c r="AP271" s="109">
        <f>15.738+3.453+0.058</f>
        <v>19.248999999999999</v>
      </c>
      <c r="AQ271" s="109">
        <f>7.216+0.057+3.339</f>
        <v>10.612</v>
      </c>
      <c r="AR271" s="109">
        <f>4.622+4.08+0.057</f>
        <v>8.7590000000000003</v>
      </c>
      <c r="AS271" s="109">
        <f>9.131+4.546+0.057+1.136</f>
        <v>14.87</v>
      </c>
      <c r="AT271" s="109">
        <f>5.221+0.169+13.7</f>
        <v>19.09</v>
      </c>
      <c r="AU271" s="109">
        <v>18.925999999999998</v>
      </c>
      <c r="AV271" s="109">
        <f>25.402+2.791</f>
        <v>28.193000000000001</v>
      </c>
      <c r="AW271" s="109">
        <f>33.089+8.341</f>
        <v>41.43</v>
      </c>
      <c r="AX271" s="109">
        <f>0.706+36.128+1.566</f>
        <v>38.400000000000006</v>
      </c>
      <c r="AY271" s="109">
        <f>AX271</f>
        <v>38.400000000000006</v>
      </c>
      <c r="AZ271" s="109">
        <f>AY271</f>
        <v>38.400000000000006</v>
      </c>
      <c r="BA271" s="109">
        <f>AZ271</f>
        <v>38.400000000000006</v>
      </c>
      <c r="BB271" s="109">
        <f>BA271</f>
        <v>38.400000000000006</v>
      </c>
      <c r="BC271" s="109">
        <f t="shared" ref="BC271:BJ271" si="361">BB271</f>
        <v>38.400000000000006</v>
      </c>
      <c r="BD271" s="109">
        <f t="shared" si="361"/>
        <v>38.400000000000006</v>
      </c>
      <c r="BE271" s="109">
        <f t="shared" si="361"/>
        <v>38.400000000000006</v>
      </c>
      <c r="BF271" s="109">
        <f t="shared" si="361"/>
        <v>38.400000000000006</v>
      </c>
      <c r="BG271" s="109">
        <f t="shared" si="361"/>
        <v>38.400000000000006</v>
      </c>
      <c r="BH271" s="109">
        <f t="shared" si="361"/>
        <v>38.400000000000006</v>
      </c>
      <c r="BI271" s="109">
        <f t="shared" si="361"/>
        <v>38.400000000000006</v>
      </c>
      <c r="BJ271" s="109">
        <f t="shared" si="361"/>
        <v>38.400000000000006</v>
      </c>
      <c r="BK271" s="1"/>
      <c r="BL271" s="12"/>
      <c r="BM271" s="23">
        <f t="shared" si="353"/>
        <v>265</v>
      </c>
    </row>
    <row r="272" spans="1:71" ht="12.75" customHeight="1" outlineLevel="1">
      <c r="A272" s="118"/>
      <c r="B272" s="6" t="s">
        <v>80</v>
      </c>
      <c r="C272" s="12"/>
      <c r="D272" s="12"/>
      <c r="E272" s="12"/>
      <c r="F272" s="12"/>
      <c r="G272" s="36">
        <f t="shared" ref="G272:N272" si="362">SUM(G267:G271)</f>
        <v>32.826000000000001</v>
      </c>
      <c r="H272" s="36">
        <f t="shared" si="362"/>
        <v>70.457999999999998</v>
      </c>
      <c r="I272" s="36">
        <f t="shared" si="362"/>
        <v>80.09</v>
      </c>
      <c r="J272" s="36">
        <f t="shared" si="362"/>
        <v>64.132999999999996</v>
      </c>
      <c r="K272" s="36">
        <f t="shared" si="362"/>
        <v>146.26100000000002</v>
      </c>
      <c r="L272" s="36">
        <f t="shared" si="362"/>
        <v>83.917999999999992</v>
      </c>
      <c r="M272" s="36">
        <f t="shared" si="362"/>
        <v>109.96000000000001</v>
      </c>
      <c r="N272" s="36">
        <f t="shared" si="362"/>
        <v>213.94499999999999</v>
      </c>
      <c r="O272" s="36">
        <f>SUM(O267:O271)</f>
        <v>293.37161287126457</v>
      </c>
      <c r="P272" s="36">
        <f>SUM(P267:P271)</f>
        <v>309.38038709698083</v>
      </c>
      <c r="Q272" s="36">
        <f>SUM(Q267:Q271)</f>
        <v>315.8213390814542</v>
      </c>
      <c r="R272" s="90"/>
      <c r="S272" s="12"/>
      <c r="T272" s="12"/>
      <c r="U272" s="65"/>
      <c r="V272" s="36">
        <f>SUM(V267:V271)</f>
        <v>32.826000000000001</v>
      </c>
      <c r="W272" s="66">
        <f>SUM(W267:W271)</f>
        <v>32.826000000000001</v>
      </c>
      <c r="X272" s="66">
        <f>SUM(X267:X271)</f>
        <v>32.826000000000001</v>
      </c>
      <c r="Y272" s="36">
        <f t="shared" ref="Y272:AE272" si="363">SUM(Y267:Y271)</f>
        <v>39.19</v>
      </c>
      <c r="Z272" s="36">
        <f t="shared" si="363"/>
        <v>70.457999999999998</v>
      </c>
      <c r="AA272" s="36">
        <f t="shared" si="363"/>
        <v>52.052</v>
      </c>
      <c r="AB272" s="36">
        <f t="shared" si="363"/>
        <v>71.989999999999995</v>
      </c>
      <c r="AC272" s="36">
        <f t="shared" si="363"/>
        <v>78.309999999999988</v>
      </c>
      <c r="AD272" s="36">
        <f t="shared" si="363"/>
        <v>80.09</v>
      </c>
      <c r="AE272" s="36">
        <f t="shared" si="363"/>
        <v>67.477999999999994</v>
      </c>
      <c r="AF272" s="36">
        <v>61.917999999999999</v>
      </c>
      <c r="AG272" s="36">
        <v>65.484999999999999</v>
      </c>
      <c r="AH272" s="36">
        <v>64.132999999999996</v>
      </c>
      <c r="AI272" s="36">
        <f>SUM(AI267:AI271)</f>
        <v>66.042999999999992</v>
      </c>
      <c r="AJ272" s="36">
        <f>SUM(AJ267:AJ271)</f>
        <v>79.611999999999995</v>
      </c>
      <c r="AK272" s="36">
        <f t="shared" ref="AK272:AP272" si="364">SUM(AK267:AK271)</f>
        <v>127.265</v>
      </c>
      <c r="AL272" s="36">
        <f t="shared" si="364"/>
        <v>146.26100000000002</v>
      </c>
      <c r="AM272" s="36">
        <f t="shared" si="364"/>
        <v>119.264</v>
      </c>
      <c r="AN272" s="36">
        <f t="shared" si="364"/>
        <v>108.98599999999999</v>
      </c>
      <c r="AO272" s="36">
        <f t="shared" si="364"/>
        <v>98.621000000000009</v>
      </c>
      <c r="AP272" s="36">
        <f t="shared" si="364"/>
        <v>83.917999999999992</v>
      </c>
      <c r="AQ272" s="36">
        <f t="shared" ref="AQ272:AX272" si="365">SUM(AQ267:AQ271)</f>
        <v>70.885999999999996</v>
      </c>
      <c r="AR272" s="36">
        <f t="shared" si="365"/>
        <v>71.849999999999994</v>
      </c>
      <c r="AS272" s="36">
        <f t="shared" si="365"/>
        <v>103.128</v>
      </c>
      <c r="AT272" s="36">
        <f t="shared" si="365"/>
        <v>109.96000000000001</v>
      </c>
      <c r="AU272" s="36">
        <f t="shared" si="365"/>
        <v>116.595</v>
      </c>
      <c r="AV272" s="36">
        <f t="shared" si="365"/>
        <v>157.35000000000002</v>
      </c>
      <c r="AW272" s="36">
        <f t="shared" si="365"/>
        <v>210.291</v>
      </c>
      <c r="AX272" s="36">
        <f t="shared" si="365"/>
        <v>213.94499999999999</v>
      </c>
      <c r="AY272" s="61">
        <f>SUM(AY267:AY271)</f>
        <v>220.28489280245122</v>
      </c>
      <c r="AZ272" s="61">
        <f>SUM(AZ267:AZ271)</f>
        <v>228.14526038021722</v>
      </c>
      <c r="BA272" s="61">
        <f>SUM(BA267:BA271)</f>
        <v>282.12732216309871</v>
      </c>
      <c r="BB272" s="61">
        <f>SUM(BB267:BB271)</f>
        <v>293.37161287126457</v>
      </c>
      <c r="BC272" s="61">
        <f t="shared" ref="BC272:BJ272" si="366">SUM(BC267:BC271)</f>
        <v>298.52145253461867</v>
      </c>
      <c r="BD272" s="61">
        <f t="shared" si="366"/>
        <v>302.4147157916517</v>
      </c>
      <c r="BE272" s="61">
        <f t="shared" si="366"/>
        <v>307.0944945990783</v>
      </c>
      <c r="BF272" s="61">
        <f t="shared" si="366"/>
        <v>309.38038709698083</v>
      </c>
      <c r="BG272" s="61">
        <f t="shared" si="366"/>
        <v>312.59629854177797</v>
      </c>
      <c r="BH272" s="61">
        <f t="shared" si="366"/>
        <v>315.22406815906129</v>
      </c>
      <c r="BI272" s="61">
        <f t="shared" si="366"/>
        <v>316.76085109106748</v>
      </c>
      <c r="BJ272" s="61">
        <f t="shared" si="366"/>
        <v>315.8213390814542</v>
      </c>
      <c r="BK272" s="1"/>
      <c r="BL272" s="12"/>
      <c r="BM272" s="23">
        <f t="shared" si="353"/>
        <v>266</v>
      </c>
    </row>
    <row r="273" spans="1:71" ht="12.75" customHeight="1" outlineLevel="1">
      <c r="A273" s="118"/>
      <c r="B273" s="5" t="s">
        <v>81</v>
      </c>
      <c r="C273" s="12"/>
      <c r="D273" s="12"/>
      <c r="E273" s="12"/>
      <c r="F273" s="12"/>
      <c r="G273" s="12">
        <f t="shared" ref="G273:J277" si="367">INDEX($S273:$AH273,G$6)</f>
        <v>236.93199999999999</v>
      </c>
      <c r="H273" s="12">
        <f t="shared" si="367"/>
        <v>255.42500000000001</v>
      </c>
      <c r="I273" s="12">
        <f t="shared" si="367"/>
        <v>252.99199999999999</v>
      </c>
      <c r="J273" s="12">
        <f t="shared" si="367"/>
        <v>367.96300000000002</v>
      </c>
      <c r="K273" s="12">
        <f t="shared" ref="K273:Q277" si="368">INDEX($S273:$BK273,K$6)</f>
        <v>497.57900000000001</v>
      </c>
      <c r="L273" s="12">
        <f t="shared" si="368"/>
        <v>488.375</v>
      </c>
      <c r="M273" s="12">
        <f t="shared" si="368"/>
        <v>508.41699999999997</v>
      </c>
      <c r="N273" s="12">
        <f t="shared" si="368"/>
        <v>506.73200000000003</v>
      </c>
      <c r="O273" s="12">
        <f t="shared" si="368"/>
        <v>1299.8970000000002</v>
      </c>
      <c r="P273" s="12">
        <f t="shared" si="368"/>
        <v>1298.1470000000002</v>
      </c>
      <c r="Q273" s="12">
        <f t="shared" si="368"/>
        <v>1296.3970000000002</v>
      </c>
      <c r="R273" s="90"/>
      <c r="S273" s="12"/>
      <c r="T273" s="12"/>
      <c r="U273" s="65"/>
      <c r="V273" s="109">
        <f>236.932</f>
        <v>236.93199999999999</v>
      </c>
      <c r="W273" s="109">
        <f t="shared" ref="W273:X275" si="369">V273</f>
        <v>236.93199999999999</v>
      </c>
      <c r="X273" s="109">
        <f t="shared" si="369"/>
        <v>236.93199999999999</v>
      </c>
      <c r="Y273" s="109">
        <f>256.033</f>
        <v>256.03300000000002</v>
      </c>
      <c r="Z273" s="109">
        <f>255.425</f>
        <v>255.42500000000001</v>
      </c>
      <c r="AA273" s="109">
        <f>254.817</f>
        <v>254.81700000000001</v>
      </c>
      <c r="AB273" s="109">
        <v>254.209</v>
      </c>
      <c r="AC273" s="109">
        <v>253.6</v>
      </c>
      <c r="AD273" s="109">
        <v>252.99199999999999</v>
      </c>
      <c r="AE273" s="109">
        <f>252.383</f>
        <v>252.38300000000001</v>
      </c>
      <c r="AF273" s="109">
        <v>251.774</v>
      </c>
      <c r="AG273" s="109">
        <v>368.83499999999998</v>
      </c>
      <c r="AH273" s="109">
        <v>367.96300000000002</v>
      </c>
      <c r="AI273" s="109">
        <v>367.09</v>
      </c>
      <c r="AJ273" s="109">
        <v>366.21800000000002</v>
      </c>
      <c r="AK273" s="109">
        <v>365.34500000000003</v>
      </c>
      <c r="AL273" s="109">
        <v>497.57900000000001</v>
      </c>
      <c r="AM273" s="109">
        <v>490.87299999999999</v>
      </c>
      <c r="AN273" s="109">
        <v>490.041</v>
      </c>
      <c r="AO273" s="109">
        <v>489.20800000000003</v>
      </c>
      <c r="AP273" s="109">
        <v>488.375</v>
      </c>
      <c r="AQ273" s="109">
        <v>487.54</v>
      </c>
      <c r="AR273" s="109">
        <v>486.70499999999998</v>
      </c>
      <c r="AS273" s="109">
        <v>499.88600000000002</v>
      </c>
      <c r="AT273" s="109">
        <v>508.41699999999997</v>
      </c>
      <c r="AU273" s="109">
        <f>507.484+0.425</f>
        <v>507.90899999999999</v>
      </c>
      <c r="AV273" s="109">
        <f>506.295+0.138</f>
        <v>506.43299999999999</v>
      </c>
      <c r="AW273" s="109">
        <f>506.569+0.168</f>
        <v>506.73700000000002</v>
      </c>
      <c r="AX273" s="109">
        <v>506.73200000000003</v>
      </c>
      <c r="AY273" s="60">
        <f>AY345</f>
        <v>505.3214999999999</v>
      </c>
      <c r="AZ273" s="60">
        <f>AZ345</f>
        <v>1300.7720000000002</v>
      </c>
      <c r="BA273" s="60">
        <f>BA345</f>
        <v>1300.3345000000002</v>
      </c>
      <c r="BB273" s="60">
        <f>BB345</f>
        <v>1299.8970000000002</v>
      </c>
      <c r="BC273" s="60">
        <f t="shared" ref="BC273:BJ273" si="370">BC345</f>
        <v>1299.4595000000002</v>
      </c>
      <c r="BD273" s="60">
        <f t="shared" si="370"/>
        <v>1299.0220000000002</v>
      </c>
      <c r="BE273" s="60">
        <f t="shared" si="370"/>
        <v>1298.5845000000002</v>
      </c>
      <c r="BF273" s="60">
        <f t="shared" si="370"/>
        <v>1298.1470000000002</v>
      </c>
      <c r="BG273" s="60">
        <f t="shared" si="370"/>
        <v>1297.7095000000002</v>
      </c>
      <c r="BH273" s="60">
        <f t="shared" si="370"/>
        <v>1297.2720000000002</v>
      </c>
      <c r="BI273" s="60">
        <f t="shared" si="370"/>
        <v>1296.8345000000002</v>
      </c>
      <c r="BJ273" s="60">
        <f t="shared" si="370"/>
        <v>1296.3970000000002</v>
      </c>
      <c r="BK273" s="1"/>
      <c r="BL273" s="12"/>
      <c r="BM273" s="23">
        <f t="shared" si="353"/>
        <v>267</v>
      </c>
    </row>
    <row r="274" spans="1:71" ht="12.75" customHeight="1" outlineLevel="1">
      <c r="A274" s="118"/>
      <c r="B274" s="5" t="s">
        <v>68</v>
      </c>
      <c r="C274" s="12"/>
      <c r="D274" s="12"/>
      <c r="E274" s="12"/>
      <c r="F274" s="12"/>
      <c r="G274" s="12">
        <f t="shared" si="367"/>
        <v>53.124000000000002</v>
      </c>
      <c r="H274" s="12">
        <f t="shared" si="367"/>
        <v>75.915000000000006</v>
      </c>
      <c r="I274" s="12">
        <f t="shared" si="367"/>
        <v>59.110999999999997</v>
      </c>
      <c r="J274" s="12">
        <f t="shared" si="367"/>
        <v>71.317999999999998</v>
      </c>
      <c r="K274" s="12">
        <f t="shared" si="368"/>
        <v>49.749000000000002</v>
      </c>
      <c r="L274" s="12">
        <f t="shared" si="368"/>
        <v>19.513000000000002</v>
      </c>
      <c r="M274" s="12">
        <f t="shared" si="368"/>
        <v>50.075000000000003</v>
      </c>
      <c r="N274" s="12">
        <f t="shared" si="368"/>
        <v>29.856000000000002</v>
      </c>
      <c r="O274" s="12">
        <f t="shared" si="368"/>
        <v>29.856000000000002</v>
      </c>
      <c r="P274" s="12">
        <f t="shared" si="368"/>
        <v>29.856000000000002</v>
      </c>
      <c r="Q274" s="12">
        <f t="shared" si="368"/>
        <v>29.856000000000002</v>
      </c>
      <c r="R274" s="90"/>
      <c r="S274" s="12"/>
      <c r="T274" s="12"/>
      <c r="U274" s="65"/>
      <c r="V274" s="109">
        <v>53.124000000000002</v>
      </c>
      <c r="W274" s="109">
        <f t="shared" si="369"/>
        <v>53.124000000000002</v>
      </c>
      <c r="X274" s="109">
        <f t="shared" si="369"/>
        <v>53.124000000000002</v>
      </c>
      <c r="Y274" s="109">
        <v>55.603999999999999</v>
      </c>
      <c r="Z274" s="109">
        <v>75.915000000000006</v>
      </c>
      <c r="AA274" s="109">
        <v>72.600999999999999</v>
      </c>
      <c r="AB274" s="109">
        <v>69.489000000000004</v>
      </c>
      <c r="AC274" s="109">
        <v>64.813000000000002</v>
      </c>
      <c r="AD274" s="109">
        <v>59.110999999999997</v>
      </c>
      <c r="AE274" s="109">
        <v>60.154000000000003</v>
      </c>
      <c r="AF274" s="109">
        <v>62.2</v>
      </c>
      <c r="AG274" s="109">
        <v>63.433</v>
      </c>
      <c r="AH274" s="109">
        <v>71.317999999999998</v>
      </c>
      <c r="AI274" s="109">
        <v>72.762</v>
      </c>
      <c r="AJ274" s="109">
        <v>74.203000000000003</v>
      </c>
      <c r="AK274" s="109">
        <v>65.710999999999999</v>
      </c>
      <c r="AL274" s="109">
        <v>49.749000000000002</v>
      </c>
      <c r="AM274" s="109">
        <v>47.917999999999999</v>
      </c>
      <c r="AN274" s="109">
        <v>44.648000000000003</v>
      </c>
      <c r="AO274" s="109">
        <v>28.123999999999999</v>
      </c>
      <c r="AP274" s="109">
        <v>19.513000000000002</v>
      </c>
      <c r="AQ274" s="109">
        <v>9.77</v>
      </c>
      <c r="AR274" s="109">
        <v>0</v>
      </c>
      <c r="AS274" s="109">
        <v>57.33</v>
      </c>
      <c r="AT274" s="109">
        <v>50.075000000000003</v>
      </c>
      <c r="AU274" s="109">
        <v>49.643000000000001</v>
      </c>
      <c r="AV274" s="109">
        <v>52.328000000000003</v>
      </c>
      <c r="AW274" s="109">
        <v>60.734999999999999</v>
      </c>
      <c r="AX274" s="109">
        <v>29.856000000000002</v>
      </c>
      <c r="AY274" s="147">
        <f>AX274</f>
        <v>29.856000000000002</v>
      </c>
      <c r="AZ274" s="147">
        <f>AY274</f>
        <v>29.856000000000002</v>
      </c>
      <c r="BA274" s="147">
        <f>AZ274</f>
        <v>29.856000000000002</v>
      </c>
      <c r="BB274" s="147">
        <f>BA274</f>
        <v>29.856000000000002</v>
      </c>
      <c r="BC274" s="147">
        <f t="shared" ref="BC274:BJ275" si="371">BB274</f>
        <v>29.856000000000002</v>
      </c>
      <c r="BD274" s="147">
        <f t="shared" si="371"/>
        <v>29.856000000000002</v>
      </c>
      <c r="BE274" s="147">
        <f t="shared" si="371"/>
        <v>29.856000000000002</v>
      </c>
      <c r="BF274" s="147">
        <f t="shared" si="371"/>
        <v>29.856000000000002</v>
      </c>
      <c r="BG274" s="147">
        <f t="shared" si="371"/>
        <v>29.856000000000002</v>
      </c>
      <c r="BH274" s="147">
        <f t="shared" si="371"/>
        <v>29.856000000000002</v>
      </c>
      <c r="BI274" s="147">
        <f t="shared" si="371"/>
        <v>29.856000000000002</v>
      </c>
      <c r="BJ274" s="147">
        <f t="shared" si="371"/>
        <v>29.856000000000002</v>
      </c>
      <c r="BK274" s="1"/>
      <c r="BL274" s="12"/>
      <c r="BM274" s="23">
        <f t="shared" si="353"/>
        <v>268</v>
      </c>
    </row>
    <row r="275" spans="1:71" ht="12.75" customHeight="1" outlineLevel="1">
      <c r="A275" s="118"/>
      <c r="B275" s="5" t="s">
        <v>91</v>
      </c>
      <c r="C275" s="12"/>
      <c r="D275" s="12"/>
      <c r="E275" s="12"/>
      <c r="F275" s="12"/>
      <c r="G275" s="12">
        <f t="shared" si="367"/>
        <v>13.077</v>
      </c>
      <c r="H275" s="12">
        <f t="shared" si="367"/>
        <v>2.1280000000000001</v>
      </c>
      <c r="I275" s="12">
        <f t="shared" si="367"/>
        <v>0</v>
      </c>
      <c r="J275" s="12">
        <f t="shared" si="367"/>
        <v>0</v>
      </c>
      <c r="K275" s="12">
        <f t="shared" si="368"/>
        <v>64.721999999999994</v>
      </c>
      <c r="L275" s="12">
        <f t="shared" si="368"/>
        <v>59.676000000000002</v>
      </c>
      <c r="M275" s="12">
        <f t="shared" si="368"/>
        <v>58.09</v>
      </c>
      <c r="N275" s="12">
        <f t="shared" si="368"/>
        <v>82.286000000000001</v>
      </c>
      <c r="O275" s="12">
        <f t="shared" si="368"/>
        <v>62.286000000000001</v>
      </c>
      <c r="P275" s="12">
        <f t="shared" si="368"/>
        <v>42.286000000000001</v>
      </c>
      <c r="Q275" s="12">
        <f t="shared" si="368"/>
        <v>42.286000000000001</v>
      </c>
      <c r="R275" s="90"/>
      <c r="S275" s="12"/>
      <c r="T275" s="12"/>
      <c r="U275" s="65"/>
      <c r="V275" s="109">
        <v>13.077</v>
      </c>
      <c r="W275" s="109">
        <f t="shared" si="369"/>
        <v>13.077</v>
      </c>
      <c r="X275" s="109">
        <f t="shared" si="369"/>
        <v>13.077</v>
      </c>
      <c r="Y275" s="109">
        <v>8.3230000000000004</v>
      </c>
      <c r="Z275" s="109">
        <v>2.1280000000000001</v>
      </c>
      <c r="AA275" s="109">
        <v>0.70099999999999996</v>
      </c>
      <c r="AB275" s="109">
        <v>0.89900000000000002</v>
      </c>
      <c r="AC275" s="109">
        <v>0.94599999999999995</v>
      </c>
      <c r="AD275" s="109">
        <v>0</v>
      </c>
      <c r="AE275" s="109">
        <v>0</v>
      </c>
      <c r="AF275" s="109">
        <v>0</v>
      </c>
      <c r="AG275" s="109">
        <v>0</v>
      </c>
      <c r="AH275" s="109">
        <v>0</v>
      </c>
      <c r="AI275" s="109">
        <v>0</v>
      </c>
      <c r="AJ275" s="109">
        <v>0</v>
      </c>
      <c r="AK275" s="109">
        <v>69.480999999999995</v>
      </c>
      <c r="AL275" s="109">
        <v>64.721999999999994</v>
      </c>
      <c r="AM275" s="109">
        <v>59.223999999999997</v>
      </c>
      <c r="AN275" s="109">
        <v>55.506</v>
      </c>
      <c r="AO275" s="109">
        <v>64.759</v>
      </c>
      <c r="AP275" s="109">
        <v>59.676000000000002</v>
      </c>
      <c r="AQ275" s="109">
        <v>66.947999999999993</v>
      </c>
      <c r="AR275" s="109">
        <v>67.537000000000006</v>
      </c>
      <c r="AS275" s="109">
        <v>66.03</v>
      </c>
      <c r="AT275" s="109">
        <v>58.09</v>
      </c>
      <c r="AU275" s="109">
        <v>66.36</v>
      </c>
      <c r="AV275" s="109">
        <v>79.808000000000007</v>
      </c>
      <c r="AW275" s="109">
        <v>89.373000000000005</v>
      </c>
      <c r="AX275" s="109">
        <v>82.286000000000001</v>
      </c>
      <c r="AY275" s="133">
        <f t="shared" ref="AY275:BF275" si="372">AX275-5</f>
        <v>77.286000000000001</v>
      </c>
      <c r="AZ275" s="133">
        <f t="shared" si="372"/>
        <v>72.286000000000001</v>
      </c>
      <c r="BA275" s="133">
        <f t="shared" si="372"/>
        <v>67.286000000000001</v>
      </c>
      <c r="BB275" s="133">
        <f t="shared" si="372"/>
        <v>62.286000000000001</v>
      </c>
      <c r="BC275" s="133">
        <f t="shared" si="372"/>
        <v>57.286000000000001</v>
      </c>
      <c r="BD275" s="133">
        <f t="shared" si="372"/>
        <v>52.286000000000001</v>
      </c>
      <c r="BE275" s="133">
        <f t="shared" si="372"/>
        <v>47.286000000000001</v>
      </c>
      <c r="BF275" s="133">
        <f t="shared" si="372"/>
        <v>42.286000000000001</v>
      </c>
      <c r="BG275" s="133">
        <f t="shared" si="371"/>
        <v>42.286000000000001</v>
      </c>
      <c r="BH275" s="133">
        <f t="shared" si="371"/>
        <v>42.286000000000001</v>
      </c>
      <c r="BI275" s="133">
        <f t="shared" si="371"/>
        <v>42.286000000000001</v>
      </c>
      <c r="BJ275" s="133">
        <f t="shared" si="371"/>
        <v>42.286000000000001</v>
      </c>
      <c r="BK275" s="1"/>
      <c r="BL275" s="12"/>
      <c r="BM275" s="23">
        <f t="shared" si="353"/>
        <v>269</v>
      </c>
    </row>
    <row r="276" spans="1:71" ht="12.75" customHeight="1" outlineLevel="1">
      <c r="A276" s="118"/>
      <c r="B276" s="5" t="s">
        <v>92</v>
      </c>
      <c r="C276" s="12"/>
      <c r="D276" s="12"/>
      <c r="E276" s="12"/>
      <c r="F276" s="12"/>
      <c r="G276" s="12">
        <f t="shared" si="367"/>
        <v>49.46</v>
      </c>
      <c r="H276" s="12">
        <f t="shared" si="367"/>
        <v>52.078000000000003</v>
      </c>
      <c r="I276" s="12">
        <f t="shared" si="367"/>
        <v>52.747</v>
      </c>
      <c r="J276" s="12">
        <f t="shared" si="367"/>
        <v>36.802</v>
      </c>
      <c r="K276" s="12">
        <f t="shared" si="368"/>
        <v>59.932000000000002</v>
      </c>
      <c r="L276" s="12">
        <f t="shared" si="368"/>
        <v>55.893000000000001</v>
      </c>
      <c r="M276" s="12">
        <f t="shared" si="368"/>
        <v>56.746000000000002</v>
      </c>
      <c r="N276" s="12">
        <f t="shared" si="368"/>
        <v>52.866999999999997</v>
      </c>
      <c r="O276" s="12">
        <f t="shared" si="368"/>
        <v>52.866999999999997</v>
      </c>
      <c r="P276" s="12">
        <f t="shared" si="368"/>
        <v>52.866999999999997</v>
      </c>
      <c r="Q276" s="12">
        <f t="shared" si="368"/>
        <v>52.866999999999997</v>
      </c>
      <c r="R276" s="90"/>
      <c r="S276" s="12"/>
      <c r="T276" s="12"/>
      <c r="U276" s="65">
        <f>-U283</f>
        <v>0</v>
      </c>
      <c r="V276" s="109">
        <v>49.46</v>
      </c>
      <c r="W276" s="109">
        <f>-V285+W264+V276</f>
        <v>41.327999999999996</v>
      </c>
      <c r="X276" s="109">
        <f>-W285+X264+W276</f>
        <v>50.97800000000003</v>
      </c>
      <c r="Y276" s="109">
        <v>39.847999999999999</v>
      </c>
      <c r="Z276" s="109">
        <v>52.078000000000003</v>
      </c>
      <c r="AA276" s="109">
        <v>50.328000000000003</v>
      </c>
      <c r="AB276" s="109">
        <v>49.19</v>
      </c>
      <c r="AC276" s="109">
        <v>47.63</v>
      </c>
      <c r="AD276" s="109">
        <v>52.747</v>
      </c>
      <c r="AE276" s="109">
        <v>52.768000000000001</v>
      </c>
      <c r="AF276" s="109">
        <v>52.018999999999998</v>
      </c>
      <c r="AG276" s="109">
        <v>50.671999999999997</v>
      </c>
      <c r="AH276" s="109">
        <v>36.802</v>
      </c>
      <c r="AI276" s="109">
        <v>36.189</v>
      </c>
      <c r="AJ276" s="109">
        <v>34.430999999999997</v>
      </c>
      <c r="AK276" s="109">
        <v>32.726999999999997</v>
      </c>
      <c r="AL276" s="109">
        <v>59.932000000000002</v>
      </c>
      <c r="AM276" s="109">
        <v>61.554000000000002</v>
      </c>
      <c r="AN276" s="109">
        <v>53.765000000000001</v>
      </c>
      <c r="AO276" s="109">
        <v>60.098999999999997</v>
      </c>
      <c r="AP276" s="109">
        <v>55.893000000000001</v>
      </c>
      <c r="AQ276" s="109">
        <v>60.6</v>
      </c>
      <c r="AR276" s="109">
        <v>63.887</v>
      </c>
      <c r="AS276" s="109">
        <v>63.715000000000003</v>
      </c>
      <c r="AT276" s="109">
        <v>56.746000000000002</v>
      </c>
      <c r="AU276" s="109">
        <v>56.363</v>
      </c>
      <c r="AV276" s="109">
        <v>59.411000000000001</v>
      </c>
      <c r="AW276" s="109">
        <v>52.472000000000001</v>
      </c>
      <c r="AX276" s="109">
        <v>52.866999999999997</v>
      </c>
      <c r="AY276" s="60">
        <f t="shared" ref="AY276:BJ276" si="373">AX276+AY225</f>
        <v>52.866999999999997</v>
      </c>
      <c r="AZ276" s="60">
        <f t="shared" si="373"/>
        <v>52.866999999999997</v>
      </c>
      <c r="BA276" s="60">
        <f t="shared" si="373"/>
        <v>52.866999999999997</v>
      </c>
      <c r="BB276" s="60">
        <f t="shared" si="373"/>
        <v>52.866999999999997</v>
      </c>
      <c r="BC276" s="60">
        <f t="shared" si="373"/>
        <v>52.866999999999997</v>
      </c>
      <c r="BD276" s="60">
        <f t="shared" si="373"/>
        <v>52.866999999999997</v>
      </c>
      <c r="BE276" s="60">
        <f t="shared" si="373"/>
        <v>52.866999999999997</v>
      </c>
      <c r="BF276" s="60">
        <f t="shared" si="373"/>
        <v>52.866999999999997</v>
      </c>
      <c r="BG276" s="60">
        <f t="shared" si="373"/>
        <v>52.866999999999997</v>
      </c>
      <c r="BH276" s="60">
        <f t="shared" si="373"/>
        <v>52.866999999999997</v>
      </c>
      <c r="BI276" s="60">
        <f t="shared" si="373"/>
        <v>52.866999999999997</v>
      </c>
      <c r="BJ276" s="60">
        <f t="shared" si="373"/>
        <v>52.866999999999997</v>
      </c>
      <c r="BK276" s="1"/>
      <c r="BL276" s="12"/>
      <c r="BM276" s="23">
        <f t="shared" si="353"/>
        <v>270</v>
      </c>
    </row>
    <row r="277" spans="1:71" ht="12.75" customHeight="1" outlineLevel="1">
      <c r="A277" s="118"/>
      <c r="B277" s="5" t="s">
        <v>47</v>
      </c>
      <c r="C277" s="12"/>
      <c r="D277" s="12"/>
      <c r="E277" s="12"/>
      <c r="F277" s="12"/>
      <c r="G277" s="12">
        <f t="shared" si="367"/>
        <v>25.551000000000002</v>
      </c>
      <c r="H277" s="12">
        <f t="shared" si="367"/>
        <v>27.858000000000001</v>
      </c>
      <c r="I277" s="12">
        <f t="shared" si="367"/>
        <v>10.176</v>
      </c>
      <c r="J277" s="12">
        <f t="shared" si="367"/>
        <v>13.951000000000001</v>
      </c>
      <c r="K277" s="12">
        <f t="shared" si="368"/>
        <v>16.094000000000001</v>
      </c>
      <c r="L277" s="12">
        <f t="shared" si="368"/>
        <v>17.077000000000002</v>
      </c>
      <c r="M277" s="12">
        <f t="shared" si="368"/>
        <v>16.641999999999999</v>
      </c>
      <c r="N277" s="12">
        <f t="shared" si="368"/>
        <v>25.091000000000001</v>
      </c>
      <c r="O277" s="12">
        <f t="shared" si="368"/>
        <v>25.091000000000001</v>
      </c>
      <c r="P277" s="12">
        <f t="shared" si="368"/>
        <v>25.091000000000001</v>
      </c>
      <c r="Q277" s="12">
        <f t="shared" si="368"/>
        <v>25.091000000000001</v>
      </c>
      <c r="R277" s="90"/>
      <c r="S277" s="12"/>
      <c r="T277" s="12"/>
      <c r="U277" s="65"/>
      <c r="V277" s="109">
        <f>10.551+15</f>
        <v>25.551000000000002</v>
      </c>
      <c r="W277" s="109">
        <f>V277</f>
        <v>25.551000000000002</v>
      </c>
      <c r="X277" s="109">
        <f>W277</f>
        <v>25.551000000000002</v>
      </c>
      <c r="Y277" s="109">
        <f>11.054+15</f>
        <v>26.054000000000002</v>
      </c>
      <c r="Z277" s="109">
        <f>12.858+15</f>
        <v>27.858000000000001</v>
      </c>
      <c r="AA277" s="109">
        <v>13.138999999999999</v>
      </c>
      <c r="AB277" s="109">
        <v>13.42</v>
      </c>
      <c r="AC277" s="109">
        <v>13.702</v>
      </c>
      <c r="AD277" s="109">
        <v>10.176</v>
      </c>
      <c r="AE277" s="109">
        <v>10.323</v>
      </c>
      <c r="AF277" s="109">
        <v>10.531000000000001</v>
      </c>
      <c r="AG277" s="109">
        <v>12.433999999999999</v>
      </c>
      <c r="AH277" s="109">
        <v>13.951000000000001</v>
      </c>
      <c r="AI277" s="109">
        <v>14.445</v>
      </c>
      <c r="AJ277" s="109">
        <f>14.913</f>
        <v>14.913</v>
      </c>
      <c r="AK277" s="109">
        <v>15.417</v>
      </c>
      <c r="AL277" s="109">
        <v>16.094000000000001</v>
      </c>
      <c r="AM277" s="109">
        <v>16.472000000000001</v>
      </c>
      <c r="AN277" s="109">
        <v>17.725000000000001</v>
      </c>
      <c r="AO277" s="109">
        <v>18.114999999999998</v>
      </c>
      <c r="AP277" s="109">
        <v>17.077000000000002</v>
      </c>
      <c r="AQ277" s="109">
        <v>17.562999999999999</v>
      </c>
      <c r="AR277" s="109">
        <v>17.827999999999999</v>
      </c>
      <c r="AS277" s="109">
        <f>18.668+1.281</f>
        <v>19.948999999999998</v>
      </c>
      <c r="AT277" s="109">
        <f>0.717+15.925</f>
        <v>16.641999999999999</v>
      </c>
      <c r="AU277" s="109">
        <v>16.474</v>
      </c>
      <c r="AV277" s="109">
        <v>16.632999999999999</v>
      </c>
      <c r="AW277" s="109">
        <v>18.503</v>
      </c>
      <c r="AX277" s="109">
        <v>25.091000000000001</v>
      </c>
      <c r="AY277" s="59">
        <f>AX277</f>
        <v>25.091000000000001</v>
      </c>
      <c r="AZ277" s="59">
        <f>AY277</f>
        <v>25.091000000000001</v>
      </c>
      <c r="BA277" s="59">
        <f>AZ277</f>
        <v>25.091000000000001</v>
      </c>
      <c r="BB277" s="59">
        <f>BA277</f>
        <v>25.091000000000001</v>
      </c>
      <c r="BC277" s="59">
        <f t="shared" ref="BC277:BJ277" si="374">BB277</f>
        <v>25.091000000000001</v>
      </c>
      <c r="BD277" s="59">
        <f t="shared" si="374"/>
        <v>25.091000000000001</v>
      </c>
      <c r="BE277" s="59">
        <f t="shared" si="374"/>
        <v>25.091000000000001</v>
      </c>
      <c r="BF277" s="59">
        <f t="shared" si="374"/>
        <v>25.091000000000001</v>
      </c>
      <c r="BG277" s="59">
        <f t="shared" si="374"/>
        <v>25.091000000000001</v>
      </c>
      <c r="BH277" s="59">
        <f t="shared" si="374"/>
        <v>25.091000000000001</v>
      </c>
      <c r="BI277" s="59">
        <f t="shared" si="374"/>
        <v>25.091000000000001</v>
      </c>
      <c r="BJ277" s="59">
        <f t="shared" si="374"/>
        <v>25.091000000000001</v>
      </c>
      <c r="BK277" s="1"/>
      <c r="BL277" s="12"/>
      <c r="BM277" s="23">
        <f t="shared" si="353"/>
        <v>271</v>
      </c>
    </row>
    <row r="278" spans="1:71" ht="12.75" customHeight="1" outlineLevel="1">
      <c r="A278" s="118"/>
      <c r="B278" s="6" t="s">
        <v>0</v>
      </c>
      <c r="C278" s="12"/>
      <c r="D278" s="12"/>
      <c r="E278" s="12"/>
      <c r="F278" s="12"/>
      <c r="G278" s="36">
        <f t="shared" ref="G278:N278" si="375">SUM(G272:G277)</f>
        <v>410.96999999999997</v>
      </c>
      <c r="H278" s="36">
        <f t="shared" si="375"/>
        <v>483.86200000000002</v>
      </c>
      <c r="I278" s="36">
        <f t="shared" si="375"/>
        <v>455.11599999999999</v>
      </c>
      <c r="J278" s="36">
        <f t="shared" si="375"/>
        <v>554.16700000000003</v>
      </c>
      <c r="K278" s="36">
        <f t="shared" si="375"/>
        <v>834.3370000000001</v>
      </c>
      <c r="L278" s="36">
        <f t="shared" si="375"/>
        <v>724.45200000000011</v>
      </c>
      <c r="M278" s="36">
        <f t="shared" si="375"/>
        <v>799.93000000000006</v>
      </c>
      <c r="N278" s="36">
        <f t="shared" si="375"/>
        <v>910.77699999999993</v>
      </c>
      <c r="O278" s="36">
        <f>SUM(O272:O277)</f>
        <v>1763.3686128712648</v>
      </c>
      <c r="P278" s="36">
        <f>SUM(P272:P277)</f>
        <v>1757.6273870969808</v>
      </c>
      <c r="Q278" s="36">
        <f>SUM(Q272:Q277)</f>
        <v>1762.3183390814543</v>
      </c>
      <c r="R278" s="90"/>
      <c r="S278" s="12"/>
      <c r="T278" s="12"/>
      <c r="U278" s="65"/>
      <c r="V278" s="36">
        <f>SUM(V272:V277)</f>
        <v>410.96999999999997</v>
      </c>
      <c r="W278" s="66">
        <f>SUM(W272:W277)</f>
        <v>402.83799999999997</v>
      </c>
      <c r="X278" s="66">
        <f>SUM(X272:X277)</f>
        <v>412.488</v>
      </c>
      <c r="Y278" s="36">
        <f>SUM(Y272:Y277)</f>
        <v>425.05200000000002</v>
      </c>
      <c r="Z278" s="36">
        <f>SUM(Z272:Z277)</f>
        <v>483.86200000000002</v>
      </c>
      <c r="AA278" s="36">
        <f t="shared" ref="AA278:AI278" si="376">SUM(AA272:AA277)</f>
        <v>443.63800000000003</v>
      </c>
      <c r="AB278" s="36">
        <f t="shared" si="376"/>
        <v>459.197</v>
      </c>
      <c r="AC278" s="36">
        <f t="shared" si="376"/>
        <v>459.00099999999998</v>
      </c>
      <c r="AD278" s="36">
        <f t="shared" si="376"/>
        <v>455.11599999999999</v>
      </c>
      <c r="AE278" s="36">
        <f t="shared" si="376"/>
        <v>443.10599999999999</v>
      </c>
      <c r="AF278" s="36">
        <f t="shared" si="376"/>
        <v>438.44200000000001</v>
      </c>
      <c r="AG278" s="36">
        <f t="shared" si="376"/>
        <v>560.85899999999992</v>
      </c>
      <c r="AH278" s="36">
        <f t="shared" si="376"/>
        <v>554.16700000000003</v>
      </c>
      <c r="AI278" s="36">
        <f t="shared" si="376"/>
        <v>556.529</v>
      </c>
      <c r="AJ278" s="36">
        <f>SUM(AJ272:AJ277)</f>
        <v>569.37700000000007</v>
      </c>
      <c r="AK278" s="36">
        <f t="shared" ref="AK278:AP278" si="377">SUM(AK272:AK277)</f>
        <v>675.94600000000003</v>
      </c>
      <c r="AL278" s="36">
        <f t="shared" si="377"/>
        <v>834.3370000000001</v>
      </c>
      <c r="AM278" s="36">
        <f t="shared" si="377"/>
        <v>795.30499999999995</v>
      </c>
      <c r="AN278" s="36">
        <f t="shared" si="377"/>
        <v>770.67100000000005</v>
      </c>
      <c r="AO278" s="36">
        <f t="shared" si="377"/>
        <v>758.92600000000016</v>
      </c>
      <c r="AP278" s="36">
        <f t="shared" si="377"/>
        <v>724.45200000000011</v>
      </c>
      <c r="AQ278" s="36">
        <f t="shared" ref="AQ278:AX278" si="378">SUM(AQ272:AQ277)</f>
        <v>713.30700000000002</v>
      </c>
      <c r="AR278" s="36">
        <f t="shared" si="378"/>
        <v>707.80700000000002</v>
      </c>
      <c r="AS278" s="36">
        <f t="shared" si="378"/>
        <v>810.03800000000001</v>
      </c>
      <c r="AT278" s="36">
        <f t="shared" si="378"/>
        <v>799.93000000000006</v>
      </c>
      <c r="AU278" s="36">
        <f t="shared" si="378"/>
        <v>813.34400000000016</v>
      </c>
      <c r="AV278" s="36">
        <f t="shared" si="378"/>
        <v>871.96299999999997</v>
      </c>
      <c r="AW278" s="36">
        <f t="shared" si="378"/>
        <v>938.1110000000001</v>
      </c>
      <c r="AX278" s="36">
        <f t="shared" si="378"/>
        <v>910.77699999999993</v>
      </c>
      <c r="AY278" s="61">
        <f>SUM(AY272:AY277)</f>
        <v>910.70639280245121</v>
      </c>
      <c r="AZ278" s="61">
        <f>SUM(AZ272:AZ277)</f>
        <v>1709.0172603802173</v>
      </c>
      <c r="BA278" s="61">
        <f>SUM(BA272:BA277)</f>
        <v>1757.5618221630989</v>
      </c>
      <c r="BB278" s="61">
        <f>SUM(BB272:BB277)</f>
        <v>1763.3686128712648</v>
      </c>
      <c r="BC278" s="61">
        <f t="shared" ref="BC278:BJ278" si="379">SUM(BC272:BC277)</f>
        <v>1763.0809525346187</v>
      </c>
      <c r="BD278" s="61">
        <f t="shared" si="379"/>
        <v>1761.5367157916517</v>
      </c>
      <c r="BE278" s="61">
        <f t="shared" si="379"/>
        <v>1760.7789945990785</v>
      </c>
      <c r="BF278" s="61">
        <f t="shared" si="379"/>
        <v>1757.6273870969808</v>
      </c>
      <c r="BG278" s="61">
        <f t="shared" si="379"/>
        <v>1760.405798541778</v>
      </c>
      <c r="BH278" s="61">
        <f t="shared" si="379"/>
        <v>1762.5960681590614</v>
      </c>
      <c r="BI278" s="61">
        <f t="shared" si="379"/>
        <v>1763.6953510910676</v>
      </c>
      <c r="BJ278" s="61">
        <f t="shared" si="379"/>
        <v>1762.3183390814543</v>
      </c>
      <c r="BK278" s="1"/>
      <c r="BL278" s="12"/>
      <c r="BM278" s="23">
        <f t="shared" si="353"/>
        <v>272</v>
      </c>
    </row>
    <row r="279" spans="1:71" s="154" customFormat="1" ht="12.75" hidden="1" customHeight="1" outlineLevel="3">
      <c r="A279" s="152"/>
      <c r="B279" s="260" t="s">
        <v>82</v>
      </c>
      <c r="C279" s="153"/>
      <c r="D279" s="153"/>
      <c r="E279" s="153"/>
      <c r="F279" s="153"/>
      <c r="G279" s="153">
        <f t="shared" ref="G279:J282" si="380">INDEX($S279:$AH279,G$6)</f>
        <v>0.5</v>
      </c>
      <c r="H279" s="153">
        <f t="shared" si="380"/>
        <v>0.5</v>
      </c>
      <c r="I279" s="153">
        <f t="shared" si="380"/>
        <v>0.52900000000000003</v>
      </c>
      <c r="J279" s="153">
        <f t="shared" si="380"/>
        <v>0.53400000000000003</v>
      </c>
      <c r="K279" s="153">
        <f t="shared" ref="K279:Q282" si="381">INDEX($S279:$BK279,K$6)</f>
        <v>0.53900000000000003</v>
      </c>
      <c r="L279" s="153">
        <f t="shared" si="381"/>
        <v>0.53900000000000003</v>
      </c>
      <c r="M279" s="153">
        <f t="shared" si="381"/>
        <v>0.81100000000000005</v>
      </c>
      <c r="N279" s="153">
        <f t="shared" si="381"/>
        <v>0.81200000000000006</v>
      </c>
      <c r="O279" s="153">
        <f t="shared" si="381"/>
        <v>0.81200000000000006</v>
      </c>
      <c r="P279" s="153">
        <f t="shared" si="381"/>
        <v>0.81200000000000006</v>
      </c>
      <c r="Q279" s="153">
        <f t="shared" si="381"/>
        <v>0.81200000000000006</v>
      </c>
      <c r="R279" s="314"/>
      <c r="S279" s="153"/>
      <c r="T279" s="153"/>
      <c r="U279" s="153"/>
      <c r="V279" s="153">
        <v>0.5</v>
      </c>
      <c r="W279" s="153">
        <f t="shared" ref="W279:X284" si="382">V279</f>
        <v>0.5</v>
      </c>
      <c r="X279" s="153">
        <f t="shared" si="382"/>
        <v>0.5</v>
      </c>
      <c r="Y279" s="153">
        <v>0.5</v>
      </c>
      <c r="Z279" s="153">
        <v>0.5</v>
      </c>
      <c r="AA279" s="153">
        <v>0.52900000000000003</v>
      </c>
      <c r="AB279" s="153">
        <v>0.52900000000000003</v>
      </c>
      <c r="AC279" s="153">
        <v>0.52900000000000003</v>
      </c>
      <c r="AD279" s="153">
        <v>0.52900000000000003</v>
      </c>
      <c r="AE279" s="153">
        <v>0.52900000000000003</v>
      </c>
      <c r="AF279" s="153">
        <v>0.53</v>
      </c>
      <c r="AG279" s="153">
        <v>0.53300000000000003</v>
      </c>
      <c r="AH279" s="153">
        <v>0.53400000000000003</v>
      </c>
      <c r="AI279" s="153">
        <v>0.53600000000000003</v>
      </c>
      <c r="AJ279" s="153">
        <v>0.53800000000000003</v>
      </c>
      <c r="AK279" s="153">
        <f>AJ279</f>
        <v>0.53800000000000003</v>
      </c>
      <c r="AL279" s="153">
        <v>0.53900000000000003</v>
      </c>
      <c r="AM279" s="153">
        <v>0.54</v>
      </c>
      <c r="AN279" s="153">
        <v>0.53900000000000003</v>
      </c>
      <c r="AO279" s="153">
        <v>0.53900000000000003</v>
      </c>
      <c r="AP279" s="153">
        <v>0.53900000000000003</v>
      </c>
      <c r="AQ279" s="153">
        <v>0.63900000000000001</v>
      </c>
      <c r="AR279" s="153">
        <v>0.63900000000000001</v>
      </c>
      <c r="AS279" s="153">
        <v>0.70799999999999996</v>
      </c>
      <c r="AT279" s="153">
        <v>0.81100000000000005</v>
      </c>
      <c r="AU279" s="153">
        <v>0.81200000000000006</v>
      </c>
      <c r="AV279" s="153">
        <v>0.81200000000000006</v>
      </c>
      <c r="AW279" s="153">
        <f t="shared" ref="AW279:BB279" si="383">AV279</f>
        <v>0.81200000000000006</v>
      </c>
      <c r="AX279" s="153">
        <v>0.81200000000000006</v>
      </c>
      <c r="AY279" s="155">
        <f t="shared" si="383"/>
        <v>0.81200000000000006</v>
      </c>
      <c r="AZ279" s="155">
        <f t="shared" si="383"/>
        <v>0.81200000000000006</v>
      </c>
      <c r="BA279" s="155">
        <f t="shared" si="383"/>
        <v>0.81200000000000006</v>
      </c>
      <c r="BB279" s="155">
        <f t="shared" si="383"/>
        <v>0.81200000000000006</v>
      </c>
      <c r="BC279" s="155">
        <f t="shared" ref="BC279:BJ279" si="384">BB279</f>
        <v>0.81200000000000006</v>
      </c>
      <c r="BD279" s="155">
        <f t="shared" si="384"/>
        <v>0.81200000000000006</v>
      </c>
      <c r="BE279" s="155">
        <f t="shared" si="384"/>
        <v>0.81200000000000006</v>
      </c>
      <c r="BF279" s="155">
        <f t="shared" si="384"/>
        <v>0.81200000000000006</v>
      </c>
      <c r="BG279" s="155">
        <f t="shared" si="384"/>
        <v>0.81200000000000006</v>
      </c>
      <c r="BH279" s="155">
        <f t="shared" si="384"/>
        <v>0.81200000000000006</v>
      </c>
      <c r="BI279" s="155">
        <f t="shared" si="384"/>
        <v>0.81200000000000006</v>
      </c>
      <c r="BJ279" s="155">
        <f t="shared" si="384"/>
        <v>0.81200000000000006</v>
      </c>
      <c r="BK279" s="107"/>
      <c r="BL279" s="153"/>
      <c r="BM279" s="23">
        <f t="shared" si="353"/>
        <v>273</v>
      </c>
      <c r="BN279"/>
      <c r="BO279"/>
      <c r="BP279"/>
      <c r="BQ279"/>
      <c r="BR279"/>
      <c r="BS279"/>
    </row>
    <row r="280" spans="1:71" s="154" customFormat="1" ht="12.75" hidden="1" customHeight="1" outlineLevel="3">
      <c r="A280" s="152"/>
      <c r="B280" s="260" t="s">
        <v>83</v>
      </c>
      <c r="C280" s="153"/>
      <c r="D280" s="153"/>
      <c r="E280" s="153"/>
      <c r="F280" s="153"/>
      <c r="G280" s="153">
        <f t="shared" si="380"/>
        <v>102.51900000000001</v>
      </c>
      <c r="H280" s="153">
        <f t="shared" si="380"/>
        <v>103.75700000000001</v>
      </c>
      <c r="I280" s="153">
        <f t="shared" si="380"/>
        <v>163.57900000000001</v>
      </c>
      <c r="J280" s="153">
        <f t="shared" si="380"/>
        <v>174.79900000000001</v>
      </c>
      <c r="K280" s="153">
        <f t="shared" si="381"/>
        <v>191.08600000000001</v>
      </c>
      <c r="L280" s="153">
        <f t="shared" si="381"/>
        <v>194.67</v>
      </c>
      <c r="M280" s="153">
        <f t="shared" si="381"/>
        <v>1129.0509999999999</v>
      </c>
      <c r="N280" s="153">
        <f t="shared" si="381"/>
        <v>1147.0840000000001</v>
      </c>
      <c r="O280" s="153">
        <f t="shared" si="381"/>
        <v>1173.204</v>
      </c>
      <c r="P280" s="153">
        <f t="shared" si="381"/>
        <v>1199.3239999999998</v>
      </c>
      <c r="Q280" s="153">
        <f t="shared" si="381"/>
        <v>1225.4439999999997</v>
      </c>
      <c r="R280" s="314"/>
      <c r="S280" s="153"/>
      <c r="T280" s="153"/>
      <c r="U280" s="153">
        <v>99.012</v>
      </c>
      <c r="V280" s="153">
        <v>102.51900000000001</v>
      </c>
      <c r="W280" s="153">
        <f t="shared" si="382"/>
        <v>102.51900000000001</v>
      </c>
      <c r="X280" s="153">
        <f t="shared" si="382"/>
        <v>102.51900000000001</v>
      </c>
      <c r="Y280" s="153">
        <v>103.20099999999999</v>
      </c>
      <c r="Z280" s="153">
        <v>103.75700000000001</v>
      </c>
      <c r="AA280" s="153">
        <v>162.1</v>
      </c>
      <c r="AB280" s="153">
        <v>162.08500000000001</v>
      </c>
      <c r="AC280" s="153">
        <v>162.911</v>
      </c>
      <c r="AD280" s="153">
        <v>163.57900000000001</v>
      </c>
      <c r="AE280" s="153">
        <v>164.535</v>
      </c>
      <c r="AF280" s="153">
        <v>166.19499999999999</v>
      </c>
      <c r="AG280" s="153">
        <v>172.024</v>
      </c>
      <c r="AH280" s="153">
        <v>174.79900000000001</v>
      </c>
      <c r="AI280" s="153">
        <v>180.34</v>
      </c>
      <c r="AJ280" s="153">
        <v>185.155</v>
      </c>
      <c r="AK280" s="155">
        <f>188.174</f>
        <v>188.17400000000001</v>
      </c>
      <c r="AL280" s="155">
        <f>191.086</f>
        <v>191.08600000000001</v>
      </c>
      <c r="AM280" s="155">
        <f>193.14</f>
        <v>193.14</v>
      </c>
      <c r="AN280" s="155">
        <f>191.042</f>
        <v>191.042</v>
      </c>
      <c r="AO280" s="155">
        <f>192.915</f>
        <v>192.91499999999999</v>
      </c>
      <c r="AP280" s="155">
        <f>194.67</f>
        <v>194.67</v>
      </c>
      <c r="AQ280" s="155">
        <f>379.336</f>
        <v>379.33600000000001</v>
      </c>
      <c r="AR280" s="155">
        <f>381.349</f>
        <v>381.34899999999999</v>
      </c>
      <c r="AS280" s="155">
        <f>660.448</f>
        <v>660.44799999999998</v>
      </c>
      <c r="AT280" s="155">
        <f>1129.051</f>
        <v>1129.0509999999999</v>
      </c>
      <c r="AU280" s="155">
        <f>1131.253</f>
        <v>1131.2529999999999</v>
      </c>
      <c r="AV280" s="155">
        <f>1134.245</f>
        <v>1134.2449999999999</v>
      </c>
      <c r="AW280" s="155">
        <v>1140.5540000000001</v>
      </c>
      <c r="AX280" s="155">
        <v>1147.0840000000001</v>
      </c>
      <c r="AY280" s="153">
        <f>AX280+AY241+AY226</f>
        <v>1153.614</v>
      </c>
      <c r="AZ280" s="153">
        <f t="shared" ref="AZ280:BJ280" si="385">AY280+AZ241+AZ226</f>
        <v>1160.144</v>
      </c>
      <c r="BA280" s="153">
        <f t="shared" si="385"/>
        <v>1166.674</v>
      </c>
      <c r="BB280" s="153">
        <f t="shared" si="385"/>
        <v>1173.204</v>
      </c>
      <c r="BC280" s="153">
        <f t="shared" si="385"/>
        <v>1179.7339999999999</v>
      </c>
      <c r="BD280" s="153">
        <f t="shared" si="385"/>
        <v>1186.2639999999999</v>
      </c>
      <c r="BE280" s="153">
        <f t="shared" si="385"/>
        <v>1192.7939999999999</v>
      </c>
      <c r="BF280" s="153">
        <f t="shared" si="385"/>
        <v>1199.3239999999998</v>
      </c>
      <c r="BG280" s="153">
        <f t="shared" si="385"/>
        <v>1205.8539999999998</v>
      </c>
      <c r="BH280" s="153">
        <f t="shared" si="385"/>
        <v>1212.3839999999998</v>
      </c>
      <c r="BI280" s="153">
        <f t="shared" si="385"/>
        <v>1218.9139999999998</v>
      </c>
      <c r="BJ280" s="153">
        <f t="shared" si="385"/>
        <v>1225.4439999999997</v>
      </c>
      <c r="BK280" s="107"/>
      <c r="BL280" s="153"/>
      <c r="BM280" s="23">
        <f t="shared" si="353"/>
        <v>274</v>
      </c>
      <c r="BN280"/>
      <c r="BO280"/>
      <c r="BP280"/>
      <c r="BQ280"/>
      <c r="BR280"/>
      <c r="BS280"/>
    </row>
    <row r="281" spans="1:71" s="154" customFormat="1" ht="12.75" hidden="1" customHeight="1" outlineLevel="3">
      <c r="A281" s="152"/>
      <c r="B281" s="260" t="s">
        <v>84</v>
      </c>
      <c r="C281" s="153"/>
      <c r="D281" s="153"/>
      <c r="E281" s="153"/>
      <c r="F281" s="153"/>
      <c r="G281" s="153">
        <f t="shared" si="380"/>
        <v>-0.215</v>
      </c>
      <c r="H281" s="153">
        <f t="shared" si="380"/>
        <v>30.038</v>
      </c>
      <c r="I281" s="153">
        <f t="shared" si="380"/>
        <v>82.730999999999995</v>
      </c>
      <c r="J281" s="153">
        <f t="shared" si="380"/>
        <v>137.97800000000001</v>
      </c>
      <c r="K281" s="153">
        <f t="shared" si="381"/>
        <v>232.55099999999999</v>
      </c>
      <c r="L281" s="153">
        <f t="shared" si="381"/>
        <v>220.97399999999999</v>
      </c>
      <c r="M281" s="153">
        <f t="shared" si="381"/>
        <v>163.173</v>
      </c>
      <c r="N281" s="153">
        <f t="shared" si="381"/>
        <v>287.99200000000002</v>
      </c>
      <c r="O281" s="153">
        <f t="shared" si="381"/>
        <v>501.67459803123813</v>
      </c>
      <c r="P281" s="153">
        <f t="shared" si="381"/>
        <v>765.79882047541901</v>
      </c>
      <c r="Q281" s="153">
        <f t="shared" si="381"/>
        <v>1016.1788914270214</v>
      </c>
      <c r="R281" s="314"/>
      <c r="S281" s="153"/>
      <c r="T281" s="153"/>
      <c r="U281" s="153"/>
      <c r="V281" s="153">
        <v>-0.215</v>
      </c>
      <c r="W281" s="153">
        <f t="shared" si="382"/>
        <v>-0.215</v>
      </c>
      <c r="X281" s="153">
        <f t="shared" si="382"/>
        <v>-0.215</v>
      </c>
      <c r="Y281" s="153">
        <v>19.992999999999999</v>
      </c>
      <c r="Z281" s="153">
        <v>30.038</v>
      </c>
      <c r="AA281" s="153">
        <v>49.151000000000003</v>
      </c>
      <c r="AB281" s="153">
        <v>68.602000000000004</v>
      </c>
      <c r="AC281" s="153">
        <v>87.397999999999996</v>
      </c>
      <c r="AD281" s="153">
        <v>82.730999999999995</v>
      </c>
      <c r="AE281" s="153">
        <v>100.008</v>
      </c>
      <c r="AF281" s="153">
        <v>113.566</v>
      </c>
      <c r="AG281" s="153">
        <v>128.21899999999999</v>
      </c>
      <c r="AH281" s="153">
        <v>137.97800000000001</v>
      </c>
      <c r="AI281" s="153">
        <v>149.63</v>
      </c>
      <c r="AJ281" s="153">
        <v>171.54</v>
      </c>
      <c r="AK281" s="153">
        <v>206.066</v>
      </c>
      <c r="AL281" s="153">
        <v>232.55099999999999</v>
      </c>
      <c r="AM281" s="153">
        <v>240.68299999999999</v>
      </c>
      <c r="AN281" s="153">
        <v>243.934</v>
      </c>
      <c r="AO281" s="153">
        <v>239.655</v>
      </c>
      <c r="AP281" s="153">
        <v>220.97399999999999</v>
      </c>
      <c r="AQ281" s="153">
        <v>207.04</v>
      </c>
      <c r="AR281" s="153">
        <v>190.964</v>
      </c>
      <c r="AS281" s="153">
        <v>175.21</v>
      </c>
      <c r="AT281" s="153">
        <v>163.173</v>
      </c>
      <c r="AU281" s="153">
        <v>160.6</v>
      </c>
      <c r="AV281" s="153">
        <v>184.959</v>
      </c>
      <c r="AW281" s="153">
        <v>221.13200000000001</v>
      </c>
      <c r="AX281" s="153">
        <v>287.99200000000002</v>
      </c>
      <c r="AY281" s="153">
        <f t="shared" ref="AY281:BJ281" si="386">AX281+AY221+AY240</f>
        <v>310.75789291450002</v>
      </c>
      <c r="AZ281" s="153">
        <f t="shared" si="386"/>
        <v>360.01679128298917</v>
      </c>
      <c r="BA281" s="153">
        <f t="shared" si="386"/>
        <v>427.53664086629755</v>
      </c>
      <c r="BB281" s="153">
        <f t="shared" si="386"/>
        <v>501.67459803123813</v>
      </c>
      <c r="BC281" s="153">
        <f t="shared" si="386"/>
        <v>571.52546423357705</v>
      </c>
      <c r="BD281" s="153">
        <f t="shared" si="386"/>
        <v>639.47141049010202</v>
      </c>
      <c r="BE281" s="153">
        <f t="shared" si="386"/>
        <v>705.17576188298221</v>
      </c>
      <c r="BF281" s="153">
        <f t="shared" si="386"/>
        <v>765.79882047541901</v>
      </c>
      <c r="BG281" s="153">
        <f t="shared" si="386"/>
        <v>826.39733694930624</v>
      </c>
      <c r="BH281" s="153">
        <f t="shared" si="386"/>
        <v>890.31925424221845</v>
      </c>
      <c r="BI281" s="153">
        <f t="shared" si="386"/>
        <v>954.58061438299421</v>
      </c>
      <c r="BJ281" s="153">
        <f t="shared" si="386"/>
        <v>1016.1788914270214</v>
      </c>
      <c r="BK281" s="107"/>
      <c r="BL281" s="153"/>
      <c r="BM281" s="23">
        <f t="shared" si="353"/>
        <v>275</v>
      </c>
      <c r="BN281"/>
      <c r="BO281"/>
      <c r="BP281"/>
      <c r="BQ281"/>
      <c r="BR281"/>
      <c r="BS281"/>
    </row>
    <row r="282" spans="1:71" s="154" customFormat="1" ht="12.75" hidden="1" customHeight="1" outlineLevel="3">
      <c r="A282" s="152"/>
      <c r="B282" s="260" t="s">
        <v>442</v>
      </c>
      <c r="C282" s="153"/>
      <c r="D282" s="153"/>
      <c r="E282" s="153"/>
      <c r="F282" s="153"/>
      <c r="G282" s="153"/>
      <c r="H282" s="153"/>
      <c r="I282" s="153"/>
      <c r="J282" s="153">
        <f t="shared" si="380"/>
        <v>0</v>
      </c>
      <c r="K282" s="153">
        <f t="shared" si="381"/>
        <v>-0.54200000000000004</v>
      </c>
      <c r="L282" s="153">
        <f t="shared" si="381"/>
        <v>-15.845000000000001</v>
      </c>
      <c r="M282" s="153">
        <f t="shared" si="381"/>
        <v>-3.8690000000000002</v>
      </c>
      <c r="N282" s="153">
        <f t="shared" si="381"/>
        <v>-25.456</v>
      </c>
      <c r="O282" s="153">
        <f t="shared" si="381"/>
        <v>-25.456</v>
      </c>
      <c r="P282" s="153">
        <f t="shared" si="381"/>
        <v>-25.456</v>
      </c>
      <c r="Q282" s="153">
        <f t="shared" si="381"/>
        <v>-25.456</v>
      </c>
      <c r="R282" s="314"/>
      <c r="S282" s="153"/>
      <c r="T282" s="153"/>
      <c r="U282" s="153"/>
      <c r="V282" s="153">
        <v>0</v>
      </c>
      <c r="W282" s="153">
        <v>0</v>
      </c>
      <c r="X282" s="153">
        <v>0</v>
      </c>
      <c r="Y282" s="153">
        <v>0</v>
      </c>
      <c r="Z282" s="153">
        <v>0</v>
      </c>
      <c r="AA282" s="153">
        <v>0</v>
      </c>
      <c r="AB282" s="153">
        <v>0</v>
      </c>
      <c r="AC282" s="153">
        <v>0</v>
      </c>
      <c r="AD282" s="153">
        <v>0</v>
      </c>
      <c r="AE282" s="153">
        <v>0</v>
      </c>
      <c r="AF282" s="153">
        <v>0</v>
      </c>
      <c r="AG282" s="153">
        <v>0</v>
      </c>
      <c r="AH282" s="153">
        <v>0</v>
      </c>
      <c r="AI282" s="153">
        <v>0</v>
      </c>
      <c r="AJ282" s="153">
        <v>0</v>
      </c>
      <c r="AK282" s="155">
        <v>-3.7999999999999999E-2</v>
      </c>
      <c r="AL282" s="155">
        <v>-0.54200000000000004</v>
      </c>
      <c r="AM282" s="155">
        <v>-16.155999999999999</v>
      </c>
      <c r="AN282" s="155">
        <v>-15.936999999999999</v>
      </c>
      <c r="AO282" s="155">
        <v>-19.481999999999999</v>
      </c>
      <c r="AP282" s="155">
        <v>-15.845000000000001</v>
      </c>
      <c r="AQ282" s="155">
        <v>-13.323</v>
      </c>
      <c r="AR282" s="155">
        <v>-10.85</v>
      </c>
      <c r="AS282" s="155">
        <v>-5.1050000000000004</v>
      </c>
      <c r="AT282" s="155">
        <v>-3.8690000000000002</v>
      </c>
      <c r="AU282" s="155">
        <v>-3.4220000000000002</v>
      </c>
      <c r="AV282" s="155">
        <v>-0.49099999999999999</v>
      </c>
      <c r="AW282" s="155">
        <v>0</v>
      </c>
      <c r="AX282" s="155">
        <v>-25.456</v>
      </c>
      <c r="AY282" s="153">
        <f>AX282+AY242</f>
        <v>-25.456</v>
      </c>
      <c r="AZ282" s="153">
        <f t="shared" ref="AZ282:BJ282" si="387">AY282+AZ242</f>
        <v>-25.456</v>
      </c>
      <c r="BA282" s="153">
        <f t="shared" si="387"/>
        <v>-25.456</v>
      </c>
      <c r="BB282" s="153">
        <f t="shared" si="387"/>
        <v>-25.456</v>
      </c>
      <c r="BC282" s="153">
        <f t="shared" si="387"/>
        <v>-25.456</v>
      </c>
      <c r="BD282" s="153">
        <f t="shared" si="387"/>
        <v>-25.456</v>
      </c>
      <c r="BE282" s="153">
        <f t="shared" si="387"/>
        <v>-25.456</v>
      </c>
      <c r="BF282" s="153">
        <f t="shared" si="387"/>
        <v>-25.456</v>
      </c>
      <c r="BG282" s="153">
        <f t="shared" si="387"/>
        <v>-25.456</v>
      </c>
      <c r="BH282" s="153">
        <f t="shared" si="387"/>
        <v>-25.456</v>
      </c>
      <c r="BI282" s="153">
        <f t="shared" si="387"/>
        <v>-25.456</v>
      </c>
      <c r="BJ282" s="153">
        <f t="shared" si="387"/>
        <v>-25.456</v>
      </c>
      <c r="BK282" s="107"/>
      <c r="BL282" s="153"/>
      <c r="BM282" s="23">
        <f t="shared" si="353"/>
        <v>276</v>
      </c>
      <c r="BN282"/>
      <c r="BO282"/>
      <c r="BP282"/>
      <c r="BQ282"/>
      <c r="BR282"/>
      <c r="BS282"/>
    </row>
    <row r="283" spans="1:71" s="154" customFormat="1" ht="12.75" hidden="1" customHeight="1" outlineLevel="3">
      <c r="A283" s="152"/>
      <c r="B283" s="260" t="s">
        <v>85</v>
      </c>
      <c r="C283" s="153"/>
      <c r="D283" s="153"/>
      <c r="E283" s="153"/>
      <c r="F283" s="153"/>
      <c r="G283" s="153">
        <f t="shared" ref="G283:J284" si="388">INDEX($S283:$AH283,G$6)</f>
        <v>-5.24</v>
      </c>
      <c r="H283" s="153">
        <f t="shared" si="388"/>
        <v>-12.361000000000001</v>
      </c>
      <c r="I283" s="153">
        <f t="shared" si="388"/>
        <v>-15.145000000000001</v>
      </c>
      <c r="J283" s="153">
        <f t="shared" si="388"/>
        <v>-4.0170000000000003</v>
      </c>
      <c r="K283" s="153">
        <f t="shared" ref="K283:Q284" si="389">INDEX($S283:$BK283,K$6)</f>
        <v>-19.818000000000001</v>
      </c>
      <c r="L283" s="153">
        <f t="shared" si="389"/>
        <v>-16.170999999999999</v>
      </c>
      <c r="M283" s="153">
        <f t="shared" si="389"/>
        <v>-15.875999999999999</v>
      </c>
      <c r="N283" s="153">
        <f t="shared" si="389"/>
        <v>-13.926</v>
      </c>
      <c r="O283" s="153">
        <f t="shared" si="389"/>
        <v>-13.926</v>
      </c>
      <c r="P283" s="153">
        <f t="shared" si="389"/>
        <v>-13.926</v>
      </c>
      <c r="Q283" s="153">
        <f t="shared" si="389"/>
        <v>-13.926</v>
      </c>
      <c r="R283" s="314"/>
      <c r="S283" s="153"/>
      <c r="T283" s="153"/>
      <c r="U283" s="153"/>
      <c r="V283" s="153">
        <v>-5.24</v>
      </c>
      <c r="W283" s="153">
        <f t="shared" si="382"/>
        <v>-5.24</v>
      </c>
      <c r="X283" s="153">
        <f t="shared" si="382"/>
        <v>-5.24</v>
      </c>
      <c r="Y283" s="153">
        <v>-5.242</v>
      </c>
      <c r="Z283" s="153">
        <v>-12.361000000000001</v>
      </c>
      <c r="AA283" s="153">
        <v>-12.368</v>
      </c>
      <c r="AB283" s="153">
        <f>-11.739-0.215</f>
        <v>-11.954000000000001</v>
      </c>
      <c r="AC283" s="153">
        <f>-11.6-1.05</f>
        <v>-12.65</v>
      </c>
      <c r="AD283" s="153">
        <f>-0.97-14.175</f>
        <v>-15.145000000000001</v>
      </c>
      <c r="AE283" s="153">
        <f>-13.753-0.364</f>
        <v>-14.117000000000001</v>
      </c>
      <c r="AF283" s="153">
        <v>-13.255000000000001</v>
      </c>
      <c r="AG283" s="153">
        <v>-13.13</v>
      </c>
      <c r="AH283" s="153">
        <v>-4.0170000000000003</v>
      </c>
      <c r="AI283" s="153">
        <v>-3.8580000000000001</v>
      </c>
      <c r="AJ283" s="153">
        <v>-3.7490000000000001</v>
      </c>
      <c r="AK283" s="153">
        <v>-3.597</v>
      </c>
      <c r="AL283" s="153">
        <v>-19.818000000000001</v>
      </c>
      <c r="AM283" s="153">
        <v>-20.158999999999999</v>
      </c>
      <c r="AN283" s="153">
        <v>-15.579000000000001</v>
      </c>
      <c r="AO283" s="153">
        <v>-15.96</v>
      </c>
      <c r="AP283" s="153">
        <v>-16.170999999999999</v>
      </c>
      <c r="AQ283" s="153">
        <v>-18.699000000000002</v>
      </c>
      <c r="AR283" s="153">
        <v>-20.756</v>
      </c>
      <c r="AS283" s="153">
        <v>-20.466000000000001</v>
      </c>
      <c r="AT283" s="153">
        <v>-15.875999999999999</v>
      </c>
      <c r="AU283" s="153">
        <f>-15.347</f>
        <v>-15.347</v>
      </c>
      <c r="AV283" s="153">
        <v>-17.317</v>
      </c>
      <c r="AW283" s="153">
        <v>-13.702999999999999</v>
      </c>
      <c r="AX283" s="153">
        <v>-13.926</v>
      </c>
      <c r="AY283" s="153">
        <f>AX283+AY245</f>
        <v>-13.926</v>
      </c>
      <c r="AZ283" s="153">
        <f t="shared" ref="AZ283:BJ283" si="390">AY283+AZ245</f>
        <v>-13.926</v>
      </c>
      <c r="BA283" s="153">
        <f t="shared" si="390"/>
        <v>-13.926</v>
      </c>
      <c r="BB283" s="153">
        <f t="shared" si="390"/>
        <v>-13.926</v>
      </c>
      <c r="BC283" s="153">
        <f t="shared" si="390"/>
        <v>-13.926</v>
      </c>
      <c r="BD283" s="153">
        <f t="shared" si="390"/>
        <v>-13.926</v>
      </c>
      <c r="BE283" s="153">
        <f t="shared" si="390"/>
        <v>-13.926</v>
      </c>
      <c r="BF283" s="153">
        <f t="shared" si="390"/>
        <v>-13.926</v>
      </c>
      <c r="BG283" s="153">
        <f t="shared" si="390"/>
        <v>-13.926</v>
      </c>
      <c r="BH283" s="153">
        <f t="shared" si="390"/>
        <v>-13.926</v>
      </c>
      <c r="BI283" s="153">
        <f t="shared" si="390"/>
        <v>-13.926</v>
      </c>
      <c r="BJ283" s="153">
        <f t="shared" si="390"/>
        <v>-13.926</v>
      </c>
      <c r="BK283" s="107"/>
      <c r="BL283" s="153"/>
      <c r="BM283" s="23">
        <f t="shared" si="353"/>
        <v>277</v>
      </c>
      <c r="BN283"/>
      <c r="BO283"/>
      <c r="BP283"/>
      <c r="BQ283"/>
      <c r="BR283"/>
      <c r="BS283"/>
    </row>
    <row r="284" spans="1:71" ht="12.75" customHeight="1" outlineLevel="1" collapsed="1">
      <c r="A284" s="118"/>
      <c r="B284" s="181" t="s">
        <v>86</v>
      </c>
      <c r="C284" s="12"/>
      <c r="D284" s="12"/>
      <c r="E284" s="12"/>
      <c r="F284" s="12"/>
      <c r="G284" s="12">
        <f t="shared" si="388"/>
        <v>97.564000000000007</v>
      </c>
      <c r="H284" s="12">
        <f t="shared" si="388"/>
        <v>121.93400000000001</v>
      </c>
      <c r="I284" s="12">
        <f t="shared" si="388"/>
        <v>231.69399999999999</v>
      </c>
      <c r="J284" s="12">
        <f t="shared" si="388"/>
        <v>309.29400000000004</v>
      </c>
      <c r="K284" s="12">
        <f t="shared" si="389"/>
        <v>403.81600000000003</v>
      </c>
      <c r="L284" s="12">
        <f t="shared" si="389"/>
        <v>384.16699999999997</v>
      </c>
      <c r="M284" s="12">
        <f t="shared" si="389"/>
        <v>1273.29</v>
      </c>
      <c r="N284" s="12">
        <f t="shared" si="389"/>
        <v>1396.5060000000001</v>
      </c>
      <c r="O284" s="12">
        <f t="shared" si="389"/>
        <v>1636.3085980312383</v>
      </c>
      <c r="P284" s="12">
        <f t="shared" si="389"/>
        <v>1926.5528204754189</v>
      </c>
      <c r="Q284" s="12">
        <f t="shared" si="389"/>
        <v>2203.0528914270212</v>
      </c>
      <c r="R284" s="90"/>
      <c r="S284" s="12"/>
      <c r="T284" s="12"/>
      <c r="U284" s="65"/>
      <c r="V284" s="12">
        <f>SUM(V279:V283)</f>
        <v>97.564000000000007</v>
      </c>
      <c r="W284" s="65">
        <f t="shared" si="382"/>
        <v>97.564000000000007</v>
      </c>
      <c r="X284" s="65">
        <f t="shared" si="382"/>
        <v>97.564000000000007</v>
      </c>
      <c r="Y284" s="12">
        <f>SUM(Y279:Y283)</f>
        <v>118.45199999999998</v>
      </c>
      <c r="Z284" s="12">
        <f>SUM(Z279:Z283)</f>
        <v>121.93400000000001</v>
      </c>
      <c r="AA284" s="12">
        <f>SUM(AA279:AA283)</f>
        <v>199.41200000000001</v>
      </c>
      <c r="AB284" s="12">
        <f t="shared" ref="AB284:AI284" si="391">SUM(AB279:AB283)</f>
        <v>219.262</v>
      </c>
      <c r="AC284" s="12">
        <f t="shared" si="391"/>
        <v>238.18799999999999</v>
      </c>
      <c r="AD284" s="12">
        <f t="shared" si="391"/>
        <v>231.69399999999999</v>
      </c>
      <c r="AE284" s="12">
        <f t="shared" si="391"/>
        <v>250.95500000000001</v>
      </c>
      <c r="AF284" s="12">
        <f t="shared" si="391"/>
        <v>267.036</v>
      </c>
      <c r="AG284" s="12">
        <f t="shared" si="391"/>
        <v>287.64599999999996</v>
      </c>
      <c r="AH284" s="12">
        <f t="shared" si="391"/>
        <v>309.29400000000004</v>
      </c>
      <c r="AI284" s="12">
        <f t="shared" si="391"/>
        <v>326.64799999999997</v>
      </c>
      <c r="AJ284" s="12">
        <f>SUM(AJ279:AJ283)</f>
        <v>353.48399999999998</v>
      </c>
      <c r="AK284" s="12">
        <f t="shared" ref="AK284:AP284" si="392">SUM(AK279:AK283)</f>
        <v>391.14300000000003</v>
      </c>
      <c r="AL284" s="12">
        <f t="shared" si="392"/>
        <v>403.81600000000003</v>
      </c>
      <c r="AM284" s="12">
        <f t="shared" si="392"/>
        <v>398.04799999999994</v>
      </c>
      <c r="AN284" s="12">
        <f t="shared" si="392"/>
        <v>403.99899999999997</v>
      </c>
      <c r="AO284" s="12">
        <f t="shared" si="392"/>
        <v>397.66699999999997</v>
      </c>
      <c r="AP284" s="12">
        <f t="shared" si="392"/>
        <v>384.16699999999997</v>
      </c>
      <c r="AQ284" s="12">
        <f t="shared" ref="AQ284:AX284" si="393">SUM(AQ279:AQ283)</f>
        <v>554.99300000000005</v>
      </c>
      <c r="AR284" s="12">
        <f t="shared" si="393"/>
        <v>541.346</v>
      </c>
      <c r="AS284" s="12">
        <f t="shared" si="393"/>
        <v>810.79499999999996</v>
      </c>
      <c r="AT284" s="12">
        <f t="shared" si="393"/>
        <v>1273.29</v>
      </c>
      <c r="AU284" s="12">
        <f t="shared" si="393"/>
        <v>1273.8959999999997</v>
      </c>
      <c r="AV284" s="12">
        <f t="shared" si="393"/>
        <v>1302.2079999999999</v>
      </c>
      <c r="AW284" s="12">
        <f t="shared" si="393"/>
        <v>1348.7950000000001</v>
      </c>
      <c r="AX284" s="12">
        <f t="shared" si="393"/>
        <v>1396.5060000000001</v>
      </c>
      <c r="AY284" s="12">
        <f>SUM(AY279:AY283)</f>
        <v>1425.8018929145001</v>
      </c>
      <c r="AZ284" s="12">
        <f>SUM(AZ279:AZ283)</f>
        <v>1481.5907912829891</v>
      </c>
      <c r="BA284" s="12">
        <f>SUM(BA279:BA283)</f>
        <v>1555.6406408662976</v>
      </c>
      <c r="BB284" s="12">
        <f>SUM(BB279:BB283)</f>
        <v>1636.3085980312383</v>
      </c>
      <c r="BC284" s="12">
        <f t="shared" ref="BC284:BJ284" si="394">SUM(BC279:BC283)</f>
        <v>1712.6894642335772</v>
      </c>
      <c r="BD284" s="12">
        <f t="shared" si="394"/>
        <v>1787.165410490102</v>
      </c>
      <c r="BE284" s="12">
        <f t="shared" si="394"/>
        <v>1859.3997618829821</v>
      </c>
      <c r="BF284" s="12">
        <f t="shared" si="394"/>
        <v>1926.5528204754189</v>
      </c>
      <c r="BG284" s="12">
        <f t="shared" si="394"/>
        <v>1993.6813369493061</v>
      </c>
      <c r="BH284" s="12">
        <f t="shared" si="394"/>
        <v>2064.1332542422183</v>
      </c>
      <c r="BI284" s="12">
        <f t="shared" si="394"/>
        <v>2134.9246143829937</v>
      </c>
      <c r="BJ284" s="12">
        <f t="shared" si="394"/>
        <v>2203.0528914270212</v>
      </c>
      <c r="BK284" s="1"/>
      <c r="BL284" s="12"/>
      <c r="BM284" s="23">
        <f t="shared" si="353"/>
        <v>278</v>
      </c>
    </row>
    <row r="285" spans="1:71" ht="12.75" customHeight="1" outlineLevel="1">
      <c r="A285" s="118"/>
      <c r="B285" s="258" t="s">
        <v>87</v>
      </c>
      <c r="C285" s="12"/>
      <c r="D285" s="12"/>
      <c r="E285" s="12"/>
      <c r="F285" s="12"/>
      <c r="G285" s="36">
        <f t="shared" ref="G285:N285" si="395">G284+G278</f>
        <v>508.53399999999999</v>
      </c>
      <c r="H285" s="36">
        <f t="shared" si="395"/>
        <v>605.79600000000005</v>
      </c>
      <c r="I285" s="36">
        <f t="shared" si="395"/>
        <v>686.81</v>
      </c>
      <c r="J285" s="36">
        <f t="shared" si="395"/>
        <v>863.46100000000001</v>
      </c>
      <c r="K285" s="36">
        <f t="shared" si="395"/>
        <v>1238.1530000000002</v>
      </c>
      <c r="L285" s="36">
        <f t="shared" si="395"/>
        <v>1108.6190000000001</v>
      </c>
      <c r="M285" s="36">
        <f t="shared" si="395"/>
        <v>2073.2200000000003</v>
      </c>
      <c r="N285" s="36">
        <f t="shared" si="395"/>
        <v>2307.2829999999999</v>
      </c>
      <c r="O285" s="36">
        <f>O284+O278</f>
        <v>3399.6772109025032</v>
      </c>
      <c r="P285" s="36">
        <f>P284+P278</f>
        <v>3684.1802075723999</v>
      </c>
      <c r="Q285" s="36">
        <f>Q284+Q278</f>
        <v>3965.3712305084755</v>
      </c>
      <c r="R285" s="90"/>
      <c r="S285" s="12"/>
      <c r="T285" s="12"/>
      <c r="U285" s="65"/>
      <c r="V285" s="36">
        <f t="shared" ref="V285:AA285" si="396">V284+V278</f>
        <v>508.53399999999999</v>
      </c>
      <c r="W285" s="66">
        <f t="shared" si="396"/>
        <v>500.40199999999999</v>
      </c>
      <c r="X285" s="66">
        <f t="shared" si="396"/>
        <v>510.05200000000002</v>
      </c>
      <c r="Y285" s="36">
        <f t="shared" si="396"/>
        <v>543.50400000000002</v>
      </c>
      <c r="Z285" s="36">
        <f t="shared" si="396"/>
        <v>605.79600000000005</v>
      </c>
      <c r="AA285" s="36">
        <f t="shared" si="396"/>
        <v>643.05000000000007</v>
      </c>
      <c r="AB285" s="36">
        <f t="shared" ref="AB285:AI285" si="397">AB284+AB278</f>
        <v>678.45900000000006</v>
      </c>
      <c r="AC285" s="36">
        <f t="shared" si="397"/>
        <v>697.18899999999996</v>
      </c>
      <c r="AD285" s="36">
        <f t="shared" si="397"/>
        <v>686.81</v>
      </c>
      <c r="AE285" s="36">
        <f t="shared" si="397"/>
        <v>694.06100000000004</v>
      </c>
      <c r="AF285" s="36">
        <f t="shared" si="397"/>
        <v>705.47800000000007</v>
      </c>
      <c r="AG285" s="36">
        <f t="shared" si="397"/>
        <v>848.50499999999988</v>
      </c>
      <c r="AH285" s="36">
        <f t="shared" si="397"/>
        <v>863.46100000000001</v>
      </c>
      <c r="AI285" s="36">
        <f t="shared" si="397"/>
        <v>883.17699999999991</v>
      </c>
      <c r="AJ285" s="36">
        <f>AJ284+AJ278</f>
        <v>922.8610000000001</v>
      </c>
      <c r="AK285" s="36">
        <f t="shared" ref="AK285:AP285" si="398">AK284+AK278</f>
        <v>1067.0889999999999</v>
      </c>
      <c r="AL285" s="36">
        <f t="shared" si="398"/>
        <v>1238.1530000000002</v>
      </c>
      <c r="AM285" s="36">
        <f t="shared" si="398"/>
        <v>1193.3529999999998</v>
      </c>
      <c r="AN285" s="36">
        <f t="shared" si="398"/>
        <v>1174.67</v>
      </c>
      <c r="AO285" s="36">
        <f t="shared" si="398"/>
        <v>1156.5930000000001</v>
      </c>
      <c r="AP285" s="36">
        <f t="shared" si="398"/>
        <v>1108.6190000000001</v>
      </c>
      <c r="AQ285" s="36">
        <f t="shared" ref="AQ285:AX285" si="399">AQ284+AQ278</f>
        <v>1268.3000000000002</v>
      </c>
      <c r="AR285" s="36">
        <f t="shared" si="399"/>
        <v>1249.153</v>
      </c>
      <c r="AS285" s="36">
        <f t="shared" si="399"/>
        <v>1620.8330000000001</v>
      </c>
      <c r="AT285" s="36">
        <f t="shared" si="399"/>
        <v>2073.2200000000003</v>
      </c>
      <c r="AU285" s="36">
        <f t="shared" si="399"/>
        <v>2087.2399999999998</v>
      </c>
      <c r="AV285" s="36">
        <f t="shared" si="399"/>
        <v>2174.1709999999998</v>
      </c>
      <c r="AW285" s="36">
        <f t="shared" si="399"/>
        <v>2286.9059999999999</v>
      </c>
      <c r="AX285" s="36">
        <f t="shared" si="399"/>
        <v>2307.2829999999999</v>
      </c>
      <c r="AY285" s="36">
        <f>AY284+AY278</f>
        <v>2336.5082857169514</v>
      </c>
      <c r="AZ285" s="36">
        <f>AZ284+AZ278</f>
        <v>3190.6080516632064</v>
      </c>
      <c r="BA285" s="36">
        <f>BA284+BA278</f>
        <v>3313.2024630293963</v>
      </c>
      <c r="BB285" s="36">
        <f>BB284+BB278</f>
        <v>3399.6772109025032</v>
      </c>
      <c r="BC285" s="36">
        <f t="shared" ref="BC285:BJ285" si="400">BC284+BC278</f>
        <v>3475.7704167681959</v>
      </c>
      <c r="BD285" s="36">
        <f t="shared" si="400"/>
        <v>3548.7021262817534</v>
      </c>
      <c r="BE285" s="36">
        <f t="shared" si="400"/>
        <v>3620.1787564820606</v>
      </c>
      <c r="BF285" s="36">
        <f t="shared" si="400"/>
        <v>3684.1802075723999</v>
      </c>
      <c r="BG285" s="36">
        <f t="shared" si="400"/>
        <v>3754.0871354910842</v>
      </c>
      <c r="BH285" s="36">
        <f t="shared" si="400"/>
        <v>3826.7293224012797</v>
      </c>
      <c r="BI285" s="36">
        <f t="shared" si="400"/>
        <v>3898.6199654740612</v>
      </c>
      <c r="BJ285" s="36">
        <f t="shared" si="400"/>
        <v>3965.3712305084755</v>
      </c>
      <c r="BK285" s="1"/>
      <c r="BL285" s="12"/>
      <c r="BM285" s="23">
        <f t="shared" si="353"/>
        <v>279</v>
      </c>
    </row>
    <row r="286" spans="1:71" ht="12.75" customHeight="1" outlineLevel="1">
      <c r="A286" s="118"/>
      <c r="B286" s="1"/>
      <c r="C286" s="1"/>
      <c r="D286" s="1"/>
      <c r="E286" s="1"/>
      <c r="F286" s="1"/>
      <c r="G286" s="35">
        <f t="shared" ref="G286:N286" si="401">ROUND(G264-G285,1)</f>
        <v>0</v>
      </c>
      <c r="H286" s="35">
        <f t="shared" si="401"/>
        <v>0</v>
      </c>
      <c r="I286" s="35">
        <f t="shared" si="401"/>
        <v>0</v>
      </c>
      <c r="J286" s="35">
        <f t="shared" si="401"/>
        <v>0</v>
      </c>
      <c r="K286" s="35">
        <f t="shared" si="401"/>
        <v>0</v>
      </c>
      <c r="L286" s="35">
        <f t="shared" si="401"/>
        <v>0</v>
      </c>
      <c r="M286" s="35">
        <f t="shared" si="401"/>
        <v>0</v>
      </c>
      <c r="N286" s="35">
        <f t="shared" si="401"/>
        <v>0</v>
      </c>
      <c r="O286" s="35">
        <f>ROUND(O264-O285,1)</f>
        <v>0</v>
      </c>
      <c r="P286" s="35">
        <f>ROUND(P264-P285,1)</f>
        <v>0</v>
      </c>
      <c r="Q286" s="35">
        <f>ROUND(Q264-Q285,1)</f>
        <v>0</v>
      </c>
      <c r="R286" s="51"/>
      <c r="S286" s="1"/>
      <c r="T286" s="1"/>
      <c r="U286" s="35"/>
      <c r="V286" s="35">
        <f t="shared" ref="V286:AA286" si="402">V264-V285</f>
        <v>0</v>
      </c>
      <c r="W286" s="35">
        <f t="shared" si="402"/>
        <v>0</v>
      </c>
      <c r="X286" s="35">
        <f t="shared" si="402"/>
        <v>0</v>
      </c>
      <c r="Y286" s="35">
        <f t="shared" si="402"/>
        <v>0</v>
      </c>
      <c r="Z286" s="35">
        <f t="shared" si="402"/>
        <v>0</v>
      </c>
      <c r="AA286" s="35">
        <f t="shared" si="402"/>
        <v>0</v>
      </c>
      <c r="AB286" s="35">
        <f>AB264-AB285</f>
        <v>0</v>
      </c>
      <c r="AC286" s="35">
        <f>AC264-AC285</f>
        <v>0</v>
      </c>
      <c r="AD286" s="35">
        <f t="shared" ref="AD286:BB286" si="403">ROUND(AD264-AD285,2)</f>
        <v>0</v>
      </c>
      <c r="AE286" s="35">
        <f t="shared" si="403"/>
        <v>0</v>
      </c>
      <c r="AF286" s="35">
        <f t="shared" si="403"/>
        <v>0</v>
      </c>
      <c r="AG286" s="35">
        <f t="shared" si="403"/>
        <v>0</v>
      </c>
      <c r="AH286" s="35">
        <f t="shared" si="403"/>
        <v>0</v>
      </c>
      <c r="AI286" s="35">
        <f t="shared" si="403"/>
        <v>0</v>
      </c>
      <c r="AJ286" s="62">
        <f t="shared" si="403"/>
        <v>0</v>
      </c>
      <c r="AK286" s="62">
        <f t="shared" si="403"/>
        <v>0</v>
      </c>
      <c r="AL286" s="62">
        <f t="shared" si="403"/>
        <v>0</v>
      </c>
      <c r="AM286" s="62">
        <f t="shared" si="403"/>
        <v>0</v>
      </c>
      <c r="AN286" s="62">
        <f t="shared" si="403"/>
        <v>0</v>
      </c>
      <c r="AO286" s="62">
        <f t="shared" si="403"/>
        <v>0</v>
      </c>
      <c r="AP286" s="156">
        <f t="shared" si="403"/>
        <v>0</v>
      </c>
      <c r="AQ286" s="156">
        <f t="shared" si="403"/>
        <v>0</v>
      </c>
      <c r="AR286" s="156">
        <f t="shared" si="403"/>
        <v>0</v>
      </c>
      <c r="AS286" s="156">
        <f t="shared" si="403"/>
        <v>0</v>
      </c>
      <c r="AT286" s="156">
        <f t="shared" si="403"/>
        <v>0</v>
      </c>
      <c r="AU286" s="156">
        <f t="shared" si="403"/>
        <v>0</v>
      </c>
      <c r="AV286" s="156">
        <f t="shared" si="403"/>
        <v>0</v>
      </c>
      <c r="AW286" s="156">
        <f t="shared" si="403"/>
        <v>0</v>
      </c>
      <c r="AX286" s="156">
        <f t="shared" si="403"/>
        <v>0</v>
      </c>
      <c r="AY286" s="35">
        <f t="shared" si="403"/>
        <v>0</v>
      </c>
      <c r="AZ286" s="35">
        <f t="shared" si="403"/>
        <v>0</v>
      </c>
      <c r="BA286" s="35">
        <f t="shared" si="403"/>
        <v>0</v>
      </c>
      <c r="BB286" s="35">
        <f t="shared" si="403"/>
        <v>0</v>
      </c>
      <c r="BC286" s="35">
        <f t="shared" ref="BC286:BJ286" si="404">ROUND(BC264-BC285,2)</f>
        <v>0</v>
      </c>
      <c r="BD286" s="35">
        <f t="shared" si="404"/>
        <v>0</v>
      </c>
      <c r="BE286" s="35">
        <f t="shared" si="404"/>
        <v>0</v>
      </c>
      <c r="BF286" s="35">
        <f t="shared" si="404"/>
        <v>0</v>
      </c>
      <c r="BG286" s="35">
        <f t="shared" si="404"/>
        <v>0</v>
      </c>
      <c r="BH286" s="35">
        <f t="shared" si="404"/>
        <v>0</v>
      </c>
      <c r="BI286" s="35">
        <f t="shared" si="404"/>
        <v>0</v>
      </c>
      <c r="BJ286" s="35">
        <f t="shared" si="404"/>
        <v>0</v>
      </c>
      <c r="BK286" s="1"/>
      <c r="BL286" s="1"/>
      <c r="BM286" s="23">
        <f t="shared" si="353"/>
        <v>280</v>
      </c>
    </row>
    <row r="287" spans="1:71" ht="12.75" customHeight="1" outlineLevel="1">
      <c r="A287" s="118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5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2"/>
      <c r="BM287" s="23">
        <f t="shared" si="353"/>
        <v>281</v>
      </c>
    </row>
    <row r="288" spans="1:71" ht="12.75" customHeight="1">
      <c r="A288" s="118" t="s">
        <v>29</v>
      </c>
      <c r="B288" s="38" t="s">
        <v>93</v>
      </c>
      <c r="C288" s="4">
        <f t="shared" ref="C288:Q288" si="405">C$7</f>
        <v>2006</v>
      </c>
      <c r="D288" s="4">
        <f t="shared" si="405"/>
        <v>2007</v>
      </c>
      <c r="E288" s="4">
        <f t="shared" si="405"/>
        <v>2008</v>
      </c>
      <c r="F288" s="4">
        <f t="shared" si="405"/>
        <v>2009</v>
      </c>
      <c r="G288" s="4">
        <f t="shared" si="405"/>
        <v>2010</v>
      </c>
      <c r="H288" s="4">
        <f t="shared" si="405"/>
        <v>2011</v>
      </c>
      <c r="I288" s="4">
        <f t="shared" si="405"/>
        <v>2012</v>
      </c>
      <c r="J288" s="4">
        <f t="shared" si="405"/>
        <v>2013</v>
      </c>
      <c r="K288" s="4">
        <f t="shared" si="405"/>
        <v>2014</v>
      </c>
      <c r="L288" s="4">
        <f t="shared" si="405"/>
        <v>2015</v>
      </c>
      <c r="M288" s="4">
        <f t="shared" si="405"/>
        <v>2016</v>
      </c>
      <c r="N288" s="4">
        <f t="shared" si="405"/>
        <v>2017</v>
      </c>
      <c r="O288" s="4" t="str">
        <f t="shared" si="405"/>
        <v>2018E</v>
      </c>
      <c r="P288" s="4" t="str">
        <f t="shared" si="405"/>
        <v>2019E</v>
      </c>
      <c r="Q288" s="4" t="str">
        <f t="shared" si="405"/>
        <v>2020E</v>
      </c>
      <c r="R288" s="51"/>
      <c r="S288" s="4" t="str">
        <f t="shared" ref="S288:BJ288" si="406">S$7</f>
        <v>1Q10</v>
      </c>
      <c r="T288" s="4" t="str">
        <f t="shared" si="406"/>
        <v>2Q10</v>
      </c>
      <c r="U288" s="4" t="str">
        <f t="shared" si="406"/>
        <v>3Q10</v>
      </c>
      <c r="V288" s="4" t="str">
        <f t="shared" si="406"/>
        <v>4Q10</v>
      </c>
      <c r="W288" s="4" t="str">
        <f t="shared" si="406"/>
        <v>1Q11</v>
      </c>
      <c r="X288" s="4" t="str">
        <f t="shared" si="406"/>
        <v>2Q11</v>
      </c>
      <c r="Y288" s="4" t="str">
        <f t="shared" si="406"/>
        <v>3Q11</v>
      </c>
      <c r="Z288" s="4" t="str">
        <f t="shared" si="406"/>
        <v>4Q11</v>
      </c>
      <c r="AA288" s="4" t="str">
        <f t="shared" si="406"/>
        <v>1Q12</v>
      </c>
      <c r="AB288" s="4" t="str">
        <f t="shared" si="406"/>
        <v>2Q12</v>
      </c>
      <c r="AC288" s="4" t="str">
        <f t="shared" si="406"/>
        <v>3Q12</v>
      </c>
      <c r="AD288" s="4" t="str">
        <f t="shared" si="406"/>
        <v>4Q12</v>
      </c>
      <c r="AE288" s="4" t="str">
        <f t="shared" si="406"/>
        <v>1Q13</v>
      </c>
      <c r="AF288" s="4" t="str">
        <f t="shared" si="406"/>
        <v>2Q13</v>
      </c>
      <c r="AG288" s="4" t="str">
        <f t="shared" si="406"/>
        <v>3Q13</v>
      </c>
      <c r="AH288" s="4" t="str">
        <f t="shared" si="406"/>
        <v>4Q13</v>
      </c>
      <c r="AI288" s="4" t="str">
        <f t="shared" si="406"/>
        <v>1Q14</v>
      </c>
      <c r="AJ288" s="4" t="str">
        <f t="shared" si="406"/>
        <v>2Q14</v>
      </c>
      <c r="AK288" s="4" t="str">
        <f t="shared" si="406"/>
        <v>3Q14</v>
      </c>
      <c r="AL288" s="4" t="str">
        <f t="shared" si="406"/>
        <v>4Q14</v>
      </c>
      <c r="AM288" s="4" t="str">
        <f t="shared" si="406"/>
        <v>1Q15</v>
      </c>
      <c r="AN288" s="4" t="str">
        <f t="shared" si="406"/>
        <v>2Q15</v>
      </c>
      <c r="AO288" s="4" t="str">
        <f t="shared" si="406"/>
        <v>3Q15</v>
      </c>
      <c r="AP288" s="4" t="str">
        <f t="shared" si="406"/>
        <v>4Q15</v>
      </c>
      <c r="AQ288" s="4" t="str">
        <f t="shared" si="406"/>
        <v>1Q16</v>
      </c>
      <c r="AR288" s="4" t="str">
        <f t="shared" si="406"/>
        <v>2Q16</v>
      </c>
      <c r="AS288" s="4" t="str">
        <f t="shared" si="406"/>
        <v>3Q16</v>
      </c>
      <c r="AT288" s="4" t="str">
        <f t="shared" si="406"/>
        <v>4Q16</v>
      </c>
      <c r="AU288" s="4" t="str">
        <f t="shared" si="406"/>
        <v>1Q17</v>
      </c>
      <c r="AV288" s="4" t="str">
        <f t="shared" si="406"/>
        <v>2Q17</v>
      </c>
      <c r="AW288" s="4" t="str">
        <f t="shared" si="406"/>
        <v>3Q17</v>
      </c>
      <c r="AX288" s="4" t="str">
        <f t="shared" si="406"/>
        <v>4Q17</v>
      </c>
      <c r="AY288" s="4" t="str">
        <f t="shared" si="406"/>
        <v>1Q18E</v>
      </c>
      <c r="AZ288" s="4" t="str">
        <f t="shared" si="406"/>
        <v>2Q18E</v>
      </c>
      <c r="BA288" s="4" t="str">
        <f t="shared" si="406"/>
        <v>3Q18E</v>
      </c>
      <c r="BB288" s="4" t="str">
        <f t="shared" si="406"/>
        <v>4Q18E</v>
      </c>
      <c r="BC288" s="4" t="str">
        <f t="shared" si="406"/>
        <v>1Q19E</v>
      </c>
      <c r="BD288" s="4" t="str">
        <f t="shared" si="406"/>
        <v>2Q19E</v>
      </c>
      <c r="BE288" s="4" t="str">
        <f t="shared" si="406"/>
        <v>3Q19E</v>
      </c>
      <c r="BF288" s="4" t="str">
        <f t="shared" si="406"/>
        <v>4Q19E</v>
      </c>
      <c r="BG288" s="4" t="str">
        <f t="shared" si="406"/>
        <v>1Q20E</v>
      </c>
      <c r="BH288" s="4" t="str">
        <f t="shared" si="406"/>
        <v>2Q20E</v>
      </c>
      <c r="BI288" s="4" t="str">
        <f t="shared" si="406"/>
        <v>3Q20E</v>
      </c>
      <c r="BJ288" s="4" t="str">
        <f t="shared" si="406"/>
        <v>4Q20E</v>
      </c>
      <c r="BK288" s="1"/>
      <c r="BL288" s="12"/>
      <c r="BM288" s="23">
        <f t="shared" si="353"/>
        <v>282</v>
      </c>
    </row>
    <row r="289" spans="1:65" ht="12.75" customHeight="1" outlineLevel="1">
      <c r="A289" s="119" t="s">
        <v>29</v>
      </c>
      <c r="B289" s="111" t="s">
        <v>309</v>
      </c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5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2"/>
      <c r="BM289" s="23">
        <f t="shared" si="353"/>
        <v>283</v>
      </c>
    </row>
    <row r="290" spans="1:65" ht="12.75" customHeight="1" outlineLevel="1">
      <c r="A290" s="118"/>
      <c r="B290" s="40" t="s">
        <v>94</v>
      </c>
      <c r="C290" s="1"/>
      <c r="D290" s="1"/>
      <c r="E290" s="1"/>
      <c r="F290" s="12"/>
      <c r="G290" s="12">
        <f t="shared" ref="G290:N290" si="407">G284+G273+G270</f>
        <v>336.00599999999997</v>
      </c>
      <c r="H290" s="12">
        <f t="shared" si="407"/>
        <v>383.72300000000001</v>
      </c>
      <c r="I290" s="12">
        <f t="shared" si="407"/>
        <v>487.11899999999997</v>
      </c>
      <c r="J290" s="12">
        <f t="shared" si="407"/>
        <v>680.74500000000012</v>
      </c>
      <c r="K290" s="12">
        <f t="shared" si="407"/>
        <v>906.11299999999994</v>
      </c>
      <c r="L290" s="12">
        <f t="shared" si="407"/>
        <v>875.87199999999996</v>
      </c>
      <c r="M290" s="12">
        <f t="shared" si="407"/>
        <v>1788.7649999999999</v>
      </c>
      <c r="N290" s="12">
        <f t="shared" si="407"/>
        <v>1907.742</v>
      </c>
      <c r="O290" s="12">
        <f>O284+O273+O270</f>
        <v>2937.9555980312384</v>
      </c>
      <c r="P290" s="12">
        <f>P284+P273+P270</f>
        <v>3226.4498204754191</v>
      </c>
      <c r="Q290" s="12">
        <f>Q284+Q273+Q270</f>
        <v>3501.1998914270216</v>
      </c>
      <c r="R290" s="51"/>
      <c r="S290" s="1"/>
      <c r="T290" s="1"/>
      <c r="U290" s="1"/>
      <c r="V290" s="12">
        <f>V284+V273+V270</f>
        <v>336.00599999999997</v>
      </c>
      <c r="W290" s="1"/>
      <c r="X290" s="12"/>
      <c r="Y290" s="12">
        <f t="shared" ref="Y290:AM290" si="408">Y284+Y273+Y270</f>
        <v>376.916</v>
      </c>
      <c r="Z290" s="12">
        <f t="shared" si="408"/>
        <v>383.72300000000001</v>
      </c>
      <c r="AA290" s="12">
        <f t="shared" si="408"/>
        <v>460.59300000000002</v>
      </c>
      <c r="AB290" s="12">
        <f t="shared" si="408"/>
        <v>479.83499999999998</v>
      </c>
      <c r="AC290" s="12">
        <f t="shared" si="408"/>
        <v>498.15199999999999</v>
      </c>
      <c r="AD290" s="12">
        <f t="shared" si="408"/>
        <v>487.11899999999997</v>
      </c>
      <c r="AE290" s="12">
        <f t="shared" si="408"/>
        <v>516.32299999999998</v>
      </c>
      <c r="AF290" s="12">
        <f t="shared" si="408"/>
        <v>528.1099999999999</v>
      </c>
      <c r="AG290" s="12">
        <f t="shared" si="408"/>
        <v>660.23400000000004</v>
      </c>
      <c r="AH290" s="12">
        <f t="shared" si="408"/>
        <v>680.74500000000012</v>
      </c>
      <c r="AI290" s="12">
        <f t="shared" si="408"/>
        <v>697.22699999999998</v>
      </c>
      <c r="AJ290" s="12">
        <f t="shared" si="408"/>
        <v>723.19100000000003</v>
      </c>
      <c r="AK290" s="12">
        <f t="shared" si="408"/>
        <v>759.97800000000007</v>
      </c>
      <c r="AL290" s="12">
        <f t="shared" si="408"/>
        <v>906.11299999999994</v>
      </c>
      <c r="AM290" s="12">
        <f t="shared" si="408"/>
        <v>892.24199999999996</v>
      </c>
      <c r="AN290" s="12">
        <f t="shared" ref="AN290:AS290" si="409">AN284+AN273+AN270</f>
        <v>897.36399999999992</v>
      </c>
      <c r="AO290" s="12">
        <f t="shared" si="409"/>
        <v>890.202</v>
      </c>
      <c r="AP290" s="12">
        <f t="shared" si="409"/>
        <v>875.87199999999996</v>
      </c>
      <c r="AQ290" s="12">
        <f t="shared" si="409"/>
        <v>1045.8660000000002</v>
      </c>
      <c r="AR290" s="12">
        <f t="shared" si="409"/>
        <v>1031.3869999999999</v>
      </c>
      <c r="AS290" s="12">
        <f t="shared" si="409"/>
        <v>1317.4259999999999</v>
      </c>
      <c r="AT290" s="12">
        <f t="shared" ref="AT290:BB290" si="410">AT284+AT273+AT270</f>
        <v>1788.7649999999999</v>
      </c>
      <c r="AU290" s="12">
        <f t="shared" si="410"/>
        <v>1789.0289999999998</v>
      </c>
      <c r="AV290" s="12">
        <f t="shared" si="410"/>
        <v>1815.4339999999997</v>
      </c>
      <c r="AW290" s="12">
        <f t="shared" si="410"/>
        <v>1861.3570000000002</v>
      </c>
      <c r="AX290" s="12">
        <f t="shared" si="410"/>
        <v>1907.742</v>
      </c>
      <c r="AY290" s="12">
        <f t="shared" si="410"/>
        <v>1936.1233929145001</v>
      </c>
      <c r="AZ290" s="12">
        <f t="shared" si="410"/>
        <v>2784.1127912829893</v>
      </c>
      <c r="BA290" s="12">
        <f t="shared" si="410"/>
        <v>2857.7251408662978</v>
      </c>
      <c r="BB290" s="12">
        <f t="shared" si="410"/>
        <v>2937.9555980312384</v>
      </c>
      <c r="BC290" s="12">
        <f t="shared" ref="BC290:BJ290" si="411">BC284+BC273+BC270</f>
        <v>3013.8989642335773</v>
      </c>
      <c r="BD290" s="12">
        <f t="shared" si="411"/>
        <v>3087.9374104901021</v>
      </c>
      <c r="BE290" s="12">
        <f t="shared" si="411"/>
        <v>3159.7342618829825</v>
      </c>
      <c r="BF290" s="12">
        <f t="shared" si="411"/>
        <v>3226.4498204754191</v>
      </c>
      <c r="BG290" s="12">
        <f t="shared" si="411"/>
        <v>3293.1408369493065</v>
      </c>
      <c r="BH290" s="12">
        <f t="shared" si="411"/>
        <v>3363.1552542422187</v>
      </c>
      <c r="BI290" s="12">
        <f t="shared" si="411"/>
        <v>3433.5091143829941</v>
      </c>
      <c r="BJ290" s="12">
        <f t="shared" si="411"/>
        <v>3501.1998914270216</v>
      </c>
      <c r="BK290" s="1"/>
      <c r="BL290" s="12"/>
      <c r="BM290" s="23">
        <f t="shared" si="353"/>
        <v>284</v>
      </c>
    </row>
    <row r="291" spans="1:65" ht="12.75" customHeight="1" outlineLevel="1">
      <c r="A291" s="118"/>
      <c r="B291" s="40" t="s">
        <v>95</v>
      </c>
      <c r="C291" s="1"/>
      <c r="D291" s="1"/>
      <c r="E291" s="1"/>
      <c r="F291" s="12"/>
      <c r="G291" s="12">
        <f t="shared" ref="G291:N291" si="412">G273+G270</f>
        <v>238.44199999999998</v>
      </c>
      <c r="H291" s="12">
        <f t="shared" si="412"/>
        <v>261.78899999999999</v>
      </c>
      <c r="I291" s="12">
        <f t="shared" si="412"/>
        <v>255.42499999999998</v>
      </c>
      <c r="J291" s="12">
        <f t="shared" si="412"/>
        <v>371.45100000000002</v>
      </c>
      <c r="K291" s="12">
        <f t="shared" si="412"/>
        <v>502.29700000000003</v>
      </c>
      <c r="L291" s="12">
        <f t="shared" si="412"/>
        <v>491.70499999999998</v>
      </c>
      <c r="M291" s="12">
        <f t="shared" si="412"/>
        <v>515.47500000000002</v>
      </c>
      <c r="N291" s="12">
        <f t="shared" si="412"/>
        <v>511.23600000000005</v>
      </c>
      <c r="O291" s="12">
        <f>O273+O270</f>
        <v>1301.6470000000002</v>
      </c>
      <c r="P291" s="12">
        <f>P273+P270</f>
        <v>1299.8970000000002</v>
      </c>
      <c r="Q291" s="12">
        <f>Q273+Q270</f>
        <v>1298.1470000000002</v>
      </c>
      <c r="R291" s="51"/>
      <c r="S291" s="1"/>
      <c r="T291" s="1"/>
      <c r="U291" s="1"/>
      <c r="V291" s="12">
        <f>V273+V270</f>
        <v>238.44199999999998</v>
      </c>
      <c r="W291" s="1"/>
      <c r="X291" s="12"/>
      <c r="Y291" s="12">
        <f t="shared" ref="Y291:AM291" si="413">Y273+Y270</f>
        <v>258.464</v>
      </c>
      <c r="Z291" s="12">
        <f t="shared" si="413"/>
        <v>261.78899999999999</v>
      </c>
      <c r="AA291" s="12">
        <f t="shared" si="413"/>
        <v>261.18099999999998</v>
      </c>
      <c r="AB291" s="12">
        <f t="shared" si="413"/>
        <v>260.57299999999998</v>
      </c>
      <c r="AC291" s="12">
        <f t="shared" si="413"/>
        <v>259.964</v>
      </c>
      <c r="AD291" s="12">
        <f t="shared" si="413"/>
        <v>255.42499999999998</v>
      </c>
      <c r="AE291" s="12">
        <f t="shared" si="413"/>
        <v>265.36799999999999</v>
      </c>
      <c r="AF291" s="12">
        <f t="shared" si="413"/>
        <v>261.07400000000001</v>
      </c>
      <c r="AG291" s="12">
        <f t="shared" si="413"/>
        <v>372.58799999999997</v>
      </c>
      <c r="AH291" s="12">
        <f t="shared" si="413"/>
        <v>371.45100000000002</v>
      </c>
      <c r="AI291" s="12">
        <f t="shared" si="413"/>
        <v>370.57899999999995</v>
      </c>
      <c r="AJ291" s="12">
        <f t="shared" si="413"/>
        <v>369.70699999999999</v>
      </c>
      <c r="AK291" s="12">
        <f t="shared" si="413"/>
        <v>368.83500000000004</v>
      </c>
      <c r="AL291" s="12">
        <f t="shared" si="413"/>
        <v>502.29700000000003</v>
      </c>
      <c r="AM291" s="12">
        <f t="shared" si="413"/>
        <v>494.19400000000002</v>
      </c>
      <c r="AN291" s="12">
        <f t="shared" ref="AN291:AS291" si="414">AN273+AN270</f>
        <v>493.36500000000001</v>
      </c>
      <c r="AO291" s="12">
        <f t="shared" si="414"/>
        <v>492.53500000000003</v>
      </c>
      <c r="AP291" s="12">
        <f t="shared" si="414"/>
        <v>491.70499999999998</v>
      </c>
      <c r="AQ291" s="12">
        <f t="shared" si="414"/>
        <v>490.87300000000005</v>
      </c>
      <c r="AR291" s="12">
        <f t="shared" si="414"/>
        <v>490.041</v>
      </c>
      <c r="AS291" s="12">
        <f t="shared" si="414"/>
        <v>506.63100000000003</v>
      </c>
      <c r="AT291" s="12">
        <f t="shared" ref="AT291:BB291" si="415">AT273+AT270</f>
        <v>515.47500000000002</v>
      </c>
      <c r="AU291" s="12">
        <f t="shared" si="415"/>
        <v>515.13300000000004</v>
      </c>
      <c r="AV291" s="12">
        <f t="shared" si="415"/>
        <v>513.226</v>
      </c>
      <c r="AW291" s="12">
        <f t="shared" si="415"/>
        <v>512.56200000000001</v>
      </c>
      <c r="AX291" s="12">
        <f t="shared" si="415"/>
        <v>511.23600000000005</v>
      </c>
      <c r="AY291" s="12">
        <f t="shared" si="415"/>
        <v>510.3214999999999</v>
      </c>
      <c r="AZ291" s="12">
        <f t="shared" si="415"/>
        <v>1302.5220000000002</v>
      </c>
      <c r="BA291" s="12">
        <f t="shared" si="415"/>
        <v>1302.0845000000002</v>
      </c>
      <c r="BB291" s="12">
        <f t="shared" si="415"/>
        <v>1301.6470000000002</v>
      </c>
      <c r="BC291" s="12">
        <f t="shared" ref="BC291:BJ291" si="416">BC273+BC270</f>
        <v>1301.2095000000002</v>
      </c>
      <c r="BD291" s="12">
        <f t="shared" si="416"/>
        <v>1300.7720000000002</v>
      </c>
      <c r="BE291" s="12">
        <f t="shared" si="416"/>
        <v>1300.3345000000002</v>
      </c>
      <c r="BF291" s="12">
        <f t="shared" si="416"/>
        <v>1299.8970000000002</v>
      </c>
      <c r="BG291" s="12">
        <f t="shared" si="416"/>
        <v>1299.4595000000002</v>
      </c>
      <c r="BH291" s="12">
        <f t="shared" si="416"/>
        <v>1299.0220000000002</v>
      </c>
      <c r="BI291" s="12">
        <f t="shared" si="416"/>
        <v>1298.5845000000002</v>
      </c>
      <c r="BJ291" s="12">
        <f t="shared" si="416"/>
        <v>1298.1470000000002</v>
      </c>
      <c r="BK291" s="1"/>
      <c r="BL291" s="12"/>
      <c r="BM291" s="23">
        <f t="shared" si="353"/>
        <v>285</v>
      </c>
    </row>
    <row r="292" spans="1:65" ht="12.75" customHeight="1" outlineLevel="1">
      <c r="A292" s="118"/>
      <c r="B292" s="40" t="s">
        <v>96</v>
      </c>
      <c r="C292" s="1"/>
      <c r="D292" s="1"/>
      <c r="E292" s="1"/>
      <c r="F292" s="12"/>
      <c r="G292" s="12">
        <f t="shared" ref="G292:N292" si="417">G291-G252</f>
        <v>173.94199999999998</v>
      </c>
      <c r="H292" s="12">
        <f t="shared" si="417"/>
        <v>202.58999999999997</v>
      </c>
      <c r="I292" s="12">
        <f t="shared" si="417"/>
        <v>194.40299999999999</v>
      </c>
      <c r="J292" s="12">
        <f t="shared" si="417"/>
        <v>218.21500000000003</v>
      </c>
      <c r="K292" s="12">
        <f t="shared" si="417"/>
        <v>159.87300000000005</v>
      </c>
      <c r="L292" s="12">
        <f t="shared" si="417"/>
        <v>192.779</v>
      </c>
      <c r="M292" s="12">
        <f t="shared" si="417"/>
        <v>-195.75</v>
      </c>
      <c r="N292" s="12">
        <f t="shared" si="417"/>
        <v>126.66900000000004</v>
      </c>
      <c r="O292" s="12">
        <f>O291-O252</f>
        <v>854.84142126164545</v>
      </c>
      <c r="P292" s="12">
        <f>P291-P252</f>
        <v>530.81123620876053</v>
      </c>
      <c r="Q292" s="12">
        <f>Q291-Q252</f>
        <v>173.01378926779716</v>
      </c>
      <c r="R292" s="51"/>
      <c r="S292" s="1"/>
      <c r="T292" s="1"/>
      <c r="U292" s="1"/>
      <c r="V292" s="12">
        <f>V291-V252</f>
        <v>173.94199999999998</v>
      </c>
      <c r="W292" s="1"/>
      <c r="X292" s="12"/>
      <c r="Y292" s="12">
        <f t="shared" ref="Y292:AM292" si="418">Y291-Y252</f>
        <v>184.655</v>
      </c>
      <c r="Z292" s="12">
        <f t="shared" si="418"/>
        <v>202.58999999999997</v>
      </c>
      <c r="AA292" s="12">
        <f t="shared" si="418"/>
        <v>176.53999999999996</v>
      </c>
      <c r="AB292" s="12">
        <f t="shared" si="418"/>
        <v>157.94799999999998</v>
      </c>
      <c r="AC292" s="12">
        <f t="shared" si="418"/>
        <v>166.95400000000001</v>
      </c>
      <c r="AD292" s="12">
        <f t="shared" si="418"/>
        <v>194.40299999999999</v>
      </c>
      <c r="AE292" s="12">
        <f t="shared" si="418"/>
        <v>222.44900000000001</v>
      </c>
      <c r="AF292" s="12">
        <f t="shared" si="418"/>
        <v>214.00600000000003</v>
      </c>
      <c r="AG292" s="12">
        <f t="shared" si="418"/>
        <v>218.91499999999996</v>
      </c>
      <c r="AH292" s="12">
        <f t="shared" si="418"/>
        <v>218.21500000000003</v>
      </c>
      <c r="AI292" s="12">
        <f t="shared" si="418"/>
        <v>209.81099999999995</v>
      </c>
      <c r="AJ292" s="12">
        <f t="shared" si="418"/>
        <v>188.63200000000001</v>
      </c>
      <c r="AK292" s="12">
        <f t="shared" si="418"/>
        <v>171.97200000000004</v>
      </c>
      <c r="AL292" s="12">
        <f t="shared" si="418"/>
        <v>159.87300000000005</v>
      </c>
      <c r="AM292" s="12">
        <f t="shared" si="418"/>
        <v>166.38600000000002</v>
      </c>
      <c r="AN292" s="12">
        <f t="shared" ref="AN292:AS292" si="419">AN291-AN252</f>
        <v>171.137</v>
      </c>
      <c r="AO292" s="12">
        <f t="shared" si="419"/>
        <v>192.76300000000003</v>
      </c>
      <c r="AP292" s="12">
        <f t="shared" si="419"/>
        <v>192.779</v>
      </c>
      <c r="AQ292" s="12">
        <f t="shared" si="419"/>
        <v>20.63800000000009</v>
      </c>
      <c r="AR292" s="12">
        <f t="shared" si="419"/>
        <v>35.83299999999997</v>
      </c>
      <c r="AS292" s="12">
        <f t="shared" si="419"/>
        <v>242.57100000000003</v>
      </c>
      <c r="AT292" s="12">
        <f t="shared" ref="AT292:BB292" si="420">AT291-AT252</f>
        <v>-195.75</v>
      </c>
      <c r="AU292" s="12">
        <f t="shared" si="420"/>
        <v>-145.76999999999998</v>
      </c>
      <c r="AV292" s="12">
        <f t="shared" si="420"/>
        <v>-85.308999999999969</v>
      </c>
      <c r="AW292" s="12">
        <f t="shared" si="420"/>
        <v>48.912000000000035</v>
      </c>
      <c r="AX292" s="12">
        <f t="shared" si="420"/>
        <v>126.66900000000004</v>
      </c>
      <c r="AY292" s="12">
        <f t="shared" si="420"/>
        <v>152.441563360994</v>
      </c>
      <c r="AZ292" s="12">
        <f t="shared" si="420"/>
        <v>950.15000310668665</v>
      </c>
      <c r="BA292" s="12">
        <f t="shared" si="420"/>
        <v>926.87608798169526</v>
      </c>
      <c r="BB292" s="12">
        <f t="shared" si="420"/>
        <v>854.84142126164545</v>
      </c>
      <c r="BC292" s="12">
        <f t="shared" ref="BC292:BJ292" si="421">BC291-BC252</f>
        <v>769.56963046291503</v>
      </c>
      <c r="BD292" s="12">
        <f t="shared" si="421"/>
        <v>687.31482245656741</v>
      </c>
      <c r="BE292" s="12">
        <f t="shared" si="421"/>
        <v>607.81268237776362</v>
      </c>
      <c r="BF292" s="12">
        <f t="shared" si="421"/>
        <v>530.81123620876053</v>
      </c>
      <c r="BG292" s="12">
        <f t="shared" si="421"/>
        <v>452.72989523876504</v>
      </c>
      <c r="BH292" s="12">
        <f t="shared" si="421"/>
        <v>360.92390445781166</v>
      </c>
      <c r="BI292" s="12">
        <f t="shared" si="421"/>
        <v>266.86555242992267</v>
      </c>
      <c r="BJ292" s="12">
        <f t="shared" si="421"/>
        <v>173.01378926779716</v>
      </c>
      <c r="BK292" s="1"/>
      <c r="BL292" s="12"/>
      <c r="BM292" s="23">
        <f t="shared" si="353"/>
        <v>286</v>
      </c>
    </row>
    <row r="293" spans="1:65" ht="12.75" customHeight="1" outlineLevel="1">
      <c r="A293" s="118"/>
      <c r="B293" s="93" t="s">
        <v>383</v>
      </c>
      <c r="C293" s="1"/>
      <c r="D293" s="1"/>
      <c r="E293" s="1"/>
      <c r="F293" s="11"/>
      <c r="G293" s="11">
        <f t="shared" ref="G293:L293" si="422">G291/G290</f>
        <v>0.70963613744992649</v>
      </c>
      <c r="H293" s="11">
        <f t="shared" si="422"/>
        <v>0.68223432006942497</v>
      </c>
      <c r="I293" s="11">
        <f t="shared" si="422"/>
        <v>0.52435852430309637</v>
      </c>
      <c r="J293" s="11">
        <f t="shared" si="422"/>
        <v>0.54565365885904404</v>
      </c>
      <c r="K293" s="11">
        <f t="shared" si="422"/>
        <v>0.55434255992354164</v>
      </c>
      <c r="L293" s="11">
        <f t="shared" si="422"/>
        <v>0.56138910708414014</v>
      </c>
      <c r="M293" s="11">
        <f>M291/M290</f>
        <v>0.288173684078121</v>
      </c>
      <c r="N293" s="11">
        <f>N291/N290</f>
        <v>0.2679796324660253</v>
      </c>
      <c r="O293" s="11">
        <f>O291/O290</f>
        <v>0.4430451572761176</v>
      </c>
      <c r="P293" s="11">
        <f>P291/P290</f>
        <v>0.40288771632235076</v>
      </c>
      <c r="Q293" s="11">
        <f>Q291/Q290</f>
        <v>0.37077203251908603</v>
      </c>
      <c r="R293" s="51"/>
      <c r="S293" s="1"/>
      <c r="T293" s="1"/>
      <c r="U293" s="1"/>
      <c r="V293" s="11">
        <f>V291/V290</f>
        <v>0.70963613744992649</v>
      </c>
      <c r="W293" s="1"/>
      <c r="X293" s="1"/>
      <c r="Y293" s="11">
        <f>Y291/Y290</f>
        <v>0.68573369132644935</v>
      </c>
      <c r="Z293" s="11">
        <f>Z291/Z290</f>
        <v>0.68223432006942497</v>
      </c>
      <c r="AA293" s="11">
        <f>AA291/AA290</f>
        <v>0.56705377632747345</v>
      </c>
      <c r="AB293" s="11">
        <f>AB291/AB290</f>
        <v>0.54304708910354604</v>
      </c>
      <c r="AC293" s="11">
        <f>AC291/AC290</f>
        <v>0.52185678266874369</v>
      </c>
      <c r="AD293" s="11">
        <f t="shared" ref="AD293:AI293" si="423">AD291/AD290</f>
        <v>0.52435852430309637</v>
      </c>
      <c r="AE293" s="11">
        <f t="shared" si="423"/>
        <v>0.51395734840400298</v>
      </c>
      <c r="AF293" s="11">
        <f t="shared" si="423"/>
        <v>0.49435534263695075</v>
      </c>
      <c r="AG293" s="11">
        <f t="shared" si="423"/>
        <v>0.56432719308608759</v>
      </c>
      <c r="AH293" s="11">
        <f t="shared" si="423"/>
        <v>0.54565365885904404</v>
      </c>
      <c r="AI293" s="11">
        <f t="shared" si="423"/>
        <v>0.53150408690426498</v>
      </c>
      <c r="AJ293" s="11">
        <f t="shared" ref="AJ293:AO293" si="424">AJ291/AJ290</f>
        <v>0.51121626237052176</v>
      </c>
      <c r="AK293" s="11">
        <f t="shared" si="424"/>
        <v>0.4853232593575077</v>
      </c>
      <c r="AL293" s="11">
        <f t="shared" si="424"/>
        <v>0.55434255992354164</v>
      </c>
      <c r="AM293" s="11">
        <f t="shared" si="424"/>
        <v>0.55387888039343591</v>
      </c>
      <c r="AN293" s="11">
        <f t="shared" si="424"/>
        <v>0.54979361775154789</v>
      </c>
      <c r="AO293" s="11">
        <f t="shared" si="424"/>
        <v>0.55328453542005074</v>
      </c>
      <c r="AP293" s="11">
        <f t="shared" ref="AP293:AU293" si="425">AP291/AP290</f>
        <v>0.56138910708414014</v>
      </c>
      <c r="AQ293" s="11">
        <f t="shared" si="425"/>
        <v>0.46934597740054651</v>
      </c>
      <c r="AR293" s="11">
        <f t="shared" si="425"/>
        <v>0.47512815267208142</v>
      </c>
      <c r="AS293" s="11">
        <f t="shared" si="425"/>
        <v>0.38456125808963848</v>
      </c>
      <c r="AT293" s="11">
        <f t="shared" si="425"/>
        <v>0.288173684078121</v>
      </c>
      <c r="AU293" s="11">
        <f t="shared" si="425"/>
        <v>0.28793999426504552</v>
      </c>
      <c r="AV293" s="11">
        <f t="shared" ref="AV293:BB293" si="426">AV291/AV290</f>
        <v>0.28270154684775106</v>
      </c>
      <c r="AW293" s="11">
        <f t="shared" si="426"/>
        <v>0.27537006603246983</v>
      </c>
      <c r="AX293" s="11">
        <f>AX291/AX290</f>
        <v>0.2679796324660253</v>
      </c>
      <c r="AY293" s="11">
        <f t="shared" si="426"/>
        <v>0.2635790166409791</v>
      </c>
      <c r="AZ293" s="11">
        <f t="shared" si="426"/>
        <v>0.46784095963287653</v>
      </c>
      <c r="BA293" s="11">
        <f t="shared" si="426"/>
        <v>0.45563671655465193</v>
      </c>
      <c r="BB293" s="11">
        <f t="shared" si="426"/>
        <v>0.4430451572761176</v>
      </c>
      <c r="BC293" s="11">
        <f t="shared" ref="BC293:BJ293" si="427">BC291/BC290</f>
        <v>0.43173627100366074</v>
      </c>
      <c r="BD293" s="11">
        <f t="shared" si="427"/>
        <v>0.42124299397426845</v>
      </c>
      <c r="BE293" s="11">
        <f t="shared" si="427"/>
        <v>0.41153286707885711</v>
      </c>
      <c r="BF293" s="11">
        <f t="shared" si="427"/>
        <v>0.40288771632235076</v>
      </c>
      <c r="BG293" s="11">
        <f t="shared" si="427"/>
        <v>0.39459578692170083</v>
      </c>
      <c r="BH293" s="11">
        <f t="shared" si="427"/>
        <v>0.38625097618120335</v>
      </c>
      <c r="BI293" s="11">
        <f t="shared" si="427"/>
        <v>0.37820913145685864</v>
      </c>
      <c r="BJ293" s="11">
        <f t="shared" si="427"/>
        <v>0.37077203251908603</v>
      </c>
      <c r="BK293" s="1"/>
      <c r="BL293" s="12"/>
      <c r="BM293" s="23">
        <f t="shared" si="353"/>
        <v>287</v>
      </c>
    </row>
    <row r="294" spans="1:65" ht="12.75" customHeight="1" outlineLevel="1">
      <c r="A294" s="118"/>
      <c r="B294" s="93" t="s">
        <v>310</v>
      </c>
      <c r="C294" s="1"/>
      <c r="D294" s="1"/>
      <c r="E294" s="1"/>
      <c r="F294" s="11"/>
      <c r="G294" s="11">
        <f t="shared" ref="G294:L294" si="428">G292/G290</f>
        <v>0.51767527960810222</v>
      </c>
      <c r="H294" s="11">
        <f t="shared" si="428"/>
        <v>0.52795897040312922</v>
      </c>
      <c r="I294" s="11">
        <f t="shared" si="428"/>
        <v>0.3990872866794356</v>
      </c>
      <c r="J294" s="11">
        <f t="shared" si="428"/>
        <v>0.32055321743090293</v>
      </c>
      <c r="K294" s="11">
        <f t="shared" si="428"/>
        <v>0.17643825880436553</v>
      </c>
      <c r="L294" s="11">
        <f t="shared" si="428"/>
        <v>0.22009951225749882</v>
      </c>
      <c r="M294" s="11">
        <f>M292/M290</f>
        <v>-0.10943304458662821</v>
      </c>
      <c r="N294" s="11">
        <f>N292/N290</f>
        <v>6.6397343036951564E-2</v>
      </c>
      <c r="O294" s="11">
        <f>O292/O290</f>
        <v>0.29096471772224386</v>
      </c>
      <c r="P294" s="11">
        <f>P292/P290</f>
        <v>0.16451867090576516</v>
      </c>
      <c r="Q294" s="11">
        <f>Q292/Q290</f>
        <v>4.9415570271047871E-2</v>
      </c>
      <c r="R294" s="51"/>
      <c r="S294" s="1"/>
      <c r="T294" s="1"/>
      <c r="U294" s="1"/>
      <c r="V294" s="11">
        <f>V292/V290</f>
        <v>0.51767527960810222</v>
      </c>
      <c r="W294" s="1"/>
      <c r="X294" s="1"/>
      <c r="Y294" s="11">
        <f>Y292/Y290</f>
        <v>0.48991021872247398</v>
      </c>
      <c r="Z294" s="11">
        <f>Z292/Z290</f>
        <v>0.52795897040312922</v>
      </c>
      <c r="AA294" s="11">
        <f>AA292/AA290</f>
        <v>0.38328849982522523</v>
      </c>
      <c r="AB294" s="11">
        <f>AB292/AB290</f>
        <v>0.32917148603165669</v>
      </c>
      <c r="AC294" s="11">
        <f>AC292/AC290</f>
        <v>0.33514670221137327</v>
      </c>
      <c r="AD294" s="11">
        <f t="shared" ref="AD294:AI294" si="429">AD292/AD290</f>
        <v>0.3990872866794356</v>
      </c>
      <c r="AE294" s="11">
        <f t="shared" si="429"/>
        <v>0.43083302506376825</v>
      </c>
      <c r="AF294" s="11">
        <f t="shared" si="429"/>
        <v>0.40522997102876307</v>
      </c>
      <c r="AG294" s="11">
        <f t="shared" si="429"/>
        <v>0.33157183665185364</v>
      </c>
      <c r="AH294" s="11">
        <f t="shared" si="429"/>
        <v>0.32055321743090293</v>
      </c>
      <c r="AI294" s="11">
        <f t="shared" si="429"/>
        <v>0.30092208133075737</v>
      </c>
      <c r="AJ294" s="11">
        <f t="shared" ref="AJ294:AO294" si="430">AJ292/AJ290</f>
        <v>0.26083289200225113</v>
      </c>
      <c r="AK294" s="11">
        <f t="shared" si="430"/>
        <v>0.22628549773809245</v>
      </c>
      <c r="AL294" s="11">
        <f t="shared" si="430"/>
        <v>0.17643825880436553</v>
      </c>
      <c r="AM294" s="11">
        <f t="shared" si="430"/>
        <v>0.18648079781045954</v>
      </c>
      <c r="AN294" s="11">
        <f t="shared" si="430"/>
        <v>0.19071079294466908</v>
      </c>
      <c r="AO294" s="11">
        <f t="shared" si="430"/>
        <v>0.2165384935104617</v>
      </c>
      <c r="AP294" s="11">
        <f t="shared" ref="AP294:AU294" si="431">AP292/AP290</f>
        <v>0.22009951225749882</v>
      </c>
      <c r="AQ294" s="11">
        <f t="shared" si="431"/>
        <v>1.9732929457502286E-2</v>
      </c>
      <c r="AR294" s="11">
        <f t="shared" si="431"/>
        <v>3.4742536021881189E-2</v>
      </c>
      <c r="AS294" s="11">
        <f t="shared" si="431"/>
        <v>0.18412495274876922</v>
      </c>
      <c r="AT294" s="11">
        <f t="shared" si="431"/>
        <v>-0.10943304458662821</v>
      </c>
      <c r="AU294" s="11">
        <f t="shared" si="431"/>
        <v>-8.1479953650835171E-2</v>
      </c>
      <c r="AV294" s="11">
        <f t="shared" ref="AV294:BB294" si="432">AV292/AV290</f>
        <v>-4.6990967449105824E-2</v>
      </c>
      <c r="AW294" s="11">
        <f t="shared" si="432"/>
        <v>2.627760284566584E-2</v>
      </c>
      <c r="AX294" s="11">
        <f>AX292/AX290</f>
        <v>6.6397343036951564E-2</v>
      </c>
      <c r="AY294" s="11">
        <f t="shared" si="432"/>
        <v>7.8735458658716728E-2</v>
      </c>
      <c r="AZ294" s="11">
        <f t="shared" si="432"/>
        <v>0.34127568612938042</v>
      </c>
      <c r="BA294" s="11">
        <f t="shared" si="432"/>
        <v>0.32434053041949296</v>
      </c>
      <c r="BB294" s="11">
        <f t="shared" si="432"/>
        <v>0.29096471772224386</v>
      </c>
      <c r="BC294" s="11">
        <f t="shared" ref="BC294:BJ294" si="433">BC292/BC290</f>
        <v>0.25534022195021178</v>
      </c>
      <c r="BD294" s="11">
        <f t="shared" si="433"/>
        <v>0.22258055494313927</v>
      </c>
      <c r="BE294" s="11">
        <f t="shared" si="433"/>
        <v>0.19236196211498793</v>
      </c>
      <c r="BF294" s="11">
        <f t="shared" si="433"/>
        <v>0.16451867090576516</v>
      </c>
      <c r="BG294" s="11">
        <f t="shared" si="433"/>
        <v>0.13747662722441112</v>
      </c>
      <c r="BH294" s="11">
        <f t="shared" si="433"/>
        <v>0.10731705115383813</v>
      </c>
      <c r="BI294" s="11">
        <f t="shared" si="433"/>
        <v>7.77238514707944E-2</v>
      </c>
      <c r="BJ294" s="11">
        <f t="shared" si="433"/>
        <v>4.9415570271047871E-2</v>
      </c>
      <c r="BK294" s="1"/>
      <c r="BL294" s="12"/>
      <c r="BM294" s="23">
        <f t="shared" si="353"/>
        <v>288</v>
      </c>
    </row>
    <row r="295" spans="1:65" ht="12.75" customHeight="1" outlineLevel="1">
      <c r="A295" s="118"/>
      <c r="B295" s="113" t="s">
        <v>311</v>
      </c>
      <c r="C295" s="1"/>
      <c r="D295" s="1"/>
      <c r="E295" s="1"/>
      <c r="F295" s="11"/>
      <c r="G295" s="11">
        <f t="shared" ref="G295:N295" si="434">G292/G284</f>
        <v>1.7828502316428188</v>
      </c>
      <c r="H295" s="11">
        <f t="shared" si="434"/>
        <v>1.66147259993111</v>
      </c>
      <c r="I295" s="11">
        <f t="shared" si="434"/>
        <v>0.83905064438440358</v>
      </c>
      <c r="J295" s="11">
        <f t="shared" si="434"/>
        <v>0.70552613371096762</v>
      </c>
      <c r="K295" s="11">
        <f t="shared" si="434"/>
        <v>0.39590556094855089</v>
      </c>
      <c r="L295" s="11">
        <f t="shared" si="434"/>
        <v>0.50181041057665032</v>
      </c>
      <c r="M295" s="11">
        <f t="shared" si="434"/>
        <v>-0.15373559833188041</v>
      </c>
      <c r="N295" s="11">
        <f t="shared" si="434"/>
        <v>9.0704228982904506E-2</v>
      </c>
      <c r="O295" s="11">
        <f>O292/O284</f>
        <v>0.52242066214781691</v>
      </c>
      <c r="P295" s="11">
        <f>P292/P284</f>
        <v>0.27552384267241181</v>
      </c>
      <c r="Q295" s="11">
        <f>Q292/Q284</f>
        <v>7.8533652070299581E-2</v>
      </c>
      <c r="R295" s="51"/>
      <c r="S295" s="1"/>
      <c r="T295" s="1"/>
      <c r="U295" s="1"/>
      <c r="V295" s="11">
        <f>V292/V284</f>
        <v>1.7828502316428188</v>
      </c>
      <c r="W295" s="1"/>
      <c r="X295" s="1"/>
      <c r="Y295" s="11">
        <f t="shared" ref="Y295:AM295" si="435">Y292/Y284</f>
        <v>1.5589014959646104</v>
      </c>
      <c r="Z295" s="11">
        <f t="shared" si="435"/>
        <v>1.66147259993111</v>
      </c>
      <c r="AA295" s="11">
        <f t="shared" si="435"/>
        <v>0.88530279020319724</v>
      </c>
      <c r="AB295" s="11">
        <f t="shared" si="435"/>
        <v>0.72036194142167809</v>
      </c>
      <c r="AC295" s="11">
        <f t="shared" si="435"/>
        <v>0.70093371622415912</v>
      </c>
      <c r="AD295" s="11">
        <f t="shared" si="435"/>
        <v>0.83905064438440358</v>
      </c>
      <c r="AE295" s="11">
        <f t="shared" si="435"/>
        <v>0.88640991412803094</v>
      </c>
      <c r="AF295" s="11">
        <f t="shared" si="435"/>
        <v>0.80141254362707659</v>
      </c>
      <c r="AG295" s="11">
        <f t="shared" si="435"/>
        <v>0.76105699366582535</v>
      </c>
      <c r="AH295" s="11">
        <f t="shared" si="435"/>
        <v>0.70552613371096762</v>
      </c>
      <c r="AI295" s="11">
        <f t="shared" si="435"/>
        <v>0.64231527515858045</v>
      </c>
      <c r="AJ295" s="11">
        <f t="shared" si="435"/>
        <v>0.53363660024216097</v>
      </c>
      <c r="AK295" s="11">
        <f t="shared" si="435"/>
        <v>0.43966528865402171</v>
      </c>
      <c r="AL295" s="11">
        <f t="shared" si="435"/>
        <v>0.39590556094855089</v>
      </c>
      <c r="AM295" s="11">
        <f t="shared" si="435"/>
        <v>0.41800486373502704</v>
      </c>
      <c r="AN295" s="11">
        <f t="shared" ref="AN295:AS295" si="436">AN292/AN284</f>
        <v>0.42360748417694105</v>
      </c>
      <c r="AO295" s="11">
        <f t="shared" si="436"/>
        <v>0.48473471522655903</v>
      </c>
      <c r="AP295" s="11">
        <f t="shared" si="436"/>
        <v>0.50181041057665032</v>
      </c>
      <c r="AQ295" s="11">
        <f t="shared" si="436"/>
        <v>3.7186054598886992E-2</v>
      </c>
      <c r="AR295" s="11">
        <f t="shared" si="436"/>
        <v>6.6192416679905219E-2</v>
      </c>
      <c r="AS295" s="11">
        <f t="shared" si="436"/>
        <v>0.299176733946312</v>
      </c>
      <c r="AT295" s="11">
        <f t="shared" ref="AT295:BB295" si="437">AT292/AT284</f>
        <v>-0.15373559833188041</v>
      </c>
      <c r="AU295" s="11">
        <f t="shared" si="437"/>
        <v>-0.11442849337779537</v>
      </c>
      <c r="AV295" s="11">
        <f t="shared" si="437"/>
        <v>-6.5511039711013894E-2</v>
      </c>
      <c r="AW295" s="11">
        <f t="shared" si="437"/>
        <v>3.6263479624405515E-2</v>
      </c>
      <c r="AX295" s="11">
        <f t="shared" si="437"/>
        <v>9.0704228982904506E-2</v>
      </c>
      <c r="AY295" s="11">
        <f t="shared" si="437"/>
        <v>0.10691637044287143</v>
      </c>
      <c r="AZ295" s="11">
        <f t="shared" si="437"/>
        <v>0.64130393405314068</v>
      </c>
      <c r="BA295" s="11">
        <f t="shared" si="437"/>
        <v>0.59581632392011885</v>
      </c>
      <c r="BB295" s="11">
        <f t="shared" si="437"/>
        <v>0.52242066214781691</v>
      </c>
      <c r="BC295" s="11">
        <f t="shared" ref="BC295:BJ295" si="438">BC292/BC284</f>
        <v>0.4493340132779382</v>
      </c>
      <c r="BD295" s="11">
        <f t="shared" si="438"/>
        <v>0.38458377630981688</v>
      </c>
      <c r="BE295" s="11">
        <f t="shared" si="438"/>
        <v>0.32688650113746504</v>
      </c>
      <c r="BF295" s="11">
        <f t="shared" si="438"/>
        <v>0.27552384267241181</v>
      </c>
      <c r="BG295" s="11">
        <f t="shared" si="438"/>
        <v>0.22708237612913801</v>
      </c>
      <c r="BH295" s="11">
        <f t="shared" si="438"/>
        <v>0.17485494394125903</v>
      </c>
      <c r="BI295" s="11">
        <f t="shared" si="438"/>
        <v>0.12499998858603655</v>
      </c>
      <c r="BJ295" s="11">
        <f t="shared" si="438"/>
        <v>7.8533652070299581E-2</v>
      </c>
      <c r="BK295" s="1"/>
      <c r="BL295" s="12"/>
      <c r="BM295" s="23">
        <f t="shared" si="353"/>
        <v>289</v>
      </c>
    </row>
    <row r="296" spans="1:65" ht="12.75" customHeight="1" outlineLevel="1">
      <c r="A296" s="118"/>
      <c r="B296" s="40" t="s">
        <v>332</v>
      </c>
      <c r="C296" s="1"/>
      <c r="D296" s="1"/>
      <c r="E296" s="1"/>
      <c r="F296" s="43"/>
      <c r="G296" s="43">
        <f t="shared" ref="G296:Q296" si="439">G291/(G$200)</f>
        <v>3.6517091399166866</v>
      </c>
      <c r="H296" s="43">
        <f t="shared" si="439"/>
        <v>2.8751592496595348</v>
      </c>
      <c r="I296" s="43">
        <f t="shared" si="439"/>
        <v>1.7729881088149977</v>
      </c>
      <c r="J296" s="43">
        <f t="shared" si="439"/>
        <v>2.46276197232591</v>
      </c>
      <c r="K296" s="43">
        <f t="shared" si="439"/>
        <v>2.2576566615427485</v>
      </c>
      <c r="L296" s="43">
        <f t="shared" si="439"/>
        <v>5.523339212703573</v>
      </c>
      <c r="M296" s="43">
        <f t="shared" si="439"/>
        <v>22.275398643100985</v>
      </c>
      <c r="N296" s="43">
        <f t="shared" si="439"/>
        <v>1.8847827048708912</v>
      </c>
      <c r="O296" s="43">
        <f t="shared" si="439"/>
        <v>2.6680302919303718</v>
      </c>
      <c r="P296" s="43">
        <f t="shared" si="439"/>
        <v>2.2085803277091638</v>
      </c>
      <c r="Q296" s="43">
        <f t="shared" si="439"/>
        <v>2.295034870446452</v>
      </c>
      <c r="R296" s="51"/>
      <c r="S296" s="1"/>
      <c r="T296" s="1"/>
      <c r="U296" s="1"/>
      <c r="V296" s="1"/>
      <c r="W296" s="1"/>
      <c r="X296" s="1"/>
      <c r="Y296" s="43">
        <f t="shared" ref="Y296:BJ296" si="440">Y291/(Y$200*4)</f>
        <v>2.809879979126805</v>
      </c>
      <c r="Z296" s="43">
        <f t="shared" si="440"/>
        <v>2.4490065110013468</v>
      </c>
      <c r="AA296" s="43">
        <f t="shared" si="440"/>
        <v>1.8256234971760894</v>
      </c>
      <c r="AB296" s="43">
        <f t="shared" si="440"/>
        <v>1.8114468049607924</v>
      </c>
      <c r="AC296" s="43">
        <f t="shared" si="440"/>
        <v>1.8031017645100433</v>
      </c>
      <c r="AD296" s="43">
        <f t="shared" si="440"/>
        <v>1.7594791790084505</v>
      </c>
      <c r="AE296" s="43">
        <f t="shared" si="440"/>
        <v>1.8690519791519931</v>
      </c>
      <c r="AF296" s="43">
        <f t="shared" si="440"/>
        <v>1.6552165753702577</v>
      </c>
      <c r="AG296" s="43">
        <f t="shared" si="440"/>
        <v>2.2343303989061867</v>
      </c>
      <c r="AH296" s="43">
        <f t="shared" si="440"/>
        <v>2.7144120312180298</v>
      </c>
      <c r="AI296" s="43">
        <f t="shared" si="440"/>
        <v>2.4457431362196411</v>
      </c>
      <c r="AJ296" s="43">
        <f t="shared" si="440"/>
        <v>1.7079060184415247</v>
      </c>
      <c r="AK296" s="43">
        <f t="shared" si="440"/>
        <v>1.241718175574678</v>
      </c>
      <c r="AL296" s="43">
        <f t="shared" si="440"/>
        <v>2.2332251467188331</v>
      </c>
      <c r="AM296" s="43">
        <f t="shared" si="440"/>
        <v>2.6095915005069283</v>
      </c>
      <c r="AN296" s="43">
        <f t="shared" si="440"/>
        <v>7.7025024448671546</v>
      </c>
      <c r="AO296" s="43">
        <f t="shared" si="440"/>
        <v>6.2346202531645574</v>
      </c>
      <c r="AP296" s="43">
        <f t="shared" si="440"/>
        <v>20.778608857336035</v>
      </c>
      <c r="AQ296" s="43">
        <f t="shared" si="440"/>
        <v>49.96671416938112</v>
      </c>
      <c r="AR296" s="43">
        <f t="shared" si="440"/>
        <v>152.75592269326725</v>
      </c>
      <c r="AS296" s="43">
        <f t="shared" si="440"/>
        <v>36.013008245663904</v>
      </c>
      <c r="AT296" s="43">
        <f t="shared" si="440"/>
        <v>7.8741751191494549</v>
      </c>
      <c r="AU296" s="43">
        <f t="shared" si="440"/>
        <v>3.6815199679826192</v>
      </c>
      <c r="AV296" s="43">
        <f t="shared" si="440"/>
        <v>1.9138226783210528</v>
      </c>
      <c r="AW296" s="43">
        <f t="shared" si="440"/>
        <v>1.4644963313447166</v>
      </c>
      <c r="AX296" s="43">
        <f>AX291/(AX$200*4)</f>
        <v>1.5639293711684594</v>
      </c>
      <c r="AY296" s="43">
        <f t="shared" si="440"/>
        <v>1.7153831263875372</v>
      </c>
      <c r="AZ296" s="43">
        <f t="shared" si="440"/>
        <v>3.0751295946561403</v>
      </c>
      <c r="BA296" s="43">
        <f t="shared" si="440"/>
        <v>2.1731143984843273</v>
      </c>
      <c r="BB296" s="43">
        <f t="shared" si="440"/>
        <v>2.0620804951215397</v>
      </c>
      <c r="BC296" s="43">
        <f t="shared" si="440"/>
        <v>2.1350817636124044</v>
      </c>
      <c r="BD296" s="43">
        <f t="shared" si="440"/>
        <v>2.172759473255824</v>
      </c>
      <c r="BE296" s="43">
        <f t="shared" si="440"/>
        <v>2.2179702866752127</v>
      </c>
      <c r="BF296" s="43">
        <f t="shared" si="440"/>
        <v>2.32174403440359</v>
      </c>
      <c r="BG296" s="43">
        <f t="shared" si="440"/>
        <v>2.3267428049189971</v>
      </c>
      <c r="BH296" s="43">
        <f t="shared" si="440"/>
        <v>2.2644443393059657</v>
      </c>
      <c r="BI296" s="43">
        <f t="shared" si="440"/>
        <v>2.2665365221483791</v>
      </c>
      <c r="BJ296" s="43">
        <f t="shared" si="440"/>
        <v>2.3287473584216563</v>
      </c>
      <c r="BK296" s="1"/>
      <c r="BL296" s="86"/>
      <c r="BM296" s="23">
        <f t="shared" si="353"/>
        <v>290</v>
      </c>
    </row>
    <row r="297" spans="1:65" ht="12.75" customHeight="1" outlineLevel="1">
      <c r="A297" s="118"/>
      <c r="B297" s="40" t="s">
        <v>333</v>
      </c>
      <c r="C297" s="1"/>
      <c r="D297" s="1"/>
      <c r="E297" s="1"/>
      <c r="F297" s="43"/>
      <c r="G297" s="43">
        <f t="shared" ref="G297:Q297" si="441">G292/(G$200)</f>
        <v>2.6638997794658166</v>
      </c>
      <c r="H297" s="43">
        <f t="shared" si="441"/>
        <v>2.2249923120854014</v>
      </c>
      <c r="I297" s="43">
        <f t="shared" si="441"/>
        <v>1.3494145338865107</v>
      </c>
      <c r="J297" s="43">
        <f t="shared" si="441"/>
        <v>1.4467900309626263</v>
      </c>
      <c r="K297" s="43">
        <f t="shared" si="441"/>
        <v>0.71857555082117541</v>
      </c>
      <c r="L297" s="43">
        <f t="shared" si="441"/>
        <v>2.165493151555876</v>
      </c>
      <c r="M297" s="43">
        <f t="shared" si="441"/>
        <v>-8.4590121429497405</v>
      </c>
      <c r="N297" s="43">
        <f t="shared" si="441"/>
        <v>0.46699281827432138</v>
      </c>
      <c r="O297" s="43">
        <f t="shared" si="441"/>
        <v>1.7521976440024689</v>
      </c>
      <c r="P297" s="43">
        <f t="shared" si="441"/>
        <v>0.90187088209115851</v>
      </c>
      <c r="Q297" s="43">
        <f t="shared" si="441"/>
        <v>0.30587651432208257</v>
      </c>
      <c r="R297" s="51"/>
      <c r="S297" s="1"/>
      <c r="T297" s="1"/>
      <c r="U297" s="1"/>
      <c r="V297" s="1"/>
      <c r="W297" s="1"/>
      <c r="X297" s="1"/>
      <c r="Y297" s="43">
        <f t="shared" ref="Y297:BJ297" si="442">Y292/(Y$200*4)</f>
        <v>2.0074686902069927</v>
      </c>
      <c r="Z297" s="43">
        <f t="shared" si="442"/>
        <v>1.8952065559048041</v>
      </c>
      <c r="AA297" s="43">
        <f t="shared" si="442"/>
        <v>1.2339931778784321</v>
      </c>
      <c r="AB297" s="43">
        <f t="shared" si="442"/>
        <v>1.0980201323619379</v>
      </c>
      <c r="AC297" s="43">
        <f t="shared" si="442"/>
        <v>1.1579874597713906</v>
      </c>
      <c r="AD297" s="43">
        <f t="shared" si="442"/>
        <v>1.3391329385799347</v>
      </c>
      <c r="AE297" s="43">
        <f t="shared" si="442"/>
        <v>1.566762924355543</v>
      </c>
      <c r="AF297" s="43">
        <f t="shared" si="442"/>
        <v>1.3568041184824509</v>
      </c>
      <c r="AG297" s="43">
        <f t="shared" si="442"/>
        <v>1.3127863465182663</v>
      </c>
      <c r="AH297" s="43">
        <f t="shared" si="442"/>
        <v>1.5946259974861889</v>
      </c>
      <c r="AI297" s="43">
        <f t="shared" si="442"/>
        <v>1.3847082893347411</v>
      </c>
      <c r="AJ297" s="43">
        <f t="shared" si="442"/>
        <v>0.87140824509858261</v>
      </c>
      <c r="AK297" s="43">
        <f t="shared" si="442"/>
        <v>0.57896012604532798</v>
      </c>
      <c r="AL297" s="43">
        <f t="shared" si="442"/>
        <v>0.71079939534056569</v>
      </c>
      <c r="AM297" s="43">
        <f t="shared" si="442"/>
        <v>0.87860130111524182</v>
      </c>
      <c r="AN297" s="43">
        <f t="shared" si="442"/>
        <v>2.6718213916820819</v>
      </c>
      <c r="AO297" s="43">
        <f t="shared" si="442"/>
        <v>2.4400379746835448</v>
      </c>
      <c r="AP297" s="43">
        <f t="shared" si="442"/>
        <v>8.1465094658553063</v>
      </c>
      <c r="AQ297" s="43">
        <f t="shared" si="442"/>
        <v>2.1007736156351888</v>
      </c>
      <c r="AR297" s="43">
        <f t="shared" si="442"/>
        <v>11.169887780548649</v>
      </c>
      <c r="AS297" s="43">
        <f t="shared" si="442"/>
        <v>17.242749502416828</v>
      </c>
      <c r="AT297" s="43">
        <f t="shared" si="442"/>
        <v>-2.9901930832213117</v>
      </c>
      <c r="AU297" s="43">
        <f t="shared" si="442"/>
        <v>-1.0417798233326661</v>
      </c>
      <c r="AV297" s="43">
        <f t="shared" si="442"/>
        <v>-0.31811774708391749</v>
      </c>
      <c r="AW297" s="43">
        <f t="shared" si="442"/>
        <v>0.13975176575464593</v>
      </c>
      <c r="AX297" s="43">
        <f>AX292/(AX$200*4)</f>
        <v>0.38749495246136351</v>
      </c>
      <c r="AY297" s="43">
        <f t="shared" si="442"/>
        <v>0.51241361680741604</v>
      </c>
      <c r="AZ297" s="43">
        <f t="shared" si="442"/>
        <v>2.2432130850119965</v>
      </c>
      <c r="BA297" s="43">
        <f t="shared" si="442"/>
        <v>1.5469101831746312</v>
      </c>
      <c r="BB297" s="43">
        <f t="shared" si="442"/>
        <v>1.354247212343757</v>
      </c>
      <c r="BC297" s="43">
        <f t="shared" si="442"/>
        <v>1.2627436887229204</v>
      </c>
      <c r="BD297" s="43">
        <f t="shared" si="442"/>
        <v>1.1480642200183055</v>
      </c>
      <c r="BE297" s="43">
        <f t="shared" si="442"/>
        <v>1.0367412918585475</v>
      </c>
      <c r="BF297" s="43">
        <f t="shared" si="442"/>
        <v>0.94808113339909594</v>
      </c>
      <c r="BG297" s="43">
        <f t="shared" si="442"/>
        <v>0.81063397998823949</v>
      </c>
      <c r="BH297" s="43">
        <f t="shared" si="442"/>
        <v>0.6291595464662636</v>
      </c>
      <c r="BI297" s="43">
        <f t="shared" si="442"/>
        <v>0.46578449156425533</v>
      </c>
      <c r="BJ297" s="43">
        <f t="shared" si="442"/>
        <v>0.31036963050248062</v>
      </c>
      <c r="BK297" s="1"/>
      <c r="BL297" s="86"/>
      <c r="BM297" s="23">
        <f t="shared" si="353"/>
        <v>291</v>
      </c>
    </row>
    <row r="298" spans="1:65" ht="12.75" customHeight="1" outlineLevel="1">
      <c r="A298" s="118"/>
      <c r="B298" s="40"/>
      <c r="C298" s="1"/>
      <c r="D298" s="1"/>
      <c r="E298" s="1"/>
      <c r="F298" s="1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51"/>
      <c r="S298" s="1"/>
      <c r="T298" s="1"/>
      <c r="U298" s="1"/>
      <c r="V298" s="1"/>
      <c r="W298" s="1"/>
      <c r="X298" s="1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43"/>
      <c r="AS298" s="43"/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1"/>
      <c r="BL298" s="86"/>
      <c r="BM298" s="23">
        <f t="shared" si="353"/>
        <v>292</v>
      </c>
    </row>
    <row r="299" spans="1:65" ht="12.75" customHeight="1" outlineLevel="1">
      <c r="A299" s="118"/>
      <c r="B299" s="113" t="s">
        <v>312</v>
      </c>
      <c r="C299" s="1"/>
      <c r="D299" s="1"/>
      <c r="E299" s="1"/>
      <c r="F299" s="43"/>
      <c r="G299" s="43">
        <f t="shared" ref="G299:Q299" si="443">G292/G200</f>
        <v>2.6638997794658166</v>
      </c>
      <c r="H299" s="43">
        <f t="shared" si="443"/>
        <v>2.2249923120854014</v>
      </c>
      <c r="I299" s="43">
        <f t="shared" si="443"/>
        <v>1.3494145338865107</v>
      </c>
      <c r="J299" s="43">
        <f t="shared" si="443"/>
        <v>1.4467900309626263</v>
      </c>
      <c r="K299" s="43">
        <f t="shared" si="443"/>
        <v>0.71857555082117541</v>
      </c>
      <c r="L299" s="43">
        <f t="shared" si="443"/>
        <v>2.165493151555876</v>
      </c>
      <c r="M299" s="43">
        <f t="shared" si="443"/>
        <v>-8.4590121429497405</v>
      </c>
      <c r="N299" s="43">
        <f t="shared" si="443"/>
        <v>0.46699281827432138</v>
      </c>
      <c r="O299" s="43">
        <f t="shared" si="443"/>
        <v>1.7521976440024689</v>
      </c>
      <c r="P299" s="43">
        <f t="shared" si="443"/>
        <v>0.90187088209115851</v>
      </c>
      <c r="Q299" s="43">
        <f t="shared" si="443"/>
        <v>0.30587651432208257</v>
      </c>
      <c r="R299" s="51"/>
      <c r="S299" s="1"/>
      <c r="T299" s="1"/>
      <c r="U299" s="1"/>
      <c r="V299" s="1"/>
      <c r="W299" s="1"/>
      <c r="X299" s="1"/>
      <c r="Y299" s="43">
        <f t="shared" ref="Y299:BJ299" si="444">Y292/SUM(V200:Y200)</f>
        <v>2.3837216807590522</v>
      </c>
      <c r="Z299" s="43">
        <f t="shared" si="444"/>
        <v>2.2249923120854014</v>
      </c>
      <c r="AA299" s="43">
        <f t="shared" si="444"/>
        <v>1.5906654052349414</v>
      </c>
      <c r="AB299" s="43">
        <f t="shared" si="444"/>
        <v>1.3005401488702983</v>
      </c>
      <c r="AC299" s="43">
        <f t="shared" si="444"/>
        <v>1.2413305971924817</v>
      </c>
      <c r="AD299" s="43">
        <f t="shared" si="444"/>
        <v>1.3494145338865107</v>
      </c>
      <c r="AE299" s="43">
        <f t="shared" si="444"/>
        <v>1.5470010160389502</v>
      </c>
      <c r="AF299" s="43">
        <f t="shared" si="444"/>
        <v>1.4532162372668891</v>
      </c>
      <c r="AG299" s="43">
        <f t="shared" si="444"/>
        <v>1.4316713175901694</v>
      </c>
      <c r="AH299" s="43">
        <f t="shared" si="444"/>
        <v>1.4467900309626263</v>
      </c>
      <c r="AI299" s="43">
        <f t="shared" si="444"/>
        <v>1.3694162337153746</v>
      </c>
      <c r="AJ299" s="43">
        <f t="shared" si="444"/>
        <v>1.1234983352888974</v>
      </c>
      <c r="AK299" s="43">
        <f t="shared" si="444"/>
        <v>0.8578569041288594</v>
      </c>
      <c r="AL299" s="43">
        <f t="shared" si="444"/>
        <v>0.71857555082117552</v>
      </c>
      <c r="AM299" s="43">
        <f t="shared" si="444"/>
        <v>0.71733563267945688</v>
      </c>
      <c r="AN299" s="43">
        <f t="shared" si="444"/>
        <v>0.88284966623529371</v>
      </c>
      <c r="AO299" s="43">
        <f t="shared" si="444"/>
        <v>1.3834287111103334</v>
      </c>
      <c r="AP299" s="43">
        <f t="shared" si="444"/>
        <v>2.1654931515558768</v>
      </c>
      <c r="AQ299" s="43">
        <f t="shared" si="444"/>
        <v>0.4676092564790798</v>
      </c>
      <c r="AR299" s="43">
        <f t="shared" si="444"/>
        <v>1.2388673765730871</v>
      </c>
      <c r="AS299" s="43">
        <f t="shared" si="444"/>
        <v>19.113623827909546</v>
      </c>
      <c r="AT299" s="43">
        <f t="shared" si="444"/>
        <v>-8.4590121429497422</v>
      </c>
      <c r="AU299" s="43">
        <f t="shared" si="444"/>
        <v>-2.6186541156181504</v>
      </c>
      <c r="AV299" s="43">
        <f t="shared" si="444"/>
        <v>-0.69979328334946578</v>
      </c>
      <c r="AW299" s="43">
        <f t="shared" si="444"/>
        <v>0.23756720919727828</v>
      </c>
      <c r="AX299" s="43">
        <f t="shared" si="444"/>
        <v>0.46699281827432149</v>
      </c>
      <c r="AY299" s="43">
        <f t="shared" si="444"/>
        <v>0.49073815675721638</v>
      </c>
      <c r="AZ299" s="43">
        <f t="shared" si="444"/>
        <v>2.7186998386445622</v>
      </c>
      <c r="BA299" s="43">
        <f t="shared" si="444"/>
        <v>2.2508811869412448</v>
      </c>
      <c r="BB299" s="43">
        <f t="shared" si="444"/>
        <v>1.7521976440024689</v>
      </c>
      <c r="BC299" s="43">
        <f t="shared" si="444"/>
        <v>1.3600132923200503</v>
      </c>
      <c r="BD299" s="43">
        <f t="shared" si="444"/>
        <v>1.1274275058188317</v>
      </c>
      <c r="BE299" s="43">
        <f t="shared" si="444"/>
        <v>1.0023223831038433</v>
      </c>
      <c r="BF299" s="43">
        <f t="shared" si="444"/>
        <v>0.90187088209115862</v>
      </c>
      <c r="BG299" s="43">
        <f t="shared" si="444"/>
        <v>0.78622373209675633</v>
      </c>
      <c r="BH299" s="43">
        <f t="shared" si="444"/>
        <v>0.63367206219966021</v>
      </c>
      <c r="BI299" s="43">
        <f t="shared" si="444"/>
        <v>0.47129273044561781</v>
      </c>
      <c r="BJ299" s="43">
        <f t="shared" si="444"/>
        <v>0.30587651432208263</v>
      </c>
      <c r="BK299" s="1"/>
      <c r="BL299" s="86"/>
      <c r="BM299" s="23">
        <f t="shared" si="353"/>
        <v>293</v>
      </c>
    </row>
    <row r="300" spans="1:65" ht="12.75" customHeight="1" outlineLevel="1">
      <c r="A300" s="118"/>
      <c r="B300" s="113" t="s">
        <v>313</v>
      </c>
      <c r="C300" s="1"/>
      <c r="D300" s="1"/>
      <c r="E300" s="1"/>
      <c r="F300" s="43"/>
      <c r="G300" s="43">
        <f t="shared" ref="G300:Q300" si="445">G292/G25</f>
        <v>3.7820877997869138</v>
      </c>
      <c r="H300" s="43">
        <f t="shared" si="445"/>
        <v>2.8919532354074762</v>
      </c>
      <c r="I300" s="43">
        <f t="shared" si="445"/>
        <v>1.6341096635416765</v>
      </c>
      <c r="J300" s="43">
        <f t="shared" si="445"/>
        <v>1.9073237245321613</v>
      </c>
      <c r="K300" s="43">
        <f t="shared" si="445"/>
        <v>0.90086044165957635</v>
      </c>
      <c r="L300" s="43">
        <f t="shared" si="445"/>
        <v>6.0911291744420204</v>
      </c>
      <c r="M300" s="43">
        <f t="shared" si="445"/>
        <v>4.350676771942303</v>
      </c>
      <c r="N300" s="43">
        <f t="shared" si="445"/>
        <v>0.72793673963140271</v>
      </c>
      <c r="O300" s="43">
        <f t="shared" si="445"/>
        <v>2.5115228949194108</v>
      </c>
      <c r="P300" s="43">
        <f t="shared" si="445"/>
        <v>1.245246107009482</v>
      </c>
      <c r="Q300" s="43">
        <f t="shared" si="445"/>
        <v>0.42281288985223181</v>
      </c>
      <c r="R300" s="51"/>
      <c r="S300" s="1"/>
      <c r="T300" s="1"/>
      <c r="U300" s="1"/>
      <c r="V300" s="1"/>
      <c r="W300" s="1"/>
      <c r="X300" s="1"/>
      <c r="Y300" s="43">
        <f t="shared" ref="Y300:BJ300" si="446">Y292/SUM(V25:Y25)</f>
        <v>3.2515980207434532</v>
      </c>
      <c r="Z300" s="43">
        <f t="shared" si="446"/>
        <v>2.8919532354074762</v>
      </c>
      <c r="AA300" s="43">
        <f t="shared" si="446"/>
        <v>1.981435963051505</v>
      </c>
      <c r="AB300" s="43">
        <f t="shared" si="446"/>
        <v>1.5980493332523928</v>
      </c>
      <c r="AC300" s="43">
        <f t="shared" si="446"/>
        <v>1.5012093909884638</v>
      </c>
      <c r="AD300" s="43">
        <f t="shared" si="446"/>
        <v>1.6341096635416767</v>
      </c>
      <c r="AE300" s="43">
        <f t="shared" si="446"/>
        <v>1.9111609033744665</v>
      </c>
      <c r="AF300" s="43">
        <f t="shared" si="446"/>
        <v>1.8299134577810614</v>
      </c>
      <c r="AG300" s="43">
        <f t="shared" si="446"/>
        <v>1.8333100242275122</v>
      </c>
      <c r="AH300" s="43">
        <f t="shared" si="446"/>
        <v>1.9073237245321613</v>
      </c>
      <c r="AI300" s="43">
        <f t="shared" si="446"/>
        <v>1.8168128642310988</v>
      </c>
      <c r="AJ300" s="43">
        <f t="shared" si="446"/>
        <v>1.4654785304194475</v>
      </c>
      <c r="AK300" s="43">
        <f t="shared" si="446"/>
        <v>1.0883339450934728</v>
      </c>
      <c r="AL300" s="43">
        <f t="shared" si="446"/>
        <v>0.90086044165957635</v>
      </c>
      <c r="AM300" s="43">
        <f t="shared" si="446"/>
        <v>0.90783895415136662</v>
      </c>
      <c r="AN300" s="43">
        <f t="shared" si="446"/>
        <v>1.2067271032668792</v>
      </c>
      <c r="AO300" s="43">
        <f t="shared" si="446"/>
        <v>2.2791383108958287</v>
      </c>
      <c r="AP300" s="43">
        <f t="shared" si="446"/>
        <v>6.0911291744420266</v>
      </c>
      <c r="AQ300" s="43">
        <f t="shared" si="446"/>
        <v>-1.4182379434656522</v>
      </c>
      <c r="AR300" s="43">
        <f t="shared" si="446"/>
        <v>-1.1456661444511931</v>
      </c>
      <c r="AS300" s="43">
        <f t="shared" si="446"/>
        <v>-4.8977527409291906</v>
      </c>
      <c r="AT300" s="43">
        <f t="shared" si="446"/>
        <v>4.350676771942303</v>
      </c>
      <c r="AU300" s="43">
        <f t="shared" si="446"/>
        <v>7.4711701091691856</v>
      </c>
      <c r="AV300" s="43">
        <f t="shared" si="446"/>
        <v>-2.226691376070161</v>
      </c>
      <c r="AW300" s="43">
        <f t="shared" si="446"/>
        <v>0.42608127531686962</v>
      </c>
      <c r="AX300" s="43">
        <f t="shared" si="446"/>
        <v>0.72793673963140293</v>
      </c>
      <c r="AY300" s="43">
        <f t="shared" si="446"/>
        <v>0.75475593989212775</v>
      </c>
      <c r="AZ300" s="43">
        <f t="shared" si="446"/>
        <v>4.0856162723958915</v>
      </c>
      <c r="BA300" s="43">
        <f t="shared" si="446"/>
        <v>3.3321293537324208</v>
      </c>
      <c r="BB300" s="43">
        <f t="shared" si="446"/>
        <v>2.5115228949194108</v>
      </c>
      <c r="BC300" s="43">
        <f t="shared" si="446"/>
        <v>1.8755567070719028</v>
      </c>
      <c r="BD300" s="43">
        <f t="shared" si="446"/>
        <v>1.5436637288966415</v>
      </c>
      <c r="BE300" s="43">
        <f t="shared" si="446"/>
        <v>1.3720951028397763</v>
      </c>
      <c r="BF300" s="43">
        <f t="shared" si="446"/>
        <v>1.245246107009482</v>
      </c>
      <c r="BG300" s="43">
        <f t="shared" si="446"/>
        <v>1.091385523614365</v>
      </c>
      <c r="BH300" s="43">
        <f t="shared" si="446"/>
        <v>0.8806736954129063</v>
      </c>
      <c r="BI300" s="43">
        <f t="shared" si="446"/>
        <v>0.65405124678458881</v>
      </c>
      <c r="BJ300" s="43">
        <f t="shared" si="446"/>
        <v>0.42281288985223198</v>
      </c>
      <c r="BK300" s="1"/>
      <c r="BL300" s="86"/>
      <c r="BM300" s="23">
        <f t="shared" si="353"/>
        <v>294</v>
      </c>
    </row>
    <row r="301" spans="1:65" ht="12.75" customHeight="1" outlineLevel="1">
      <c r="A301" s="118"/>
      <c r="B301" s="113"/>
      <c r="C301" s="1"/>
      <c r="D301" s="1"/>
      <c r="E301" s="1"/>
      <c r="F301" s="1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51"/>
      <c r="S301" s="1"/>
      <c r="T301" s="1"/>
      <c r="U301" s="1"/>
      <c r="V301" s="1"/>
      <c r="W301" s="1"/>
      <c r="X301" s="1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43"/>
      <c r="AS301" s="43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1"/>
      <c r="BL301" s="86"/>
      <c r="BM301" s="23">
        <f t="shared" si="353"/>
        <v>295</v>
      </c>
    </row>
    <row r="302" spans="1:65" ht="12.75" customHeight="1" outlineLevel="1">
      <c r="A302" s="118"/>
      <c r="B302" s="40" t="s">
        <v>120</v>
      </c>
      <c r="C302" s="1"/>
      <c r="D302" s="1"/>
      <c r="E302" s="43">
        <f t="shared" ref="E302:Q302" si="447">E$200/-E$26</f>
        <v>10.956565402962593</v>
      </c>
      <c r="F302" s="43">
        <f t="shared" si="447"/>
        <v>1.5410585234518914</v>
      </c>
      <c r="G302" s="43">
        <f t="shared" si="447"/>
        <v>2.8403149332289357</v>
      </c>
      <c r="H302" s="43">
        <f t="shared" si="447"/>
        <v>4.9465964035421308</v>
      </c>
      <c r="I302" s="43">
        <f t="shared" si="447"/>
        <v>10.44325480246466</v>
      </c>
      <c r="J302" s="43">
        <f t="shared" si="447"/>
        <v>9.8316276644286535</v>
      </c>
      <c r="K302" s="43">
        <f t="shared" si="447"/>
        <v>12.223162289858257</v>
      </c>
      <c r="L302" s="43">
        <f t="shared" si="447"/>
        <v>3.3462313937753723</v>
      </c>
      <c r="M302" s="43">
        <f t="shared" si="447"/>
        <v>0.82729157729157743</v>
      </c>
      <c r="N302" s="43">
        <f t="shared" si="447"/>
        <v>8.6543296535000973</v>
      </c>
      <c r="O302" s="43">
        <f t="shared" si="447"/>
        <v>8.9694076899629103</v>
      </c>
      <c r="P302" s="43">
        <f t="shared" si="447"/>
        <v>7.5399815439893514</v>
      </c>
      <c r="Q302" s="43">
        <f t="shared" si="447"/>
        <v>7.2559403130559206</v>
      </c>
      <c r="R302" s="51"/>
      <c r="S302" s="1"/>
      <c r="T302" s="1"/>
      <c r="U302" s="1"/>
      <c r="V302" s="1"/>
      <c r="W302" s="1"/>
      <c r="X302" s="1"/>
      <c r="Y302" s="43">
        <f t="shared" ref="Y302:BJ302" si="448">Y$200/-Y$26</f>
        <v>6.0010438413361165</v>
      </c>
      <c r="Z302" s="43">
        <f t="shared" si="448"/>
        <v>6.8487954894925682</v>
      </c>
      <c r="AA302" s="43">
        <f t="shared" si="448"/>
        <v>9.4195417434816928</v>
      </c>
      <c r="AB302" s="43">
        <f t="shared" si="448"/>
        <v>10.490665110851806</v>
      </c>
      <c r="AC302" s="43">
        <f t="shared" si="448"/>
        <v>10.837041491280816</v>
      </c>
      <c r="AD302" s="43">
        <f t="shared" si="448"/>
        <v>11.187638717632552</v>
      </c>
      <c r="AE302" s="43">
        <f t="shared" si="448"/>
        <v>9.9258948545861312</v>
      </c>
      <c r="AF302" s="43">
        <f t="shared" si="448"/>
        <v>11.154738330975954</v>
      </c>
      <c r="AG302" s="43">
        <f t="shared" si="448"/>
        <v>10.06008687258687</v>
      </c>
      <c r="AH302" s="43">
        <f t="shared" si="448"/>
        <v>8.3727361722956424</v>
      </c>
      <c r="AI302" s="43">
        <f t="shared" si="448"/>
        <v>9.947478991596638</v>
      </c>
      <c r="AJ302" s="43">
        <f t="shared" si="448"/>
        <v>13.485422377273862</v>
      </c>
      <c r="AK302" s="43">
        <f t="shared" si="448"/>
        <v>15.001818181818182</v>
      </c>
      <c r="AL302" s="43">
        <f t="shared" si="448"/>
        <v>10.353526054133678</v>
      </c>
      <c r="AM302" s="43">
        <f t="shared" si="448"/>
        <v>6.9256875365710933</v>
      </c>
      <c r="AN302" s="43">
        <f t="shared" si="448"/>
        <v>2.5625124019843168</v>
      </c>
      <c r="AO302" s="43">
        <f t="shared" si="448"/>
        <v>2.954817474566128</v>
      </c>
      <c r="AP302" s="43">
        <f t="shared" si="448"/>
        <v>0.86554498902706667</v>
      </c>
      <c r="AQ302" s="43">
        <f t="shared" si="448"/>
        <v>0.36971247930152035</v>
      </c>
      <c r="AR302" s="43">
        <f t="shared" si="448"/>
        <v>0.12065593500827408</v>
      </c>
      <c r="AS302" s="43">
        <f t="shared" si="448"/>
        <v>0.52618192698982658</v>
      </c>
      <c r="AT302" s="43">
        <f t="shared" si="448"/>
        <v>2.0462615653913483</v>
      </c>
      <c r="AU302" s="43">
        <f t="shared" si="448"/>
        <v>4.5750719330368819</v>
      </c>
      <c r="AV302" s="43">
        <f t="shared" si="448"/>
        <v>8.2716841455891412</v>
      </c>
      <c r="AW302" s="43">
        <f t="shared" si="448"/>
        <v>10.482568587516472</v>
      </c>
      <c r="AX302" s="43">
        <f t="shared" si="448"/>
        <v>11.281474323578134</v>
      </c>
      <c r="AY302" s="43">
        <f t="shared" si="448"/>
        <v>9.6986224496449154</v>
      </c>
      <c r="AZ302" s="43">
        <f t="shared" si="448"/>
        <v>13.833323346165116</v>
      </c>
      <c r="BA302" s="43">
        <f t="shared" si="448"/>
        <v>7.6669081776225898</v>
      </c>
      <c r="BB302" s="43">
        <f t="shared" si="448"/>
        <v>8.0797363202362558</v>
      </c>
      <c r="BC302" s="43">
        <f t="shared" si="448"/>
        <v>7.8034785708936436</v>
      </c>
      <c r="BD302" s="43">
        <f t="shared" si="448"/>
        <v>7.6681579857499216</v>
      </c>
      <c r="BE302" s="43">
        <f t="shared" si="448"/>
        <v>7.5118504162533206</v>
      </c>
      <c r="BF302" s="43">
        <f t="shared" si="448"/>
        <v>7.1760964552014359</v>
      </c>
      <c r="BG302" s="43">
        <f t="shared" si="448"/>
        <v>7.1606785299371154</v>
      </c>
      <c r="BH302" s="43">
        <f t="shared" si="448"/>
        <v>7.357679352103319</v>
      </c>
      <c r="BI302" s="43">
        <f t="shared" si="448"/>
        <v>7.3508868295948586</v>
      </c>
      <c r="BJ302" s="43">
        <f t="shared" si="448"/>
        <v>7.1545122823596659</v>
      </c>
      <c r="BK302" s="1"/>
      <c r="BL302" s="12"/>
      <c r="BM302" s="23">
        <f t="shared" si="353"/>
        <v>296</v>
      </c>
    </row>
    <row r="303" spans="1:65" ht="12.75" customHeight="1" outlineLevel="1">
      <c r="A303" s="118"/>
      <c r="B303" s="40" t="s">
        <v>121</v>
      </c>
      <c r="C303" s="1"/>
      <c r="D303" s="1"/>
      <c r="E303" s="43">
        <f t="shared" ref="E303:Q303" si="449">(E$200+E236)/-E$26</f>
        <v>8.4353502385136849</v>
      </c>
      <c r="F303" s="43">
        <f t="shared" si="449"/>
        <v>1.0681238486609037</v>
      </c>
      <c r="G303" s="43">
        <f t="shared" si="449"/>
        <v>2.1773456870677284</v>
      </c>
      <c r="H303" s="43">
        <f t="shared" si="449"/>
        <v>1.3205302330635085</v>
      </c>
      <c r="I303" s="43">
        <f t="shared" si="449"/>
        <v>2.7810583544762584</v>
      </c>
      <c r="J303" s="43">
        <f t="shared" si="449"/>
        <v>5.8899028746496311</v>
      </c>
      <c r="K303" s="43">
        <f t="shared" si="449"/>
        <v>7.1353148005713676</v>
      </c>
      <c r="L303" s="43">
        <f t="shared" si="449"/>
        <v>1.3297677041046463</v>
      </c>
      <c r="M303" s="43">
        <f t="shared" si="449"/>
        <v>-0.83329758329758319</v>
      </c>
      <c r="N303" s="43">
        <f t="shared" si="449"/>
        <v>-3.6174462382745194</v>
      </c>
      <c r="O303" s="43">
        <f t="shared" si="449"/>
        <v>2.8564280600656784</v>
      </c>
      <c r="P303" s="43">
        <f t="shared" si="449"/>
        <v>6.1564205924606803</v>
      </c>
      <c r="Q303" s="43">
        <f t="shared" si="449"/>
        <v>6.3515659698096822</v>
      </c>
      <c r="R303" s="51"/>
      <c r="S303" s="1"/>
      <c r="T303" s="1"/>
      <c r="U303" s="1"/>
      <c r="V303" s="1"/>
      <c r="W303" s="1"/>
      <c r="X303" s="1"/>
      <c r="Y303" s="43">
        <f t="shared" ref="Y303:BJ303" si="450">(Y$200+Y236)/-Y$26</f>
        <v>2.028705636743215</v>
      </c>
      <c r="Z303" s="43">
        <f t="shared" si="450"/>
        <v>-2.8877498718605845</v>
      </c>
      <c r="AA303" s="43">
        <f t="shared" si="450"/>
        <v>5.4727416381353677</v>
      </c>
      <c r="AB303" s="43">
        <f t="shared" si="450"/>
        <v>3.4142357059509889</v>
      </c>
      <c r="AC303" s="43">
        <f t="shared" si="450"/>
        <v>0.12627781118460665</v>
      </c>
      <c r="AD303" s="43">
        <f t="shared" si="450"/>
        <v>1.6833230579531417</v>
      </c>
      <c r="AE303" s="43">
        <f t="shared" si="450"/>
        <v>3.5780201342281894</v>
      </c>
      <c r="AF303" s="43">
        <f t="shared" si="450"/>
        <v>8.7465346534653463</v>
      </c>
      <c r="AG303" s="43">
        <f t="shared" si="450"/>
        <v>6.2956081081081061</v>
      </c>
      <c r="AH303" s="43">
        <f t="shared" si="450"/>
        <v>5.0303475281448842</v>
      </c>
      <c r="AI303" s="43">
        <f t="shared" si="450"/>
        <v>7.1622899159663849</v>
      </c>
      <c r="AJ303" s="43">
        <f t="shared" si="450"/>
        <v>11.640169449289809</v>
      </c>
      <c r="AK303" s="43">
        <f t="shared" si="450"/>
        <v>8.2210101010101013</v>
      </c>
      <c r="AL303" s="43">
        <f t="shared" si="450"/>
        <v>2.7981955440986943</v>
      </c>
      <c r="AM303" s="43">
        <f t="shared" si="450"/>
        <v>4.9688414277355166</v>
      </c>
      <c r="AN303" s="43">
        <f t="shared" si="450"/>
        <v>0.36200032005120775</v>
      </c>
      <c r="AO303" s="43">
        <f t="shared" si="450"/>
        <v>1.303261520047875</v>
      </c>
      <c r="AP303" s="43">
        <f t="shared" si="450"/>
        <v>-1.3991221653255304</v>
      </c>
      <c r="AQ303" s="43">
        <f t="shared" si="450"/>
        <v>-0.54373024236037937</v>
      </c>
      <c r="AR303" s="43">
        <f t="shared" si="450"/>
        <v>-2.4850308409808934</v>
      </c>
      <c r="AS303" s="43">
        <f t="shared" si="450"/>
        <v>-0.87537402752842597</v>
      </c>
      <c r="AT303" s="43">
        <f t="shared" si="450"/>
        <v>0.33408352088022036</v>
      </c>
      <c r="AU303" s="43">
        <f t="shared" si="450"/>
        <v>1.4823437091289569</v>
      </c>
      <c r="AV303" s="43">
        <f t="shared" si="450"/>
        <v>-8.4118445404071576</v>
      </c>
      <c r="AW303" s="43">
        <f t="shared" si="450"/>
        <v>-5.1719180543908045</v>
      </c>
      <c r="AX303" s="43">
        <f t="shared" si="450"/>
        <v>-1.8448371065709539</v>
      </c>
      <c r="AY303" s="43">
        <f t="shared" si="450"/>
        <v>-10.350826337216731</v>
      </c>
      <c r="AZ303" s="43">
        <f t="shared" si="450"/>
        <v>-0.37340711688612105</v>
      </c>
      <c r="BA303" s="43">
        <f t="shared" si="450"/>
        <v>5.875511691933033</v>
      </c>
      <c r="BB303" s="43">
        <f t="shared" si="450"/>
        <v>6.2877379258668169</v>
      </c>
      <c r="BC303" s="43">
        <f t="shared" si="450"/>
        <v>6.4206151678358259</v>
      </c>
      <c r="BD303" s="43">
        <f t="shared" si="450"/>
        <v>6.2848296285560963</v>
      </c>
      <c r="BE303" s="43">
        <f t="shared" si="450"/>
        <v>6.1280567921593212</v>
      </c>
      <c r="BF303" s="43">
        <f t="shared" si="450"/>
        <v>5.791837251127407</v>
      </c>
      <c r="BG303" s="43">
        <f t="shared" si="450"/>
        <v>5.7759534324870874</v>
      </c>
      <c r="BH303" s="43">
        <f t="shared" si="450"/>
        <v>6.6137803181844728</v>
      </c>
      <c r="BI303" s="43">
        <f t="shared" si="450"/>
        <v>6.606737256557091</v>
      </c>
      <c r="BJ303" s="43">
        <f t="shared" si="450"/>
        <v>6.4101120013870636</v>
      </c>
      <c r="BK303" s="1"/>
      <c r="BL303" s="12"/>
      <c r="BM303" s="23">
        <f t="shared" si="353"/>
        <v>297</v>
      </c>
    </row>
    <row r="304" spans="1:65" ht="12.75" customHeight="1" outlineLevel="1">
      <c r="A304" s="118"/>
      <c r="B304" s="113" t="s">
        <v>314</v>
      </c>
      <c r="C304" s="1"/>
      <c r="D304" s="1"/>
      <c r="E304" s="43">
        <f t="shared" ref="E304:Q304" si="451">E25/-E26</f>
        <v>6.671604318353002</v>
      </c>
      <c r="F304" s="43">
        <f t="shared" si="451"/>
        <v>0.90739691086864072</v>
      </c>
      <c r="G304" s="43">
        <f t="shared" si="451"/>
        <v>2.0005654878420116</v>
      </c>
      <c r="H304" s="43">
        <f t="shared" si="451"/>
        <v>3.8057804096267729</v>
      </c>
      <c r="I304" s="43">
        <f t="shared" si="451"/>
        <v>8.6238274737223612</v>
      </c>
      <c r="J304" s="43">
        <f t="shared" si="451"/>
        <v>7.4577276579101746</v>
      </c>
      <c r="K304" s="43">
        <f t="shared" si="451"/>
        <v>9.7498626524557732</v>
      </c>
      <c r="L304" s="43">
        <f t="shared" si="451"/>
        <v>1.1896384002405656</v>
      </c>
      <c r="M304" s="43">
        <f t="shared" si="451"/>
        <v>-1.6085013585013583</v>
      </c>
      <c r="N304" s="43">
        <f t="shared" si="451"/>
        <v>5.5520068917108043</v>
      </c>
      <c r="O304" s="43">
        <f t="shared" si="451"/>
        <v>6.2576276148001977</v>
      </c>
      <c r="P304" s="43">
        <f t="shared" si="451"/>
        <v>5.460840044189716</v>
      </c>
      <c r="Q304" s="43">
        <f t="shared" si="451"/>
        <v>5.249181811515462</v>
      </c>
      <c r="R304" s="51"/>
      <c r="S304" s="1"/>
      <c r="T304" s="1"/>
      <c r="U304" s="1"/>
      <c r="V304" s="1"/>
      <c r="W304" s="1"/>
      <c r="X304" s="1"/>
      <c r="Y304" s="43">
        <f t="shared" ref="Y304:BJ304" si="452">Y25/-Y26</f>
        <v>4.6192588726513577</v>
      </c>
      <c r="Z304" s="43">
        <f t="shared" si="452"/>
        <v>5.4743721168631483</v>
      </c>
      <c r="AA304" s="43">
        <f t="shared" si="452"/>
        <v>7.8451409007110851</v>
      </c>
      <c r="AB304" s="43">
        <f t="shared" si="452"/>
        <v>8.7479579929988294</v>
      </c>
      <c r="AC304" s="43">
        <f t="shared" si="452"/>
        <v>9.0426939266386039</v>
      </c>
      <c r="AD304" s="43">
        <f t="shared" si="452"/>
        <v>8.9746300863131943</v>
      </c>
      <c r="AE304" s="43">
        <f t="shared" si="452"/>
        <v>7.6110178970917239</v>
      </c>
      <c r="AF304" s="43">
        <f t="shared" si="452"/>
        <v>8.6398868458274407</v>
      </c>
      <c r="AG304" s="43">
        <f t="shared" si="452"/>
        <v>7.8515926640926619</v>
      </c>
      <c r="AH304" s="43">
        <f t="shared" si="452"/>
        <v>5.9013705335291231</v>
      </c>
      <c r="AI304" s="43">
        <f t="shared" si="452"/>
        <v>7.4293592436974789</v>
      </c>
      <c r="AJ304" s="43">
        <f t="shared" si="452"/>
        <v>10.908547221530029</v>
      </c>
      <c r="AK304" s="43">
        <f t="shared" si="452"/>
        <v>12.491717171717172</v>
      </c>
      <c r="AL304" s="43">
        <f t="shared" si="452"/>
        <v>8.0217271220769657</v>
      </c>
      <c r="AM304" s="43">
        <f t="shared" si="452"/>
        <v>4.9884435342305427</v>
      </c>
      <c r="AN304" s="43">
        <f t="shared" si="452"/>
        <v>0.3709617538806203</v>
      </c>
      <c r="AO304" s="43">
        <f t="shared" si="452"/>
        <v>0.68701376421304616</v>
      </c>
      <c r="AP304" s="43">
        <f t="shared" si="452"/>
        <v>-1.3697147037307973</v>
      </c>
      <c r="AQ304" s="43">
        <f t="shared" si="452"/>
        <v>-1.821466205027849</v>
      </c>
      <c r="AR304" s="43">
        <f t="shared" si="452"/>
        <v>-2.1674439596810595</v>
      </c>
      <c r="AS304" s="43">
        <f t="shared" si="452"/>
        <v>-2.0433871932974266</v>
      </c>
      <c r="AT304" s="43">
        <f t="shared" si="452"/>
        <v>-0.6036509127281815</v>
      </c>
      <c r="AU304" s="43">
        <f t="shared" si="452"/>
        <v>1.7501961810096784</v>
      </c>
      <c r="AV304" s="43">
        <f t="shared" si="452"/>
        <v>5.3566933991363328</v>
      </c>
      <c r="AW304" s="43">
        <f t="shared" si="452"/>
        <v>7.5266562836947397</v>
      </c>
      <c r="AX304" s="43">
        <f t="shared" si="452"/>
        <v>7.5080066261733851</v>
      </c>
      <c r="AY304" s="43">
        <f t="shared" si="452"/>
        <v>5.3915928520944032</v>
      </c>
      <c r="AZ304" s="43">
        <f t="shared" si="452"/>
        <v>9.667256171477197</v>
      </c>
      <c r="BA304" s="43">
        <f t="shared" si="452"/>
        <v>5.5496706528060509</v>
      </c>
      <c r="BB304" s="43">
        <f t="shared" si="452"/>
        <v>5.9695287291372123</v>
      </c>
      <c r="BC304" s="43">
        <f t="shared" si="452"/>
        <v>5.7001217209485757</v>
      </c>
      <c r="BD304" s="43">
        <f t="shared" si="452"/>
        <v>5.5812114060592473</v>
      </c>
      <c r="BE304" s="43">
        <f t="shared" si="452"/>
        <v>5.4409184689226429</v>
      </c>
      <c r="BF304" s="43">
        <f t="shared" si="452"/>
        <v>5.1207927648185905</v>
      </c>
      <c r="BG304" s="43">
        <f t="shared" si="452"/>
        <v>5.120625766496393</v>
      </c>
      <c r="BH304" s="43">
        <f t="shared" si="452"/>
        <v>5.3325090190177971</v>
      </c>
      <c r="BI304" s="43">
        <f t="shared" si="452"/>
        <v>5.3554748776772749</v>
      </c>
      <c r="BJ304" s="43">
        <f t="shared" si="452"/>
        <v>5.1881555590560433</v>
      </c>
      <c r="BK304" s="1"/>
      <c r="BL304" s="12"/>
      <c r="BM304" s="23">
        <f t="shared" si="353"/>
        <v>298</v>
      </c>
    </row>
    <row r="305" spans="1:65" ht="12.75" customHeight="1" outlineLevel="1">
      <c r="A305" s="118"/>
      <c r="B305" s="113" t="s">
        <v>315</v>
      </c>
      <c r="C305" s="1"/>
      <c r="D305" s="1"/>
      <c r="E305" s="50">
        <f>E374</f>
        <v>0.5883869455674694</v>
      </c>
      <c r="F305" s="50">
        <f t="shared" ref="F305:N305" si="453">F374</f>
        <v>0.74635209928998714</v>
      </c>
      <c r="G305" s="50">
        <f t="shared" si="453"/>
        <v>0.78948458948458944</v>
      </c>
      <c r="H305" s="50">
        <f t="shared" si="453"/>
        <v>3.1784846897471306</v>
      </c>
      <c r="I305" s="50">
        <f t="shared" si="453"/>
        <v>4.2113231602852697</v>
      </c>
      <c r="J305" s="50">
        <f t="shared" si="453"/>
        <v>1.6604426382558075</v>
      </c>
      <c r="K305" s="50">
        <f t="shared" si="453"/>
        <v>2.0571092205513222</v>
      </c>
      <c r="L305" s="50">
        <f t="shared" si="453"/>
        <v>0.93502283264196329</v>
      </c>
      <c r="M305" s="50">
        <f t="shared" si="453"/>
        <v>0.68174479701764179</v>
      </c>
      <c r="N305" s="50">
        <f t="shared" si="453"/>
        <v>3.9556734853393394</v>
      </c>
      <c r="O305" s="50">
        <f>O374</f>
        <v>2.2542313389961901</v>
      </c>
      <c r="P305" s="50">
        <f>P374</f>
        <v>0.66544819179550951</v>
      </c>
      <c r="Q305" s="50">
        <f>Q374</f>
        <v>0.45066426406167381</v>
      </c>
      <c r="R305" s="51"/>
      <c r="S305" s="1"/>
      <c r="T305" s="1"/>
      <c r="U305" s="1"/>
      <c r="V305" s="11"/>
      <c r="W305" s="1"/>
      <c r="X305" s="1"/>
      <c r="Y305" s="50">
        <f t="shared" ref="Y305:AM305" si="454">Y374</f>
        <v>2.874787535410765</v>
      </c>
      <c r="Z305" s="50">
        <f t="shared" si="454"/>
        <v>7.0840947231027416</v>
      </c>
      <c r="AA305" s="50">
        <f t="shared" si="454"/>
        <v>2.5068584810973573</v>
      </c>
      <c r="AB305" s="50">
        <f t="shared" si="454"/>
        <v>4.0605959156344156</v>
      </c>
      <c r="AC305" s="50">
        <f t="shared" si="454"/>
        <v>5.9691689008042887</v>
      </c>
      <c r="AD305" s="50">
        <f t="shared" si="454"/>
        <v>4.2947485722245453</v>
      </c>
      <c r="AE305" s="50">
        <f t="shared" si="454"/>
        <v>2.7422082628654261</v>
      </c>
      <c r="AF305" s="50">
        <f t="shared" si="454"/>
        <v>0.95759280089988763</v>
      </c>
      <c r="AG305" s="50">
        <f t="shared" si="454"/>
        <v>1.7045454545454546</v>
      </c>
      <c r="AH305" s="50">
        <f t="shared" si="454"/>
        <v>1.3524460289166171</v>
      </c>
      <c r="AI305" s="50">
        <f t="shared" si="454"/>
        <v>1.106059025967254</v>
      </c>
      <c r="AJ305" s="50">
        <f t="shared" si="454"/>
        <v>0.71608161686490668</v>
      </c>
      <c r="AK305" s="50">
        <f t="shared" si="454"/>
        <v>2.7014084507042249</v>
      </c>
      <c r="AL305" s="50">
        <f t="shared" si="454"/>
        <v>3.2401295009475675</v>
      </c>
      <c r="AM305" s="50">
        <f t="shared" si="454"/>
        <v>1.010118553197916</v>
      </c>
      <c r="AN305" s="50">
        <f t="shared" ref="AN305:AS305" si="455">AN374</f>
        <v>1.0040890836071559</v>
      </c>
      <c r="AO305" s="50">
        <f t="shared" si="455"/>
        <v>0.72826230373400214</v>
      </c>
      <c r="AP305" s="50">
        <f t="shared" si="455"/>
        <v>1.0131561722738578</v>
      </c>
      <c r="AQ305" s="50">
        <f t="shared" si="455"/>
        <v>0.41687276724374828</v>
      </c>
      <c r="AR305" s="50">
        <f t="shared" si="455"/>
        <v>1.1387993950950095</v>
      </c>
      <c r="AS305" s="50">
        <f t="shared" si="455"/>
        <v>0.54544395924308586</v>
      </c>
      <c r="AT305" s="50">
        <f t="shared" ref="AT305:BB305" si="456">AT374</f>
        <v>0.64612626214966506</v>
      </c>
      <c r="AU305" s="50">
        <f t="shared" si="456"/>
        <v>1.0948192045928051</v>
      </c>
      <c r="AV305" s="50">
        <f>AV374</f>
        <v>5.7233556251587228</v>
      </c>
      <c r="AW305" s="50">
        <f>AW374</f>
        <v>5.2959915697320978</v>
      </c>
      <c r="AX305" s="50">
        <f>AX374</f>
        <v>3.4785805743552216</v>
      </c>
      <c r="AY305" s="50">
        <f t="shared" si="456"/>
        <v>4.6550524747413258</v>
      </c>
      <c r="AZ305" s="50">
        <f t="shared" si="456"/>
        <v>3.4101059506116749</v>
      </c>
      <c r="BA305" s="50">
        <f t="shared" si="456"/>
        <v>0.84610085769417087</v>
      </c>
      <c r="BB305" s="50">
        <f t="shared" si="456"/>
        <v>0.84920479005391414</v>
      </c>
      <c r="BC305" s="50">
        <f t="shared" ref="BC305:BJ305" si="457">BC374</f>
        <v>0.65745543990499433</v>
      </c>
      <c r="BD305" s="50">
        <f t="shared" si="457"/>
        <v>0.66284799556242679</v>
      </c>
      <c r="BE305" s="50">
        <f t="shared" si="457"/>
        <v>0.66819850158651362</v>
      </c>
      <c r="BF305" s="50">
        <f t="shared" si="457"/>
        <v>0.6735059205854782</v>
      </c>
      <c r="BG305" s="50">
        <f t="shared" si="457"/>
        <v>0.67876925649441133</v>
      </c>
      <c r="BH305" s="50">
        <f t="shared" si="457"/>
        <v>0.36732664989490121</v>
      </c>
      <c r="BI305" s="50">
        <f t="shared" si="457"/>
        <v>0.37293029758724378</v>
      </c>
      <c r="BJ305" s="50">
        <f t="shared" si="457"/>
        <v>0.378568279168571</v>
      </c>
      <c r="BK305" s="1"/>
      <c r="BL305" s="12"/>
      <c r="BM305" s="23">
        <f t="shared" si="353"/>
        <v>299</v>
      </c>
    </row>
    <row r="306" spans="1:65" ht="12.75" customHeight="1" outlineLevel="1">
      <c r="A306" s="118"/>
      <c r="B306" s="40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5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2"/>
      <c r="BM306" s="23">
        <f t="shared" si="353"/>
        <v>300</v>
      </c>
    </row>
    <row r="307" spans="1:65" ht="12.75" customHeight="1" outlineLevel="1">
      <c r="A307" s="118" t="s">
        <v>29</v>
      </c>
      <c r="B307" s="39" t="s">
        <v>99</v>
      </c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5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2"/>
      <c r="BM307" s="23">
        <f t="shared" si="353"/>
        <v>301</v>
      </c>
    </row>
    <row r="308" spans="1:65" ht="12.75" hidden="1" customHeight="1" outlineLevel="2">
      <c r="A308" s="118"/>
      <c r="B308" s="40" t="s">
        <v>308</v>
      </c>
      <c r="C308" s="1"/>
      <c r="D308" s="1"/>
      <c r="E308" s="1"/>
      <c r="F308" s="1"/>
      <c r="G308" s="12">
        <f t="shared" ref="G308:N308" si="458">(G257-G252)-(G272-G267-G270)</f>
        <v>34.770999999999987</v>
      </c>
      <c r="H308" s="12">
        <f t="shared" si="458"/>
        <v>57.863999999999983</v>
      </c>
      <c r="I308" s="12">
        <f t="shared" si="458"/>
        <v>43.978000000000009</v>
      </c>
      <c r="J308" s="12">
        <f t="shared" si="458"/>
        <v>112.274</v>
      </c>
      <c r="K308" s="12">
        <f t="shared" si="458"/>
        <v>82.572999999999922</v>
      </c>
      <c r="L308" s="12">
        <f t="shared" si="458"/>
        <v>59.626000000000062</v>
      </c>
      <c r="M308" s="12">
        <f t="shared" si="458"/>
        <v>78.818000000000012</v>
      </c>
      <c r="N308" s="12">
        <f t="shared" si="458"/>
        <v>109.23600000000002</v>
      </c>
      <c r="O308" s="12">
        <f>(O257-O252)-(O272-O267-O270)</f>
        <v>197.21140855996828</v>
      </c>
      <c r="P308" s="12">
        <f>(P257-P252)-(P272-P267-P270)</f>
        <v>197.72207750209145</v>
      </c>
      <c r="Q308" s="12">
        <f>(Q257-Q252)-(Q272-Q267-Q270)</f>
        <v>202.36044674934897</v>
      </c>
      <c r="R308" s="51"/>
      <c r="S308" s="1"/>
      <c r="T308" s="1"/>
      <c r="U308" s="1"/>
      <c r="V308" s="1"/>
      <c r="W308" s="1"/>
      <c r="X308" s="1"/>
      <c r="Y308" s="12">
        <f t="shared" ref="Y308:AM308" si="459">(Y257-Y252)-(Y272-Y267-Y270)</f>
        <v>43.653999999999996</v>
      </c>
      <c r="Z308" s="12">
        <f t="shared" si="459"/>
        <v>57.863999999999983</v>
      </c>
      <c r="AA308" s="12">
        <f t="shared" si="459"/>
        <v>77.271000000000029</v>
      </c>
      <c r="AB308" s="12">
        <f t="shared" si="459"/>
        <v>56.026000000000003</v>
      </c>
      <c r="AC308" s="12">
        <f t="shared" si="459"/>
        <v>50.021000000000001</v>
      </c>
      <c r="AD308" s="12">
        <f t="shared" si="459"/>
        <v>43.978000000000009</v>
      </c>
      <c r="AE308" s="12">
        <f t="shared" si="459"/>
        <v>75.71599999999998</v>
      </c>
      <c r="AF308" s="12">
        <f t="shared" si="459"/>
        <v>86.058999999999983</v>
      </c>
      <c r="AG308" s="12">
        <f t="shared" si="459"/>
        <v>99.140999999999977</v>
      </c>
      <c r="AH308" s="12">
        <f t="shared" si="459"/>
        <v>112.274</v>
      </c>
      <c r="AI308" s="12">
        <f t="shared" si="459"/>
        <v>120.42699999999996</v>
      </c>
      <c r="AJ308" s="12">
        <f t="shared" si="459"/>
        <v>127.03699999999996</v>
      </c>
      <c r="AK308" s="12">
        <f t="shared" si="459"/>
        <v>108.40100000000002</v>
      </c>
      <c r="AL308" s="12">
        <f t="shared" si="459"/>
        <v>82.572999999999922</v>
      </c>
      <c r="AM308" s="12">
        <f t="shared" si="459"/>
        <v>86.75399999999992</v>
      </c>
      <c r="AN308" s="12">
        <f t="shared" ref="AN308:AS308" si="460">(AN257-AN252)-(AN272-AN267-AN270)</f>
        <v>75.239999999999966</v>
      </c>
      <c r="AO308" s="12">
        <f t="shared" si="460"/>
        <v>91.088000000000022</v>
      </c>
      <c r="AP308" s="12">
        <f t="shared" si="460"/>
        <v>59.626000000000062</v>
      </c>
      <c r="AQ308" s="12">
        <f t="shared" si="460"/>
        <v>69.930000000000007</v>
      </c>
      <c r="AR308" s="12">
        <f t="shared" si="460"/>
        <v>62.980999999999952</v>
      </c>
      <c r="AS308" s="12">
        <f t="shared" si="460"/>
        <v>73.879999999999924</v>
      </c>
      <c r="AT308" s="12">
        <f t="shared" ref="AT308:BB308" si="461">(AT257-AT252)-(AT272-AT267-AT270)</f>
        <v>78.818000000000012</v>
      </c>
      <c r="AU308" s="12">
        <f t="shared" si="461"/>
        <v>113.855</v>
      </c>
      <c r="AV308" s="12">
        <f t="shared" si="461"/>
        <v>93.085000000000036</v>
      </c>
      <c r="AW308" s="12">
        <f t="shared" si="461"/>
        <v>102.93100000000004</v>
      </c>
      <c r="AX308" s="12">
        <f t="shared" si="461"/>
        <v>109.23600000000002</v>
      </c>
      <c r="AY308" s="12">
        <f t="shared" si="461"/>
        <v>113.58308502549397</v>
      </c>
      <c r="AZ308" s="12">
        <f t="shared" si="461"/>
        <v>135.22092788498833</v>
      </c>
      <c r="BA308" s="12">
        <f t="shared" si="461"/>
        <v>187.36308917279172</v>
      </c>
      <c r="BB308" s="12">
        <f t="shared" si="461"/>
        <v>197.21140855996828</v>
      </c>
      <c r="BC308" s="12">
        <f t="shared" ref="BC308:BJ308" si="462">(BC257-BC252)-(BC272-BC267-BC270)</f>
        <v>197.38790596848366</v>
      </c>
      <c r="BD308" s="12">
        <f t="shared" si="462"/>
        <v>198.34236495095115</v>
      </c>
      <c r="BE308" s="12">
        <f t="shared" si="462"/>
        <v>199.48173062992589</v>
      </c>
      <c r="BF308" s="12">
        <f t="shared" si="462"/>
        <v>197.72207750209145</v>
      </c>
      <c r="BG308" s="12">
        <f t="shared" si="462"/>
        <v>199.54713001155778</v>
      </c>
      <c r="BH308" s="12">
        <f t="shared" si="462"/>
        <v>203.16745895020904</v>
      </c>
      <c r="BI308" s="12">
        <f t="shared" si="462"/>
        <v>204.28172743215418</v>
      </c>
      <c r="BJ308" s="12">
        <f t="shared" si="462"/>
        <v>202.36044674934897</v>
      </c>
      <c r="BK308" s="1"/>
      <c r="BL308" s="12"/>
      <c r="BM308" s="23">
        <f t="shared" si="353"/>
        <v>302</v>
      </c>
    </row>
    <row r="309" spans="1:65" ht="12.75" hidden="1" customHeight="1" outlineLevel="2">
      <c r="A309" s="118"/>
      <c r="B309" s="40" t="s">
        <v>100</v>
      </c>
      <c r="C309" s="1"/>
      <c r="D309" s="1"/>
      <c r="E309" s="1"/>
      <c r="F309" s="1"/>
      <c r="G309" s="43">
        <f t="shared" ref="G309:N309" si="463">G257/G272</f>
        <v>3.864619508925851</v>
      </c>
      <c r="H309" s="43">
        <f t="shared" si="463"/>
        <v>2.491824916971813</v>
      </c>
      <c r="I309" s="43">
        <f t="shared" si="463"/>
        <v>2.2133474840804093</v>
      </c>
      <c r="J309" s="43">
        <f t="shared" si="463"/>
        <v>5.0129574478037826</v>
      </c>
      <c r="K309" s="43">
        <f t="shared" si="463"/>
        <v>3.8446680933399868</v>
      </c>
      <c r="L309" s="43">
        <f t="shared" si="463"/>
        <v>5.2329655139540989</v>
      </c>
      <c r="M309" s="43">
        <f t="shared" si="463"/>
        <v>8.1206347762822837</v>
      </c>
      <c r="N309" s="43">
        <f t="shared" si="463"/>
        <v>3.2870317137582092</v>
      </c>
      <c r="O309" s="43">
        <f>O257/O272</f>
        <v>3.189260852515265</v>
      </c>
      <c r="P309" s="43">
        <f>P257/P272</f>
        <v>4.1193245646525627</v>
      </c>
      <c r="Q309" s="43">
        <f>Q257/Q272</f>
        <v>5.1977646644694468</v>
      </c>
      <c r="R309" s="51"/>
      <c r="S309" s="1"/>
      <c r="T309" s="1"/>
      <c r="U309" s="1"/>
      <c r="V309" s="1"/>
      <c r="W309" s="1"/>
      <c r="X309" s="1"/>
      <c r="Y309" s="43">
        <f t="shared" ref="Y309:AM309" si="464">Y257/Y272</f>
        <v>3.7932891043633581</v>
      </c>
      <c r="Z309" s="43">
        <f t="shared" si="464"/>
        <v>2.491824916971813</v>
      </c>
      <c r="AA309" s="43">
        <f t="shared" si="464"/>
        <v>3.9082071774379474</v>
      </c>
      <c r="AB309" s="43">
        <f t="shared" si="464"/>
        <v>3.0594388109459647</v>
      </c>
      <c r="AC309" s="43">
        <f t="shared" si="464"/>
        <v>2.6622270463542335</v>
      </c>
      <c r="AD309" s="43">
        <f t="shared" si="464"/>
        <v>2.2133474840804093</v>
      </c>
      <c r="AE309" s="43">
        <f t="shared" si="464"/>
        <v>2.5008447197605146</v>
      </c>
      <c r="AF309" s="43">
        <f t="shared" si="464"/>
        <v>2.9188927290933169</v>
      </c>
      <c r="AG309" s="43">
        <f t="shared" si="464"/>
        <v>4.7475757807131398</v>
      </c>
      <c r="AH309" s="43">
        <f t="shared" si="464"/>
        <v>5.0129574478037826</v>
      </c>
      <c r="AI309" s="43">
        <f t="shared" si="464"/>
        <v>5.1666338597580364</v>
      </c>
      <c r="AJ309" s="43">
        <f t="shared" si="464"/>
        <v>4.7828091242526245</v>
      </c>
      <c r="AK309" s="43">
        <f t="shared" si="464"/>
        <v>3.3276548933328098</v>
      </c>
      <c r="AL309" s="43">
        <f t="shared" si="464"/>
        <v>3.8446680933399868</v>
      </c>
      <c r="AM309" s="43">
        <f t="shared" si="464"/>
        <v>4.3915095921652796</v>
      </c>
      <c r="AN309" s="43">
        <f t="shared" ref="AN309:AS309" si="465">AN257/AN272</f>
        <v>4.5812948452094764</v>
      </c>
      <c r="AO309" s="43">
        <f t="shared" si="465"/>
        <v>4.905131767067866</v>
      </c>
      <c r="AP309" s="43">
        <f t="shared" si="465"/>
        <v>5.2329655139540989</v>
      </c>
      <c r="AQ309" s="43">
        <f t="shared" si="465"/>
        <v>8.573173828400531</v>
      </c>
      <c r="AR309" s="43">
        <f t="shared" si="465"/>
        <v>8.1517466945024353</v>
      </c>
      <c r="AS309" s="43">
        <f t="shared" si="465"/>
        <v>4.2114944534946854</v>
      </c>
      <c r="AT309" s="43">
        <f t="shared" ref="AT309:BB309" si="466">AT257/AT272</f>
        <v>8.1206347762822837</v>
      </c>
      <c r="AU309" s="43">
        <f t="shared" si="466"/>
        <v>7.5829066426519152</v>
      </c>
      <c r="AV309" s="43">
        <f t="shared" si="466"/>
        <v>5.3522529393072764</v>
      </c>
      <c r="AW309" s="43">
        <f t="shared" si="466"/>
        <v>3.6665715603615943</v>
      </c>
      <c r="AX309" s="43">
        <f t="shared" si="466"/>
        <v>3.2870317137582092</v>
      </c>
      <c r="AY309" s="43">
        <f t="shared" si="466"/>
        <v>3.1175443115058199</v>
      </c>
      <c r="AZ309" s="43">
        <f t="shared" si="466"/>
        <v>3.1295332805451079</v>
      </c>
      <c r="BA309" s="43">
        <f t="shared" si="466"/>
        <v>2.987831227728039</v>
      </c>
      <c r="BB309" s="43">
        <f t="shared" si="466"/>
        <v>3.189260852515265</v>
      </c>
      <c r="BC309" s="43">
        <f t="shared" ref="BC309:BJ309" si="467">BC257/BC272</f>
        <v>3.4362663699059568</v>
      </c>
      <c r="BD309" s="43">
        <f t="shared" si="467"/>
        <v>3.6786049097308702</v>
      </c>
      <c r="BE309" s="43">
        <f t="shared" si="467"/>
        <v>3.898956392606181</v>
      </c>
      <c r="BF309" s="43">
        <f t="shared" si="467"/>
        <v>4.1193245646525627</v>
      </c>
      <c r="BG309" s="43">
        <f t="shared" si="467"/>
        <v>4.3414558638262113</v>
      </c>
      <c r="BH309" s="43">
        <f t="shared" si="467"/>
        <v>4.6149382918229476</v>
      </c>
      <c r="BI309" s="43">
        <f t="shared" si="467"/>
        <v>4.896474803470551</v>
      </c>
      <c r="BJ309" s="43">
        <f t="shared" si="467"/>
        <v>5.1977646644694468</v>
      </c>
      <c r="BK309" s="1"/>
      <c r="BL309" s="12"/>
      <c r="BM309" s="23">
        <f t="shared" si="353"/>
        <v>303</v>
      </c>
    </row>
    <row r="310" spans="1:65" ht="12.75" hidden="1" customHeight="1" outlineLevel="2">
      <c r="A310" s="118"/>
      <c r="B310" s="40" t="s">
        <v>101</v>
      </c>
      <c r="C310" s="1"/>
      <c r="D310" s="1"/>
      <c r="E310" s="1"/>
      <c r="F310" s="1"/>
      <c r="G310" s="43">
        <f t="shared" ref="G310:Q310" si="468">(G14)/G253</f>
        <v>8.1531420583144705</v>
      </c>
      <c r="H310" s="43">
        <f t="shared" si="468"/>
        <v>6.3432707296137334</v>
      </c>
      <c r="I310" s="43">
        <f t="shared" si="468"/>
        <v>7.4185078235175617</v>
      </c>
      <c r="J310" s="43">
        <f t="shared" si="468"/>
        <v>7.2596167909901999</v>
      </c>
      <c r="K310" s="43">
        <f t="shared" si="468"/>
        <v>7.2529264317800148</v>
      </c>
      <c r="L310" s="43">
        <f t="shared" si="468"/>
        <v>10.952696487582189</v>
      </c>
      <c r="M310" s="43">
        <f t="shared" si="468"/>
        <v>6.2874974720805339</v>
      </c>
      <c r="N310" s="43">
        <f t="shared" si="468"/>
        <v>5.8369365809601756</v>
      </c>
      <c r="O310" s="43">
        <f t="shared" si="468"/>
        <v>5.6247538680586358</v>
      </c>
      <c r="P310" s="43">
        <f t="shared" si="468"/>
        <v>6.7303496610192264</v>
      </c>
      <c r="Q310" s="43">
        <f t="shared" si="468"/>
        <v>6.7532728409776253</v>
      </c>
      <c r="R310" s="51"/>
      <c r="S310" s="1"/>
      <c r="T310" s="1"/>
      <c r="U310" s="1"/>
      <c r="V310" s="1"/>
      <c r="W310" s="1"/>
      <c r="X310" s="1"/>
      <c r="Y310" s="43">
        <f t="shared" ref="Y310:AX310" si="469">(Y14*4)/Y253</f>
        <v>7.5705230610667336</v>
      </c>
      <c r="Z310" s="43">
        <f t="shared" si="469"/>
        <v>7.178662317596566</v>
      </c>
      <c r="AA310" s="43">
        <f t="shared" si="469"/>
        <v>7.2290455554381152</v>
      </c>
      <c r="AB310" s="43">
        <f t="shared" si="469"/>
        <v>8.3840974671369022</v>
      </c>
      <c r="AC310" s="43">
        <f t="shared" si="469"/>
        <v>7.7943871803063676</v>
      </c>
      <c r="AD310" s="43">
        <f t="shared" si="469"/>
        <v>7.9779732724464445</v>
      </c>
      <c r="AE310" s="43">
        <f t="shared" si="469"/>
        <v>7.4974329108492084</v>
      </c>
      <c r="AF310" s="43">
        <f t="shared" si="469"/>
        <v>8.4034701540852002</v>
      </c>
      <c r="AG310" s="43">
        <f t="shared" si="469"/>
        <v>7.7363014157324441</v>
      </c>
      <c r="AH310" s="43">
        <f t="shared" si="469"/>
        <v>7.9500046538221181</v>
      </c>
      <c r="AI310" s="43">
        <f t="shared" si="469"/>
        <v>7.3984533064938534</v>
      </c>
      <c r="AJ310" s="43">
        <f t="shared" si="469"/>
        <v>7.590491646073839</v>
      </c>
      <c r="AK310" s="43">
        <f t="shared" si="469"/>
        <v>7.4372779468999282</v>
      </c>
      <c r="AL310" s="43">
        <f t="shared" si="469"/>
        <v>8.2589985192048374</v>
      </c>
      <c r="AM310" s="43">
        <f t="shared" si="469"/>
        <v>8.46693996160033</v>
      </c>
      <c r="AN310" s="43">
        <f t="shared" si="469"/>
        <v>7.5863558635586354</v>
      </c>
      <c r="AO310" s="43">
        <f t="shared" si="469"/>
        <v>7.2616319140237122</v>
      </c>
      <c r="AP310" s="43">
        <f t="shared" si="469"/>
        <v>9.2741457431949019</v>
      </c>
      <c r="AQ310" s="43">
        <f t="shared" si="469"/>
        <v>8.2947967094349835</v>
      </c>
      <c r="AR310" s="43">
        <f t="shared" si="469"/>
        <v>8.6194537048975004</v>
      </c>
      <c r="AS310" s="43">
        <f t="shared" si="469"/>
        <v>7.7906256627783668</v>
      </c>
      <c r="AT310" s="43">
        <f t="shared" si="469"/>
        <v>8.1959867874075893</v>
      </c>
      <c r="AU310" s="43">
        <f t="shared" si="469"/>
        <v>6.9956990783739377</v>
      </c>
      <c r="AV310" s="43">
        <f t="shared" si="469"/>
        <v>7.30224373075231</v>
      </c>
      <c r="AW310" s="43">
        <f t="shared" si="469"/>
        <v>6.696257623763338</v>
      </c>
      <c r="AX310" s="43">
        <f t="shared" si="469"/>
        <v>6.7843790277816964</v>
      </c>
      <c r="AY310" s="43">
        <f t="shared" ref="AY310:BJ310" si="470">365/AY311</f>
        <v>6.7592592592592595</v>
      </c>
      <c r="AZ310" s="43">
        <f t="shared" si="470"/>
        <v>6.7592592592592595</v>
      </c>
      <c r="BA310" s="43">
        <f t="shared" si="470"/>
        <v>6.7592592592592595</v>
      </c>
      <c r="BB310" s="43">
        <f t="shared" si="470"/>
        <v>6.7592592592592595</v>
      </c>
      <c r="BC310" s="43">
        <f t="shared" si="470"/>
        <v>6.7592592592592595</v>
      </c>
      <c r="BD310" s="43">
        <f t="shared" si="470"/>
        <v>6.7592592592592595</v>
      </c>
      <c r="BE310" s="43">
        <f t="shared" si="470"/>
        <v>6.7592592592592595</v>
      </c>
      <c r="BF310" s="43">
        <f t="shared" si="470"/>
        <v>6.7592592592592595</v>
      </c>
      <c r="BG310" s="43">
        <f t="shared" si="470"/>
        <v>6.7592592592592595</v>
      </c>
      <c r="BH310" s="43">
        <f t="shared" si="470"/>
        <v>6.7592592592592595</v>
      </c>
      <c r="BI310" s="43">
        <f t="shared" si="470"/>
        <v>6.7592592592592595</v>
      </c>
      <c r="BJ310" s="43">
        <f t="shared" si="470"/>
        <v>6.7592592592592595</v>
      </c>
      <c r="BK310" s="1"/>
      <c r="BL310" s="12"/>
      <c r="BM310" s="23">
        <f t="shared" si="353"/>
        <v>304</v>
      </c>
    </row>
    <row r="311" spans="1:65" ht="12.75" hidden="1" customHeight="1" outlineLevel="2">
      <c r="A311" s="118"/>
      <c r="B311" s="40" t="s">
        <v>102</v>
      </c>
      <c r="C311" s="1"/>
      <c r="D311" s="1"/>
      <c r="E311" s="1"/>
      <c r="F311" s="1"/>
      <c r="G311" s="12">
        <f t="shared" ref="G311:N311" si="471">365/G310</f>
        <v>44.768016721575165</v>
      </c>
      <c r="H311" s="12">
        <f t="shared" si="471"/>
        <v>57.541293058167533</v>
      </c>
      <c r="I311" s="12">
        <f t="shared" si="471"/>
        <v>49.201269134327269</v>
      </c>
      <c r="J311" s="12">
        <f t="shared" si="471"/>
        <v>50.278135955192006</v>
      </c>
      <c r="K311" s="12">
        <f t="shared" si="471"/>
        <v>50.324514309242979</v>
      </c>
      <c r="L311" s="12">
        <f t="shared" si="471"/>
        <v>33.325126868422323</v>
      </c>
      <c r="M311" s="12">
        <f t="shared" si="471"/>
        <v>58.051713200804109</v>
      </c>
      <c r="N311" s="12">
        <f t="shared" si="471"/>
        <v>62.532802085020691</v>
      </c>
      <c r="O311" s="12">
        <f>365/O310</f>
        <v>64.891728342591193</v>
      </c>
      <c r="P311" s="12">
        <f>365/P310</f>
        <v>54.231952035717171</v>
      </c>
      <c r="Q311" s="12">
        <f>365/Q310</f>
        <v>54.047868136653193</v>
      </c>
      <c r="R311" s="51"/>
      <c r="S311" s="1"/>
      <c r="T311" s="1"/>
      <c r="U311" s="1"/>
      <c r="V311" s="1"/>
      <c r="W311" s="1"/>
      <c r="X311" s="1"/>
      <c r="Y311" s="12">
        <f t="shared" ref="Y311:AI311" si="472">365/Y310</f>
        <v>48.213313275155556</v>
      </c>
      <c r="Z311" s="12">
        <f t="shared" si="472"/>
        <v>50.845127386100941</v>
      </c>
      <c r="AA311" s="12">
        <f t="shared" si="472"/>
        <v>50.490759423341224</v>
      </c>
      <c r="AB311" s="12">
        <f t="shared" si="472"/>
        <v>43.534799235181644</v>
      </c>
      <c r="AC311" s="12">
        <f t="shared" si="472"/>
        <v>46.828569271260299</v>
      </c>
      <c r="AD311" s="12">
        <f t="shared" si="472"/>
        <v>45.750968013468011</v>
      </c>
      <c r="AE311" s="12">
        <f t="shared" si="472"/>
        <v>48.683329926410465</v>
      </c>
      <c r="AF311" s="12">
        <f t="shared" si="472"/>
        <v>43.434437596302004</v>
      </c>
      <c r="AG311" s="12">
        <f t="shared" si="472"/>
        <v>47.180167936288086</v>
      </c>
      <c r="AH311" s="12">
        <f t="shared" si="472"/>
        <v>45.911922809318007</v>
      </c>
      <c r="AI311" s="12">
        <f t="shared" si="472"/>
        <v>49.334635886615395</v>
      </c>
      <c r="AJ311" s="12">
        <f t="shared" ref="AJ311:AO311" si="473">365/AJ310</f>
        <v>48.08647674209552</v>
      </c>
      <c r="AK311" s="12">
        <f t="shared" si="473"/>
        <v>49.077095491925583</v>
      </c>
      <c r="AL311" s="12">
        <f t="shared" si="473"/>
        <v>44.194220298170194</v>
      </c>
      <c r="AM311" s="12">
        <f t="shared" si="473"/>
        <v>43.108844713127226</v>
      </c>
      <c r="AN311" s="12">
        <f t="shared" si="473"/>
        <v>48.112691595880989</v>
      </c>
      <c r="AO311" s="12">
        <f t="shared" si="473"/>
        <v>50.264183632760229</v>
      </c>
      <c r="AP311" s="12">
        <f t="shared" ref="AP311:AU311" si="474">365/AP310</f>
        <v>39.356724609145417</v>
      </c>
      <c r="AQ311" s="12">
        <f t="shared" si="474"/>
        <v>44.003489511060323</v>
      </c>
      <c r="AR311" s="12">
        <f t="shared" si="474"/>
        <v>42.346071166042705</v>
      </c>
      <c r="AS311" s="12">
        <f t="shared" si="474"/>
        <v>46.851179327467548</v>
      </c>
      <c r="AT311" s="12">
        <f t="shared" si="474"/>
        <v>44.533990777143551</v>
      </c>
      <c r="AU311" s="12">
        <f t="shared" si="474"/>
        <v>52.174914316760415</v>
      </c>
      <c r="AV311" s="12">
        <f>365/AV310</f>
        <v>49.984636703217255</v>
      </c>
      <c r="AW311" s="12">
        <f>365/AW310</f>
        <v>54.508058158441607</v>
      </c>
      <c r="AX311" s="12">
        <f>365/AX310</f>
        <v>53.800060183156489</v>
      </c>
      <c r="AY311" s="25">
        <v>54</v>
      </c>
      <c r="AZ311" s="25">
        <f>AY311</f>
        <v>54</v>
      </c>
      <c r="BA311" s="25">
        <f>AZ311</f>
        <v>54</v>
      </c>
      <c r="BB311" s="25">
        <f>BA311</f>
        <v>54</v>
      </c>
      <c r="BC311" s="25">
        <f t="shared" ref="BC311:BJ311" si="475">BB311</f>
        <v>54</v>
      </c>
      <c r="BD311" s="25">
        <f t="shared" si="475"/>
        <v>54</v>
      </c>
      <c r="BE311" s="25">
        <f t="shared" si="475"/>
        <v>54</v>
      </c>
      <c r="BF311" s="25">
        <f t="shared" si="475"/>
        <v>54</v>
      </c>
      <c r="BG311" s="25">
        <f t="shared" si="475"/>
        <v>54</v>
      </c>
      <c r="BH311" s="25">
        <f t="shared" si="475"/>
        <v>54</v>
      </c>
      <c r="BI311" s="25">
        <f t="shared" si="475"/>
        <v>54</v>
      </c>
      <c r="BJ311" s="25">
        <f t="shared" si="475"/>
        <v>54</v>
      </c>
      <c r="BK311" s="1"/>
      <c r="BL311" s="12"/>
      <c r="BM311" s="23">
        <f t="shared" si="353"/>
        <v>305</v>
      </c>
    </row>
    <row r="312" spans="1:65" ht="12.75" hidden="1" customHeight="1" outlineLevel="2">
      <c r="A312" s="118"/>
      <c r="B312" s="40" t="s">
        <v>103</v>
      </c>
      <c r="C312" s="1"/>
      <c r="D312" s="1"/>
      <c r="E312" s="1"/>
      <c r="F312" s="1"/>
      <c r="G312" s="43">
        <f t="shared" ref="G312:Q312" si="476">(G189/G254)</f>
        <v>7.0476402890534384</v>
      </c>
      <c r="H312" s="43">
        <f t="shared" si="476"/>
        <v>6.1827009246937585</v>
      </c>
      <c r="I312" s="43">
        <f t="shared" si="476"/>
        <v>6.4393699008409699</v>
      </c>
      <c r="J312" s="43">
        <f t="shared" si="476"/>
        <v>5.4277393633588726</v>
      </c>
      <c r="K312" s="43">
        <f t="shared" si="476"/>
        <v>8.4929697805492257</v>
      </c>
      <c r="L312" s="43">
        <f t="shared" si="476"/>
        <v>7.6159313273029348</v>
      </c>
      <c r="M312" s="43">
        <f t="shared" si="476"/>
        <v>6.0640460430192222</v>
      </c>
      <c r="N312" s="43">
        <f t="shared" si="476"/>
        <v>9.3315904563955989</v>
      </c>
      <c r="O312" s="43">
        <f t="shared" si="476"/>
        <v>9.42252519804752</v>
      </c>
      <c r="P312" s="43">
        <f t="shared" si="476"/>
        <v>10.829350469321511</v>
      </c>
      <c r="Q312" s="43">
        <f t="shared" si="476"/>
        <v>11.028729988873248</v>
      </c>
      <c r="R312" s="51"/>
      <c r="S312" s="1"/>
      <c r="T312" s="1"/>
      <c r="U312" s="1"/>
      <c r="V312" s="1"/>
      <c r="W312" s="1"/>
      <c r="X312" s="1"/>
      <c r="Y312" s="43">
        <f t="shared" ref="Y312:AW312" si="477">(4*Y189/Y254)</f>
        <v>6.9921564081758794</v>
      </c>
      <c r="Z312" s="43">
        <f t="shared" si="477"/>
        <v>6.8313257583512472</v>
      </c>
      <c r="AA312" s="43">
        <f t="shared" si="477"/>
        <v>7.1293837675350717</v>
      </c>
      <c r="AB312" s="43">
        <f t="shared" si="477"/>
        <v>5.8727666890932202</v>
      </c>
      <c r="AC312" s="43">
        <f t="shared" si="477"/>
        <v>7.696367450590702</v>
      </c>
      <c r="AD312" s="43">
        <f t="shared" si="477"/>
        <v>7.1259244383080214</v>
      </c>
      <c r="AE312" s="43">
        <f t="shared" si="477"/>
        <v>6.9572657564989706</v>
      </c>
      <c r="AF312" s="43">
        <f t="shared" si="477"/>
        <v>6.1520597815673508</v>
      </c>
      <c r="AG312" s="43">
        <f t="shared" si="477"/>
        <v>6.1549545892739363</v>
      </c>
      <c r="AH312" s="43">
        <f t="shared" si="477"/>
        <v>6.4084594779791937</v>
      </c>
      <c r="AI312" s="43">
        <f t="shared" si="477"/>
        <v>9.9095190635320805</v>
      </c>
      <c r="AJ312" s="43">
        <f t="shared" si="477"/>
        <v>9.0309974424552415</v>
      </c>
      <c r="AK312" s="43">
        <f t="shared" si="477"/>
        <v>9.2631416107174935</v>
      </c>
      <c r="AL312" s="43">
        <f t="shared" si="477"/>
        <v>9.455510253027942</v>
      </c>
      <c r="AM312" s="43">
        <f t="shared" si="477"/>
        <v>8.5279003613438906</v>
      </c>
      <c r="AN312" s="43">
        <f t="shared" si="477"/>
        <v>7.3041147967530335</v>
      </c>
      <c r="AO312" s="43">
        <f t="shared" si="477"/>
        <v>6.9391405244018047</v>
      </c>
      <c r="AP312" s="43">
        <f t="shared" si="477"/>
        <v>7.175804565872868</v>
      </c>
      <c r="AQ312" s="43">
        <f t="shared" si="477"/>
        <v>6.3645496415316511</v>
      </c>
      <c r="AR312" s="43">
        <f t="shared" si="477"/>
        <v>6.1173352392864579</v>
      </c>
      <c r="AS312" s="43">
        <f t="shared" si="477"/>
        <v>6.1695747071510665</v>
      </c>
      <c r="AT312" s="43">
        <f t="shared" si="477"/>
        <v>7.5422632735773547</v>
      </c>
      <c r="AU312" s="43">
        <f t="shared" si="477"/>
        <v>10.796452532465663</v>
      </c>
      <c r="AV312" s="43">
        <f t="shared" si="477"/>
        <v>10.630927057809851</v>
      </c>
      <c r="AW312" s="43">
        <f t="shared" si="477"/>
        <v>10.579664399935016</v>
      </c>
      <c r="AX312" s="43">
        <f>(4*AX189/AX254)</f>
        <v>10.790941370052826</v>
      </c>
      <c r="AY312" s="43">
        <f t="shared" ref="AY312:BJ312" si="478">365/AY313</f>
        <v>11.060606060606061</v>
      </c>
      <c r="AZ312" s="43">
        <f t="shared" si="478"/>
        <v>11.060606060606061</v>
      </c>
      <c r="BA312" s="43">
        <f t="shared" si="478"/>
        <v>11.060606060606061</v>
      </c>
      <c r="BB312" s="43">
        <f t="shared" si="478"/>
        <v>11.060606060606061</v>
      </c>
      <c r="BC312" s="43">
        <f t="shared" si="478"/>
        <v>11.060606060606061</v>
      </c>
      <c r="BD312" s="43">
        <f t="shared" si="478"/>
        <v>11.060606060606061</v>
      </c>
      <c r="BE312" s="43">
        <f t="shared" si="478"/>
        <v>11.060606060606061</v>
      </c>
      <c r="BF312" s="43">
        <f t="shared" si="478"/>
        <v>11.060606060606061</v>
      </c>
      <c r="BG312" s="43">
        <f t="shared" si="478"/>
        <v>11.060606060606061</v>
      </c>
      <c r="BH312" s="43">
        <f t="shared" si="478"/>
        <v>11.060606060606061</v>
      </c>
      <c r="BI312" s="43">
        <f t="shared" si="478"/>
        <v>11.060606060606061</v>
      </c>
      <c r="BJ312" s="43">
        <f t="shared" si="478"/>
        <v>11.060606060606061</v>
      </c>
      <c r="BK312" s="1"/>
      <c r="BL312" s="12"/>
      <c r="BM312" s="23">
        <f t="shared" si="353"/>
        <v>306</v>
      </c>
    </row>
    <row r="313" spans="1:65" ht="12.75" hidden="1" customHeight="1" outlineLevel="2">
      <c r="A313" s="118"/>
      <c r="B313" s="40" t="s">
        <v>104</v>
      </c>
      <c r="C313" s="1"/>
      <c r="D313" s="1"/>
      <c r="E313" s="1"/>
      <c r="F313" s="1"/>
      <c r="G313" s="12">
        <f t="shared" ref="G313:N313" si="479">365/G312</f>
        <v>51.790384444978926</v>
      </c>
      <c r="H313" s="12">
        <f t="shared" si="479"/>
        <v>59.03568754914005</v>
      </c>
      <c r="I313" s="12">
        <f t="shared" si="479"/>
        <v>56.682564539790093</v>
      </c>
      <c r="J313" s="12">
        <f t="shared" si="479"/>
        <v>67.247149423572424</v>
      </c>
      <c r="K313" s="12">
        <f t="shared" si="479"/>
        <v>42.976721857168329</v>
      </c>
      <c r="L313" s="12">
        <f t="shared" si="479"/>
        <v>47.925852310601016</v>
      </c>
      <c r="M313" s="12">
        <f t="shared" si="479"/>
        <v>60.190835856231473</v>
      </c>
      <c r="N313" s="12">
        <f t="shared" si="479"/>
        <v>39.114446964379979</v>
      </c>
      <c r="O313" s="12">
        <f>365/O312</f>
        <v>38.736961942604637</v>
      </c>
      <c r="P313" s="12">
        <f>365/P312</f>
        <v>33.704699190778733</v>
      </c>
      <c r="Q313" s="12">
        <f>365/Q312</f>
        <v>33.095379102421049</v>
      </c>
      <c r="R313" s="51"/>
      <c r="S313" s="1"/>
      <c r="T313" s="1"/>
      <c r="U313" s="1"/>
      <c r="V313" s="1"/>
      <c r="W313" s="1"/>
      <c r="X313" s="1"/>
      <c r="Y313" s="12">
        <f t="shared" ref="Y313:AI313" si="480">365/Y312</f>
        <v>52.201349439667574</v>
      </c>
      <c r="Z313" s="12">
        <f t="shared" si="480"/>
        <v>53.430331521489819</v>
      </c>
      <c r="AA313" s="12">
        <f t="shared" si="480"/>
        <v>51.196570685687171</v>
      </c>
      <c r="AB313" s="12">
        <f t="shared" si="480"/>
        <v>62.151285641547858</v>
      </c>
      <c r="AC313" s="12">
        <f t="shared" si="480"/>
        <v>47.424970590766947</v>
      </c>
      <c r="AD313" s="12">
        <f t="shared" si="480"/>
        <v>51.22142441446735</v>
      </c>
      <c r="AE313" s="12">
        <f t="shared" si="480"/>
        <v>52.463138936304624</v>
      </c>
      <c r="AF313" s="12">
        <f t="shared" si="480"/>
        <v>59.329722557899061</v>
      </c>
      <c r="AG313" s="12">
        <f t="shared" si="480"/>
        <v>59.30181851155735</v>
      </c>
      <c r="AH313" s="12">
        <f t="shared" si="480"/>
        <v>56.955965978128802</v>
      </c>
      <c r="AI313" s="12">
        <f t="shared" si="480"/>
        <v>36.833270884278612</v>
      </c>
      <c r="AJ313" s="12">
        <f t="shared" ref="AJ313:AO313" si="481">365/AJ312</f>
        <v>40.416355150773697</v>
      </c>
      <c r="AK313" s="12">
        <f t="shared" si="481"/>
        <v>39.403478359619754</v>
      </c>
      <c r="AL313" s="12">
        <f t="shared" si="481"/>
        <v>38.601830068675127</v>
      </c>
      <c r="AM313" s="12">
        <f t="shared" si="481"/>
        <v>42.800687687969251</v>
      </c>
      <c r="AN313" s="12">
        <f t="shared" si="481"/>
        <v>49.971832337883967</v>
      </c>
      <c r="AO313" s="12">
        <f t="shared" si="481"/>
        <v>52.60017414497672</v>
      </c>
      <c r="AP313" s="12">
        <f t="shared" ref="AP313:AU313" si="482">365/AP312</f>
        <v>50.865376369904141</v>
      </c>
      <c r="AQ313" s="12">
        <f t="shared" si="482"/>
        <v>57.348912422366062</v>
      </c>
      <c r="AR313" s="12">
        <f t="shared" si="482"/>
        <v>59.666502770015683</v>
      </c>
      <c r="AS313" s="12">
        <f t="shared" si="482"/>
        <v>59.161290255053345</v>
      </c>
      <c r="AT313" s="12">
        <f t="shared" si="482"/>
        <v>48.393961700952083</v>
      </c>
      <c r="AU313" s="12">
        <f t="shared" si="482"/>
        <v>33.807400986798235</v>
      </c>
      <c r="AV313" s="12">
        <f>365/AV312</f>
        <v>34.333788390717835</v>
      </c>
      <c r="AW313" s="12">
        <f>365/AW312</f>
        <v>34.500149173185676</v>
      </c>
      <c r="AX313" s="12">
        <f>365/AX312</f>
        <v>33.824667142845684</v>
      </c>
      <c r="AY313" s="25">
        <v>33</v>
      </c>
      <c r="AZ313" s="25">
        <f>AY313</f>
        <v>33</v>
      </c>
      <c r="BA313" s="25">
        <f t="shared" ref="BA313:BJ313" si="483">AZ313</f>
        <v>33</v>
      </c>
      <c r="BB313" s="25">
        <f t="shared" si="483"/>
        <v>33</v>
      </c>
      <c r="BC313" s="25">
        <f t="shared" si="483"/>
        <v>33</v>
      </c>
      <c r="BD313" s="25">
        <f t="shared" si="483"/>
        <v>33</v>
      </c>
      <c r="BE313" s="25">
        <f t="shared" si="483"/>
        <v>33</v>
      </c>
      <c r="BF313" s="25">
        <f t="shared" si="483"/>
        <v>33</v>
      </c>
      <c r="BG313" s="25">
        <f t="shared" si="483"/>
        <v>33</v>
      </c>
      <c r="BH313" s="25">
        <f t="shared" si="483"/>
        <v>33</v>
      </c>
      <c r="BI313" s="25">
        <f t="shared" si="483"/>
        <v>33</v>
      </c>
      <c r="BJ313" s="25">
        <f t="shared" si="483"/>
        <v>33</v>
      </c>
      <c r="BK313" s="1"/>
      <c r="BL313" s="12"/>
      <c r="BM313" s="23">
        <f t="shared" si="353"/>
        <v>307</v>
      </c>
    </row>
    <row r="314" spans="1:65" ht="12.75" hidden="1" customHeight="1" outlineLevel="2">
      <c r="A314" s="118"/>
      <c r="B314" s="40" t="s">
        <v>105</v>
      </c>
      <c r="C314" s="1"/>
      <c r="D314" s="1"/>
      <c r="E314" s="1"/>
      <c r="F314" s="1"/>
      <c r="G314" s="12">
        <f t="shared" ref="G314:Q314" si="484">365/((G189/G268))</f>
        <v>27.784947529653028</v>
      </c>
      <c r="H314" s="12">
        <f t="shared" si="484"/>
        <v>73.68432165898912</v>
      </c>
      <c r="I314" s="12">
        <f t="shared" si="484"/>
        <v>53.12238438468642</v>
      </c>
      <c r="J314" s="12">
        <f t="shared" si="484"/>
        <v>39.142675151925538</v>
      </c>
      <c r="K314" s="12">
        <f t="shared" si="484"/>
        <v>55.261215038220357</v>
      </c>
      <c r="L314" s="12">
        <f t="shared" si="484"/>
        <v>36.591717063987424</v>
      </c>
      <c r="M314" s="12">
        <f t="shared" si="484"/>
        <v>54.125792224934273</v>
      </c>
      <c r="N314" s="12">
        <f t="shared" si="484"/>
        <v>62.994008224914886</v>
      </c>
      <c r="O314" s="12">
        <f t="shared" si="484"/>
        <v>62.213908574486233</v>
      </c>
      <c r="P314" s="12">
        <f t="shared" si="484"/>
        <v>54.131789609432502</v>
      </c>
      <c r="Q314" s="12">
        <f t="shared" si="484"/>
        <v>53.153184619039862</v>
      </c>
      <c r="R314" s="51"/>
      <c r="S314" s="1"/>
      <c r="T314" s="1"/>
      <c r="U314" s="1"/>
      <c r="V314" s="1"/>
      <c r="W314" s="1"/>
      <c r="X314" s="1"/>
      <c r="Y314" s="12">
        <f t="shared" ref="Y314:AW314" si="485">365/((4*Y189/Y268))</f>
        <v>27.953266948122284</v>
      </c>
      <c r="Z314" s="12">
        <f t="shared" si="485"/>
        <v>66.688098294761531</v>
      </c>
      <c r="AA314" s="12">
        <f t="shared" si="485"/>
        <v>31.589066425396592</v>
      </c>
      <c r="AB314" s="12">
        <f t="shared" si="485"/>
        <v>58.212915818058384</v>
      </c>
      <c r="AC314" s="12">
        <f t="shared" si="485"/>
        <v>51.836534875046631</v>
      </c>
      <c r="AD314" s="12">
        <f t="shared" si="485"/>
        <v>48.004253487267711</v>
      </c>
      <c r="AE314" s="12">
        <f t="shared" si="485"/>
        <v>37.170384134621848</v>
      </c>
      <c r="AF314" s="12">
        <f t="shared" si="485"/>
        <v>34.912341626281624</v>
      </c>
      <c r="AG314" s="12">
        <f t="shared" si="485"/>
        <v>40.720040448005619</v>
      </c>
      <c r="AH314" s="12">
        <f t="shared" si="485"/>
        <v>33.152466585662211</v>
      </c>
      <c r="AI314" s="12">
        <f t="shared" si="485"/>
        <v>33.421383213694092</v>
      </c>
      <c r="AJ314" s="12">
        <f t="shared" si="485"/>
        <v>36.40297318320156</v>
      </c>
      <c r="AK314" s="12">
        <f t="shared" si="485"/>
        <v>41.176092373260644</v>
      </c>
      <c r="AL314" s="12">
        <f t="shared" si="485"/>
        <v>49.635801431841671</v>
      </c>
      <c r="AM314" s="12">
        <f t="shared" si="485"/>
        <v>37.314618147461651</v>
      </c>
      <c r="AN314" s="12">
        <f t="shared" si="485"/>
        <v>41.899477389078498</v>
      </c>
      <c r="AO314" s="12">
        <f t="shared" si="485"/>
        <v>43.155796539939161</v>
      </c>
      <c r="AP314" s="12">
        <f t="shared" si="485"/>
        <v>38.836063851681622</v>
      </c>
      <c r="AQ314" s="12">
        <f t="shared" si="485"/>
        <v>38.802470234470874</v>
      </c>
      <c r="AR314" s="12">
        <f t="shared" si="485"/>
        <v>42.838377617883886</v>
      </c>
      <c r="AS314" s="12">
        <f t="shared" si="485"/>
        <v>52.485597776028669</v>
      </c>
      <c r="AT314" s="12">
        <f t="shared" si="485"/>
        <v>43.517613249691735</v>
      </c>
      <c r="AU314" s="12">
        <f t="shared" si="485"/>
        <v>35.020822776370181</v>
      </c>
      <c r="AV314" s="12">
        <f t="shared" si="485"/>
        <v>47.321628480682421</v>
      </c>
      <c r="AW314" s="12">
        <f t="shared" si="485"/>
        <v>56.124897443434826</v>
      </c>
      <c r="AX314" s="12">
        <f>365/((4*AX189/AX268))</f>
        <v>54.474791939198902</v>
      </c>
      <c r="AY314" s="25">
        <v>53</v>
      </c>
      <c r="AZ314" s="25">
        <f>AY314</f>
        <v>53</v>
      </c>
      <c r="BA314" s="25">
        <f>AZ314</f>
        <v>53</v>
      </c>
      <c r="BB314" s="25">
        <f>BA314</f>
        <v>53</v>
      </c>
      <c r="BC314" s="25">
        <f t="shared" ref="BC314:BJ314" si="486">BB314</f>
        <v>53</v>
      </c>
      <c r="BD314" s="25">
        <f t="shared" si="486"/>
        <v>53</v>
      </c>
      <c r="BE314" s="25">
        <f t="shared" si="486"/>
        <v>53</v>
      </c>
      <c r="BF314" s="25">
        <f t="shared" si="486"/>
        <v>53</v>
      </c>
      <c r="BG314" s="25">
        <f t="shared" si="486"/>
        <v>53</v>
      </c>
      <c r="BH314" s="25">
        <f t="shared" si="486"/>
        <v>53</v>
      </c>
      <c r="BI314" s="25">
        <f t="shared" si="486"/>
        <v>53</v>
      </c>
      <c r="BJ314" s="25">
        <f t="shared" si="486"/>
        <v>53</v>
      </c>
      <c r="BK314" s="1"/>
      <c r="BL314" s="12"/>
      <c r="BM314" s="23">
        <f t="shared" si="353"/>
        <v>308</v>
      </c>
    </row>
    <row r="315" spans="1:65" ht="12.75" hidden="1" customHeight="1" outlineLevel="2">
      <c r="A315" s="118"/>
      <c r="B315" s="40" t="s">
        <v>106</v>
      </c>
      <c r="C315" s="1"/>
      <c r="D315" s="1"/>
      <c r="E315" s="1"/>
      <c r="F315" s="1"/>
      <c r="G315" s="12">
        <f t="shared" ref="G315:N315" si="487">G311+G313-G314</f>
        <v>68.773453636901067</v>
      </c>
      <c r="H315" s="12">
        <f t="shared" si="487"/>
        <v>42.892658948318456</v>
      </c>
      <c r="I315" s="12">
        <f t="shared" si="487"/>
        <v>52.761449289430949</v>
      </c>
      <c r="J315" s="12">
        <f t="shared" si="487"/>
        <v>78.382610226838892</v>
      </c>
      <c r="K315" s="12">
        <f t="shared" si="487"/>
        <v>38.040021128190958</v>
      </c>
      <c r="L315" s="12">
        <f t="shared" si="487"/>
        <v>44.659262115035922</v>
      </c>
      <c r="M315" s="12">
        <f t="shared" si="487"/>
        <v>64.116756832101302</v>
      </c>
      <c r="N315" s="12">
        <f t="shared" si="487"/>
        <v>38.653240824485785</v>
      </c>
      <c r="O315" s="12">
        <f>O311+O313-O314</f>
        <v>41.414781710709597</v>
      </c>
      <c r="P315" s="12">
        <f>P311+P313-P314</f>
        <v>33.804861617063409</v>
      </c>
      <c r="Q315" s="12">
        <f>Q311+Q313-Q314</f>
        <v>33.990062620034379</v>
      </c>
      <c r="R315" s="51"/>
      <c r="S315" s="1"/>
      <c r="T315" s="1"/>
      <c r="U315" s="1"/>
      <c r="V315" s="1"/>
      <c r="W315" s="1"/>
      <c r="X315" s="1"/>
      <c r="Y315" s="12">
        <f t="shared" ref="Y315:AI315" si="488">Y311+Y313-Y314</f>
        <v>72.461395766700832</v>
      </c>
      <c r="Z315" s="12">
        <f t="shared" si="488"/>
        <v>37.587360612829229</v>
      </c>
      <c r="AA315" s="12">
        <f t="shared" si="488"/>
        <v>70.098263683631799</v>
      </c>
      <c r="AB315" s="12">
        <f t="shared" si="488"/>
        <v>47.473169058671111</v>
      </c>
      <c r="AC315" s="12">
        <f t="shared" si="488"/>
        <v>42.417004986980622</v>
      </c>
      <c r="AD315" s="12">
        <f t="shared" si="488"/>
        <v>48.96813894066765</v>
      </c>
      <c r="AE315" s="12">
        <f t="shared" si="488"/>
        <v>63.976084728093248</v>
      </c>
      <c r="AF315" s="12">
        <f t="shared" si="488"/>
        <v>67.851818527919448</v>
      </c>
      <c r="AG315" s="12">
        <f t="shared" si="488"/>
        <v>65.76194599983981</v>
      </c>
      <c r="AH315" s="12">
        <f t="shared" si="488"/>
        <v>69.715422201784605</v>
      </c>
      <c r="AI315" s="12">
        <f t="shared" si="488"/>
        <v>52.746523557199914</v>
      </c>
      <c r="AJ315" s="12">
        <f t="shared" ref="AJ315:AO315" si="489">AJ311+AJ313-AJ314</f>
        <v>52.09985870966765</v>
      </c>
      <c r="AK315" s="12">
        <f t="shared" si="489"/>
        <v>47.304481478284686</v>
      </c>
      <c r="AL315" s="12">
        <f t="shared" si="489"/>
        <v>33.160248935003651</v>
      </c>
      <c r="AM315" s="12">
        <f t="shared" si="489"/>
        <v>48.594914253634819</v>
      </c>
      <c r="AN315" s="12">
        <f t="shared" si="489"/>
        <v>56.185046544686458</v>
      </c>
      <c r="AO315" s="12">
        <f t="shared" si="489"/>
        <v>59.708561237797795</v>
      </c>
      <c r="AP315" s="12">
        <f t="shared" ref="AP315:AU315" si="490">AP311+AP313-AP314</f>
        <v>51.386037127367935</v>
      </c>
      <c r="AQ315" s="12">
        <f t="shared" si="490"/>
        <v>62.549931698955518</v>
      </c>
      <c r="AR315" s="12">
        <f t="shared" si="490"/>
        <v>59.174196318174502</v>
      </c>
      <c r="AS315" s="12">
        <f t="shared" si="490"/>
        <v>53.526871806492224</v>
      </c>
      <c r="AT315" s="12">
        <f t="shared" si="490"/>
        <v>49.410339228403899</v>
      </c>
      <c r="AU315" s="12">
        <f t="shared" si="490"/>
        <v>50.961492527188469</v>
      </c>
      <c r="AV315" s="12">
        <f t="shared" ref="AV315:BB315" si="491">AV311+AV313-AV314</f>
        <v>36.99679661325267</v>
      </c>
      <c r="AW315" s="12">
        <f t="shared" si="491"/>
        <v>32.883309888192464</v>
      </c>
      <c r="AX315" s="12">
        <f>AX311+AX313-AX314</f>
        <v>33.149935386803271</v>
      </c>
      <c r="AY315" s="12">
        <f t="shared" si="491"/>
        <v>34</v>
      </c>
      <c r="AZ315" s="12">
        <f t="shared" si="491"/>
        <v>34</v>
      </c>
      <c r="BA315" s="12">
        <f t="shared" si="491"/>
        <v>34</v>
      </c>
      <c r="BB315" s="12">
        <f t="shared" si="491"/>
        <v>34</v>
      </c>
      <c r="BC315" s="12">
        <f t="shared" ref="BC315:BJ315" si="492">BC311+BC313-BC314</f>
        <v>34</v>
      </c>
      <c r="BD315" s="12">
        <f t="shared" si="492"/>
        <v>34</v>
      </c>
      <c r="BE315" s="12">
        <f t="shared" si="492"/>
        <v>34</v>
      </c>
      <c r="BF315" s="12">
        <f t="shared" si="492"/>
        <v>34</v>
      </c>
      <c r="BG315" s="12">
        <f t="shared" si="492"/>
        <v>34</v>
      </c>
      <c r="BH315" s="12">
        <f t="shared" si="492"/>
        <v>34</v>
      </c>
      <c r="BI315" s="12">
        <f t="shared" si="492"/>
        <v>34</v>
      </c>
      <c r="BJ315" s="12">
        <f t="shared" si="492"/>
        <v>34</v>
      </c>
      <c r="BK315" s="1"/>
      <c r="BL315" s="12"/>
      <c r="BM315" s="23">
        <f t="shared" si="353"/>
        <v>309</v>
      </c>
    </row>
    <row r="316" spans="1:65" ht="12.75" hidden="1" customHeight="1" outlineLevel="2">
      <c r="A316" s="118"/>
      <c r="B316" s="40" t="s">
        <v>107</v>
      </c>
      <c r="C316" s="1"/>
      <c r="D316" s="1"/>
      <c r="E316" s="1"/>
      <c r="F316" s="1"/>
      <c r="G316" s="11">
        <f t="shared" ref="G316:Q316" si="493">G256/G14</f>
        <v>2.1804182843239314E-2</v>
      </c>
      <c r="H316" s="11">
        <f t="shared" si="493"/>
        <v>4.213853526559673E-2</v>
      </c>
      <c r="I316" s="11">
        <f t="shared" si="493"/>
        <v>1.5248621785297232E-2</v>
      </c>
      <c r="J316" s="11">
        <f t="shared" si="493"/>
        <v>2.0337964811511171E-2</v>
      </c>
      <c r="K316" s="11">
        <f t="shared" si="493"/>
        <v>1.1420704632268823E-2</v>
      </c>
      <c r="L316" s="11">
        <f t="shared" si="493"/>
        <v>2.5667624173974977E-2</v>
      </c>
      <c r="M316" s="11">
        <f t="shared" si="493"/>
        <v>2.5025686843868664E-2</v>
      </c>
      <c r="N316" s="11">
        <f t="shared" si="493"/>
        <v>1.1052898373777351E-2</v>
      </c>
      <c r="O316" s="11">
        <f t="shared" si="493"/>
        <v>7.1818206086370785E-3</v>
      </c>
      <c r="P316" s="11">
        <f t="shared" si="493"/>
        <v>5.8806931322889673E-3</v>
      </c>
      <c r="Q316" s="11">
        <f t="shared" si="493"/>
        <v>5.7355959529826637E-3</v>
      </c>
      <c r="R316" s="51"/>
      <c r="S316" s="1"/>
      <c r="T316" s="1"/>
      <c r="U316" s="1"/>
      <c r="V316" s="1"/>
      <c r="W316" s="1"/>
      <c r="X316" s="1"/>
      <c r="Y316" s="11">
        <f t="shared" ref="Y316:BJ316" si="494">Y256/Y14</f>
        <v>7.5435993084012928E-2</v>
      </c>
      <c r="Z316" s="11">
        <f t="shared" si="494"/>
        <v>0.14893924551032353</v>
      </c>
      <c r="AA316" s="11">
        <f t="shared" si="494"/>
        <v>5.6574163425641623E-2</v>
      </c>
      <c r="AB316" s="11">
        <f t="shared" si="494"/>
        <v>6.849904397705546E-2</v>
      </c>
      <c r="AC316" s="11">
        <f t="shared" si="494"/>
        <v>7.4202873538421713E-2</v>
      </c>
      <c r="AD316" s="11">
        <f t="shared" si="494"/>
        <v>5.6717171717171715E-2</v>
      </c>
      <c r="AE316" s="11">
        <f t="shared" si="494"/>
        <v>6.2845461978740802E-2</v>
      </c>
      <c r="AF316" s="11">
        <f t="shared" si="494"/>
        <v>7.3567026194144888E-2</v>
      </c>
      <c r="AG316" s="11">
        <f t="shared" si="494"/>
        <v>9.3178670360110794E-2</v>
      </c>
      <c r="AH316" s="11">
        <f t="shared" si="494"/>
        <v>7.4287166998942958E-2</v>
      </c>
      <c r="AI316" s="11">
        <f t="shared" si="494"/>
        <v>7.7125961298203732E-2</v>
      </c>
      <c r="AJ316" s="11">
        <f t="shared" si="494"/>
        <v>6.807547096466976E-2</v>
      </c>
      <c r="AK316" s="11">
        <f t="shared" si="494"/>
        <v>4.7513844215273403E-2</v>
      </c>
      <c r="AL316" s="11">
        <f t="shared" si="494"/>
        <v>4.0117953916238298E-2</v>
      </c>
      <c r="AM316" s="11">
        <f t="shared" si="494"/>
        <v>5.2829504113592024E-2</v>
      </c>
      <c r="AN316" s="11">
        <f t="shared" si="494"/>
        <v>9.2447342910020269E-2</v>
      </c>
      <c r="AO316" s="11">
        <f t="shared" si="494"/>
        <v>0.12081746113456193</v>
      </c>
      <c r="AP316" s="11">
        <f t="shared" si="494"/>
        <v>0.12125308569413423</v>
      </c>
      <c r="AQ316" s="11">
        <f t="shared" si="494"/>
        <v>9.2351644763692772E-2</v>
      </c>
      <c r="AR316" s="11">
        <f t="shared" si="494"/>
        <v>8.585055643879172E-2</v>
      </c>
      <c r="AS316" s="11">
        <f t="shared" si="494"/>
        <v>0.16050323779655606</v>
      </c>
      <c r="AT316" s="11">
        <f t="shared" si="494"/>
        <v>7.679316565500377E-2</v>
      </c>
      <c r="AU316" s="11">
        <f t="shared" si="494"/>
        <v>5.6365069833372139E-2</v>
      </c>
      <c r="AV316" s="11">
        <f t="shared" si="494"/>
        <v>3.5302015733393005E-2</v>
      </c>
      <c r="AW316" s="11">
        <f t="shared" si="494"/>
        <v>4.3834758842164145E-2</v>
      </c>
      <c r="AX316" s="11">
        <f t="shared" si="494"/>
        <v>3.8037418946877968E-2</v>
      </c>
      <c r="AY316" s="11">
        <f t="shared" si="494"/>
        <v>3.7015752097432478E-2</v>
      </c>
      <c r="AZ316" s="11">
        <f t="shared" si="494"/>
        <v>3.2873914698686557E-2</v>
      </c>
      <c r="BA316" s="11">
        <f t="shared" si="494"/>
        <v>2.5016004196163205E-2</v>
      </c>
      <c r="BB316" s="11">
        <f t="shared" si="494"/>
        <v>2.3905562250950904E-2</v>
      </c>
      <c r="BC316" s="11">
        <f t="shared" si="494"/>
        <v>2.3746988059600165E-2</v>
      </c>
      <c r="BD316" s="11">
        <f t="shared" si="494"/>
        <v>2.3568247637554589E-2</v>
      </c>
      <c r="BE316" s="11">
        <f t="shared" si="494"/>
        <v>2.335749603977863E-2</v>
      </c>
      <c r="BF316" s="11">
        <f t="shared" si="494"/>
        <v>2.342216477359774E-2</v>
      </c>
      <c r="BG316" s="11">
        <f t="shared" si="494"/>
        <v>2.3204545410411032E-2</v>
      </c>
      <c r="BH316" s="11">
        <f t="shared" si="494"/>
        <v>2.2881865823460208E-2</v>
      </c>
      <c r="BI316" s="11">
        <f t="shared" si="494"/>
        <v>2.276557255410834E-2</v>
      </c>
      <c r="BJ316" s="11">
        <f t="shared" si="494"/>
        <v>2.2922064617088723E-2</v>
      </c>
      <c r="BK316" s="1"/>
      <c r="BL316" s="12"/>
      <c r="BM316" s="23">
        <f t="shared" si="353"/>
        <v>310</v>
      </c>
    </row>
    <row r="317" spans="1:65" ht="12.75" hidden="1" customHeight="1" outlineLevel="2">
      <c r="A317" s="118"/>
      <c r="B317" s="40" t="s">
        <v>108</v>
      </c>
      <c r="C317" s="1"/>
      <c r="D317" s="1"/>
      <c r="E317" s="1"/>
      <c r="F317" s="1"/>
      <c r="G317" s="11">
        <f t="shared" ref="G317:Q317" si="495">G271/G14</f>
        <v>2.6997015754042612E-2</v>
      </c>
      <c r="H317" s="11">
        <f t="shared" si="495"/>
        <v>4.0771806922043338E-2</v>
      </c>
      <c r="I317" s="11">
        <f t="shared" si="495"/>
        <v>5.7602132725017872E-2</v>
      </c>
      <c r="J317" s="11">
        <f t="shared" si="495"/>
        <v>1.4262583932568218E-2</v>
      </c>
      <c r="K317" s="11">
        <f t="shared" si="495"/>
        <v>3.8364807850893252E-2</v>
      </c>
      <c r="L317" s="11">
        <f t="shared" si="495"/>
        <v>2.993674852913502E-2</v>
      </c>
      <c r="M317" s="11">
        <f t="shared" si="495"/>
        <v>3.4112128657583202E-2</v>
      </c>
      <c r="N317" s="11">
        <f t="shared" si="495"/>
        <v>3.0946503649511511E-2</v>
      </c>
      <c r="O317" s="11">
        <f t="shared" si="495"/>
        <v>2.010805040989164E-2</v>
      </c>
      <c r="P317" s="11">
        <f t="shared" si="495"/>
        <v>1.6465083213991715E-2</v>
      </c>
      <c r="Q317" s="11">
        <f t="shared" si="495"/>
        <v>1.6058832270837355E-2</v>
      </c>
      <c r="R317" s="51"/>
      <c r="S317" s="1"/>
      <c r="T317" s="1"/>
      <c r="U317" s="1"/>
      <c r="V317" s="1"/>
      <c r="W317" s="1"/>
      <c r="X317" s="1"/>
      <c r="Y317" s="11">
        <f t="shared" ref="Y317:BJ317" si="496">Y271/Y14</f>
        <v>0.1052782051107511</v>
      </c>
      <c r="Z317" s="11">
        <f t="shared" si="496"/>
        <v>0.14410852495908955</v>
      </c>
      <c r="AA317" s="11">
        <f t="shared" si="496"/>
        <v>0.1271261611642347</v>
      </c>
      <c r="AB317" s="11">
        <f t="shared" si="496"/>
        <v>0.14713193116634798</v>
      </c>
      <c r="AC317" s="11">
        <f t="shared" si="496"/>
        <v>0.14182163351598567</v>
      </c>
      <c r="AD317" s="11">
        <f t="shared" si="496"/>
        <v>0.21425084175084172</v>
      </c>
      <c r="AE317" s="11">
        <f t="shared" si="496"/>
        <v>7.9558462796402302E-2</v>
      </c>
      <c r="AF317" s="11">
        <f t="shared" si="496"/>
        <v>5.944530046224962E-2</v>
      </c>
      <c r="AG317" s="11">
        <f t="shared" si="496"/>
        <v>4.6578947368420998E-2</v>
      </c>
      <c r="AH317" s="11">
        <f t="shared" si="496"/>
        <v>5.209601669855627E-2</v>
      </c>
      <c r="AI317" s="11">
        <f t="shared" si="496"/>
        <v>1.507537688442211E-2</v>
      </c>
      <c r="AJ317" s="11">
        <f t="shared" si="496"/>
        <v>3.3095077283395127E-2</v>
      </c>
      <c r="AK317" s="11">
        <f t="shared" si="496"/>
        <v>0.13961103558046223</v>
      </c>
      <c r="AL317" s="11">
        <f t="shared" si="496"/>
        <v>0.13476555457171591</v>
      </c>
      <c r="AM317" s="11">
        <f t="shared" si="496"/>
        <v>0.1890879494797949</v>
      </c>
      <c r="AN317" s="11">
        <f t="shared" si="496"/>
        <v>0.2276643775718421</v>
      </c>
      <c r="AO317" s="11">
        <f t="shared" si="496"/>
        <v>0.1341758468032534</v>
      </c>
      <c r="AP317" s="11">
        <f t="shared" si="496"/>
        <v>0.14142030092864699</v>
      </c>
      <c r="AQ317" s="11">
        <f t="shared" si="496"/>
        <v>8.6621500285690975E-2</v>
      </c>
      <c r="AR317" s="11">
        <f t="shared" si="496"/>
        <v>7.4867087201053048E-2</v>
      </c>
      <c r="AS317" s="11">
        <f t="shared" si="496"/>
        <v>0.10795075064610739</v>
      </c>
      <c r="AT317" s="11">
        <f t="shared" si="496"/>
        <v>0.10467558246012294</v>
      </c>
      <c r="AU317" s="11">
        <f t="shared" si="496"/>
        <v>7.7313038966980802E-2</v>
      </c>
      <c r="AV317" s="11">
        <f t="shared" si="496"/>
        <v>9.7061608111132139E-2</v>
      </c>
      <c r="AW317" s="11">
        <f t="shared" si="496"/>
        <v>0.12007895125832189</v>
      </c>
      <c r="AX317" s="11">
        <f t="shared" si="496"/>
        <v>0.10649922621655955</v>
      </c>
      <c r="AY317" s="11">
        <f t="shared" si="496"/>
        <v>0.10363870802343474</v>
      </c>
      <c r="AZ317" s="11">
        <f t="shared" si="496"/>
        <v>9.2042167293442514E-2</v>
      </c>
      <c r="BA317" s="11">
        <f t="shared" si="496"/>
        <v>7.0041163771977194E-2</v>
      </c>
      <c r="BB317" s="11">
        <f t="shared" si="496"/>
        <v>6.6932088256399194E-2</v>
      </c>
      <c r="BC317" s="11">
        <f t="shared" si="496"/>
        <v>6.6488103644815638E-2</v>
      </c>
      <c r="BD317" s="11">
        <f t="shared" si="496"/>
        <v>6.5987656528042032E-2</v>
      </c>
      <c r="BE317" s="11">
        <f t="shared" si="496"/>
        <v>6.539758278727667E-2</v>
      </c>
      <c r="BF317" s="11">
        <f t="shared" si="496"/>
        <v>6.557864581160433E-2</v>
      </c>
      <c r="BG317" s="11">
        <f t="shared" si="496"/>
        <v>6.4969343329185844E-2</v>
      </c>
      <c r="BH317" s="11">
        <f t="shared" si="496"/>
        <v>6.4065887540712518E-2</v>
      </c>
      <c r="BI317" s="11">
        <f t="shared" si="496"/>
        <v>6.3740283345079141E-2</v>
      </c>
      <c r="BJ317" s="11">
        <f t="shared" si="496"/>
        <v>6.4178438300853596E-2</v>
      </c>
      <c r="BK317" s="1"/>
      <c r="BL317" s="12"/>
      <c r="BM317" s="23">
        <f t="shared" si="353"/>
        <v>311</v>
      </c>
    </row>
    <row r="318" spans="1:65" ht="12.75" hidden="1" customHeight="1" outlineLevel="2">
      <c r="A318" s="118"/>
      <c r="B318" s="40" t="s">
        <v>109</v>
      </c>
      <c r="C318" s="1"/>
      <c r="D318" s="1"/>
      <c r="E318" s="1"/>
      <c r="F318" s="1"/>
      <c r="G318" s="11">
        <f t="shared" ref="G318:Q318" si="497">G269/G14</f>
        <v>3.6533539087090179E-2</v>
      </c>
      <c r="H318" s="11">
        <f t="shared" si="497"/>
        <v>3.3407035625222195E-2</v>
      </c>
      <c r="I318" s="11">
        <f t="shared" si="497"/>
        <v>2.1456245643574214E-2</v>
      </c>
      <c r="J318" s="11">
        <f t="shared" si="497"/>
        <v>1.9823288288453301E-2</v>
      </c>
      <c r="K318" s="11">
        <f t="shared" si="497"/>
        <v>2.0429066280691792E-2</v>
      </c>
      <c r="L318" s="11">
        <f t="shared" si="497"/>
        <v>1.8208709635779148E-2</v>
      </c>
      <c r="M318" s="11">
        <f t="shared" si="497"/>
        <v>2.3290596381505473E-2</v>
      </c>
      <c r="N318" s="11">
        <f t="shared" si="497"/>
        <v>1.7946554421119056E-2</v>
      </c>
      <c r="O318" s="11">
        <f t="shared" si="497"/>
        <v>1.8554597320102843E-2</v>
      </c>
      <c r="P318" s="11">
        <f t="shared" si="497"/>
        <v>1.5506630160833887E-2</v>
      </c>
      <c r="Q318" s="11">
        <f t="shared" si="497"/>
        <v>1.5453994752477771E-2</v>
      </c>
      <c r="R318" s="51"/>
      <c r="S318" s="1"/>
      <c r="T318" s="1"/>
      <c r="U318" s="1"/>
      <c r="V318" s="1"/>
      <c r="W318" s="1"/>
      <c r="X318" s="1"/>
      <c r="Y318" s="11">
        <f t="shared" ref="Y318:AX318" si="498">Y269/Y14</f>
        <v>0.13075027568649342</v>
      </c>
      <c r="Z318" s="11">
        <f t="shared" si="498"/>
        <v>0.11807763723622711</v>
      </c>
      <c r="AA318" s="11">
        <f t="shared" si="498"/>
        <v>8.549482898109971E-2</v>
      </c>
      <c r="AB318" s="11">
        <f t="shared" si="498"/>
        <v>8.2409177820267687E-2</v>
      </c>
      <c r="AC318" s="11">
        <f t="shared" si="498"/>
        <v>8.1244337058290539E-2</v>
      </c>
      <c r="AD318" s="11">
        <f t="shared" si="498"/>
        <v>7.9806397306397298E-2</v>
      </c>
      <c r="AE318" s="11">
        <f t="shared" si="498"/>
        <v>8.2420278004905978E-2</v>
      </c>
      <c r="AF318" s="11">
        <f t="shared" si="498"/>
        <v>7.0708782742681053E-2</v>
      </c>
      <c r="AG318" s="11">
        <f t="shared" si="498"/>
        <v>7.4480609418282551E-2</v>
      </c>
      <c r="AH318" s="11">
        <f t="shared" si="498"/>
        <v>7.2407241393151994E-2</v>
      </c>
      <c r="AI318" s="11">
        <f t="shared" si="498"/>
        <v>6.0407007412754378E-2</v>
      </c>
      <c r="AJ318" s="11">
        <f t="shared" si="498"/>
        <v>6.3264998712348336E-2</v>
      </c>
      <c r="AK318" s="11">
        <f t="shared" si="498"/>
        <v>7.04562788075737E-2</v>
      </c>
      <c r="AL318" s="11">
        <f t="shared" si="498"/>
        <v>7.1761976689677834E-2</v>
      </c>
      <c r="AM318" s="11">
        <f t="shared" si="498"/>
        <v>6.8259151393914447E-2</v>
      </c>
      <c r="AN318" s="11">
        <f t="shared" si="498"/>
        <v>9.7829992339554334E-2</v>
      </c>
      <c r="AO318" s="11">
        <f t="shared" si="498"/>
        <v>9.0439359621126328E-2</v>
      </c>
      <c r="AP318" s="11">
        <f t="shared" si="498"/>
        <v>8.6017397437404497E-2</v>
      </c>
      <c r="AQ318" s="11">
        <f t="shared" si="498"/>
        <v>9.4253530324055187E-2</v>
      </c>
      <c r="AR318" s="11">
        <f t="shared" si="498"/>
        <v>9.8620442073952513E-2</v>
      </c>
      <c r="AS318" s="11">
        <f t="shared" si="498"/>
        <v>9.3075761535557688E-2</v>
      </c>
      <c r="AT318" s="11">
        <f t="shared" si="498"/>
        <v>7.1468912613160948E-2</v>
      </c>
      <c r="AU318" s="11">
        <f t="shared" si="498"/>
        <v>7.5548311458065259E-2</v>
      </c>
      <c r="AV318" s="11">
        <f t="shared" si="498"/>
        <v>6.8813798564370907E-2</v>
      </c>
      <c r="AW318" s="11">
        <f t="shared" si="498"/>
        <v>6.6221672178376517E-2</v>
      </c>
      <c r="AX318" s="11">
        <f t="shared" si="498"/>
        <v>6.1761230953556366E-2</v>
      </c>
      <c r="AY318" s="44">
        <f>AX318</f>
        <v>6.1761230953556366E-2</v>
      </c>
      <c r="AZ318" s="44">
        <f>AY318</f>
        <v>6.1761230953556366E-2</v>
      </c>
      <c r="BA318" s="44">
        <f>AZ318</f>
        <v>6.1761230953556366E-2</v>
      </c>
      <c r="BB318" s="44">
        <f>BA318</f>
        <v>6.1761230953556366E-2</v>
      </c>
      <c r="BC318" s="44">
        <f t="shared" ref="BC318:BJ318" si="499">BB318</f>
        <v>6.1761230953556366E-2</v>
      </c>
      <c r="BD318" s="44">
        <f t="shared" si="499"/>
        <v>6.1761230953556366E-2</v>
      </c>
      <c r="BE318" s="44">
        <f t="shared" si="499"/>
        <v>6.1761230953556366E-2</v>
      </c>
      <c r="BF318" s="44">
        <f t="shared" si="499"/>
        <v>6.1761230953556366E-2</v>
      </c>
      <c r="BG318" s="44">
        <f t="shared" si="499"/>
        <v>6.1761230953556366E-2</v>
      </c>
      <c r="BH318" s="44">
        <f t="shared" si="499"/>
        <v>6.1761230953556366E-2</v>
      </c>
      <c r="BI318" s="44">
        <f t="shared" si="499"/>
        <v>6.1761230953556366E-2</v>
      </c>
      <c r="BJ318" s="44">
        <f t="shared" si="499"/>
        <v>6.1761230953556366E-2</v>
      </c>
      <c r="BK318" s="1"/>
      <c r="BL318" s="12"/>
      <c r="BM318" s="23">
        <f t="shared" si="353"/>
        <v>312</v>
      </c>
    </row>
    <row r="319" spans="1:65" ht="12.75" hidden="1" customHeight="1" outlineLevel="2">
      <c r="A319" s="118"/>
      <c r="B319" s="40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5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2"/>
      <c r="BM319" s="23">
        <f t="shared" si="353"/>
        <v>313</v>
      </c>
    </row>
    <row r="320" spans="1:65" ht="12.75" customHeight="1" outlineLevel="1" collapsed="1">
      <c r="A320" s="118" t="s">
        <v>29</v>
      </c>
      <c r="B320" s="111" t="s">
        <v>340</v>
      </c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5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2"/>
      <c r="BM320" s="23">
        <f t="shared" si="353"/>
        <v>314</v>
      </c>
    </row>
    <row r="321" spans="1:65" ht="12.75" hidden="1" customHeight="1" outlineLevel="2">
      <c r="A321" s="118"/>
      <c r="B321" s="113" t="s">
        <v>335</v>
      </c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5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2"/>
      <c r="BM321" s="23">
        <f t="shared" si="353"/>
        <v>315</v>
      </c>
    </row>
    <row r="322" spans="1:65" ht="12.75" hidden="1" customHeight="1" outlineLevel="2">
      <c r="A322" s="118"/>
      <c r="B322" s="129" t="s">
        <v>297</v>
      </c>
      <c r="C322" s="1"/>
      <c r="D322" s="1"/>
      <c r="E322" s="1"/>
      <c r="F322" s="1"/>
      <c r="G322" s="100">
        <f>G396</f>
        <v>324.69300000000004</v>
      </c>
      <c r="H322" s="100">
        <f t="shared" ref="H322:Q324" si="500">INDEX($S322:$BK322,H$6)</f>
        <v>382.19000000000011</v>
      </c>
      <c r="I322" s="100">
        <f t="shared" si="500"/>
        <v>484.23299999999995</v>
      </c>
      <c r="J322" s="100">
        <f t="shared" si="500"/>
        <v>568.97</v>
      </c>
      <c r="K322" s="100">
        <f t="shared" si="500"/>
        <v>627.83600000000024</v>
      </c>
      <c r="L322" s="100">
        <f t="shared" si="500"/>
        <v>632.83900000000017</v>
      </c>
      <c r="M322" s="100">
        <f t="shared" si="500"/>
        <v>1134.2860000000001</v>
      </c>
      <c r="N322" s="100">
        <f t="shared" si="500"/>
        <v>1576.0419999999999</v>
      </c>
      <c r="O322" s="100">
        <f t="shared" si="500"/>
        <v>2544.0170192928827</v>
      </c>
      <c r="P322" s="100">
        <f t="shared" si="500"/>
        <v>2510.2310566841793</v>
      </c>
      <c r="Q322" s="100">
        <f t="shared" si="500"/>
        <v>2428.9336806948186</v>
      </c>
      <c r="R322" s="51"/>
      <c r="S322" s="1"/>
      <c r="T322" s="1"/>
      <c r="U322" s="1"/>
      <c r="V322" s="100">
        <f>V396</f>
        <v>324.69300000000004</v>
      </c>
      <c r="W322" s="100">
        <f t="shared" ref="W322:AM322" si="501">W396</f>
        <v>324.69300000000004</v>
      </c>
      <c r="X322" s="100">
        <f t="shared" si="501"/>
        <v>324.69300000000004</v>
      </c>
      <c r="Y322" s="100">
        <f t="shared" si="501"/>
        <v>348.51799999999992</v>
      </c>
      <c r="Z322" s="100">
        <f t="shared" si="501"/>
        <v>382.19000000000011</v>
      </c>
      <c r="AA322" s="100">
        <f t="shared" si="501"/>
        <v>430.44999999999987</v>
      </c>
      <c r="AB322" s="100">
        <f t="shared" si="501"/>
        <v>430.42800000000011</v>
      </c>
      <c r="AC322" s="100">
        <f t="shared" si="501"/>
        <v>459.27</v>
      </c>
      <c r="AD322" s="100">
        <f t="shared" si="501"/>
        <v>484.23299999999995</v>
      </c>
      <c r="AE322" s="100">
        <f t="shared" si="501"/>
        <v>530.548</v>
      </c>
      <c r="AF322" s="100">
        <f t="shared" si="501"/>
        <v>538.07399999999996</v>
      </c>
      <c r="AG322" s="100">
        <f t="shared" si="501"/>
        <v>560.88400000000001</v>
      </c>
      <c r="AH322" s="100">
        <f t="shared" si="501"/>
        <v>568.97</v>
      </c>
      <c r="AI322" s="100">
        <f t="shared" si="501"/>
        <v>575.17699999999991</v>
      </c>
      <c r="AJ322" s="100">
        <f t="shared" si="501"/>
        <v>580.01300000000003</v>
      </c>
      <c r="AK322" s="100">
        <f t="shared" si="501"/>
        <v>601.38699999999994</v>
      </c>
      <c r="AL322" s="100">
        <f t="shared" si="501"/>
        <v>627.83600000000024</v>
      </c>
      <c r="AM322" s="100">
        <f t="shared" si="501"/>
        <v>632.74399999999991</v>
      </c>
      <c r="AN322" s="100">
        <f t="shared" ref="AN322:AS322" si="502">AN396</f>
        <v>632.73400000000015</v>
      </c>
      <c r="AO322" s="100">
        <f t="shared" si="502"/>
        <v>652.93399999999997</v>
      </c>
      <c r="AP322" s="100">
        <f t="shared" si="502"/>
        <v>632.83900000000017</v>
      </c>
      <c r="AQ322" s="100">
        <f t="shared" si="502"/>
        <v>636.23100000000011</v>
      </c>
      <c r="AR322" s="100">
        <f t="shared" si="502"/>
        <v>641.06599999999992</v>
      </c>
      <c r="AS322" s="100">
        <f t="shared" si="502"/>
        <v>1117.0810000000001</v>
      </c>
      <c r="AT322" s="100">
        <f t="shared" ref="AT322:BB322" si="503">AT396</f>
        <v>1134.2860000000001</v>
      </c>
      <c r="AU322" s="100">
        <f t="shared" si="503"/>
        <v>1184.489</v>
      </c>
      <c r="AV322" s="100">
        <f>AV396</f>
        <v>1276.31</v>
      </c>
      <c r="AW322" s="100">
        <f>AW396</f>
        <v>1450.1790000000003</v>
      </c>
      <c r="AX322" s="100">
        <f>AX396</f>
        <v>1576.0419999999999</v>
      </c>
      <c r="AY322" s="100">
        <f t="shared" si="503"/>
        <v>1631.110456275494</v>
      </c>
      <c r="AZ322" s="100">
        <f t="shared" si="503"/>
        <v>2484.6077943896748</v>
      </c>
      <c r="BA322" s="100">
        <f t="shared" si="503"/>
        <v>2535.3837288479926</v>
      </c>
      <c r="BB322" s="100">
        <f t="shared" si="503"/>
        <v>2544.0170192928827</v>
      </c>
      <c r="BC322" s="100">
        <f t="shared" ref="BC322:BJ322" si="504">BC396</f>
        <v>2535.1260946964912</v>
      </c>
      <c r="BD322" s="100">
        <f t="shared" si="504"/>
        <v>2527.347232946669</v>
      </c>
      <c r="BE322" s="100">
        <f t="shared" si="504"/>
        <v>2520.0794442607457</v>
      </c>
      <c r="BF322" s="100">
        <f t="shared" si="504"/>
        <v>2510.2310566841793</v>
      </c>
      <c r="BG322" s="100">
        <f t="shared" si="504"/>
        <v>2499.2782321880704</v>
      </c>
      <c r="BH322" s="100">
        <f t="shared" si="504"/>
        <v>2477.9241587000301</v>
      </c>
      <c r="BI322" s="100">
        <f t="shared" si="504"/>
        <v>2454.6571668129163</v>
      </c>
      <c r="BJ322" s="100">
        <f t="shared" si="504"/>
        <v>2428.9336806948186</v>
      </c>
      <c r="BK322" s="1"/>
      <c r="BL322" s="1"/>
      <c r="BM322" s="23">
        <f t="shared" si="353"/>
        <v>316</v>
      </c>
    </row>
    <row r="323" spans="1:65" ht="12.75" hidden="1" customHeight="1" outlineLevel="2">
      <c r="A323" s="118"/>
      <c r="B323" s="129" t="s">
        <v>301</v>
      </c>
      <c r="C323" s="1"/>
      <c r="D323" s="1"/>
      <c r="E323" s="1"/>
      <c r="F323" s="1"/>
      <c r="G323" s="12">
        <f>G252</f>
        <v>64.5</v>
      </c>
      <c r="H323" s="12">
        <f t="shared" si="500"/>
        <v>59.198999999999998</v>
      </c>
      <c r="I323" s="12">
        <f t="shared" si="500"/>
        <v>61.021999999999998</v>
      </c>
      <c r="J323" s="12">
        <f t="shared" si="500"/>
        <v>153.23599999999999</v>
      </c>
      <c r="K323" s="12">
        <f t="shared" si="500"/>
        <v>342.42399999999998</v>
      </c>
      <c r="L323" s="12">
        <f t="shared" si="500"/>
        <v>298.92599999999999</v>
      </c>
      <c r="M323" s="12">
        <f t="shared" si="500"/>
        <v>711.22500000000002</v>
      </c>
      <c r="N323" s="12">
        <f t="shared" si="500"/>
        <v>384.56700000000001</v>
      </c>
      <c r="O323" s="12">
        <f t="shared" si="500"/>
        <v>20</v>
      </c>
      <c r="P323" s="12">
        <f t="shared" si="500"/>
        <v>20</v>
      </c>
      <c r="Q323" s="12">
        <f t="shared" si="500"/>
        <v>20</v>
      </c>
      <c r="R323" s="51"/>
      <c r="S323" s="1"/>
      <c r="T323" s="1"/>
      <c r="U323" s="1"/>
      <c r="V323" s="12">
        <f>V252</f>
        <v>64.5</v>
      </c>
      <c r="W323" s="12">
        <f t="shared" ref="W323:AM323" si="505">W252</f>
        <v>56.367999999999995</v>
      </c>
      <c r="X323" s="12">
        <f t="shared" si="505"/>
        <v>66.018000000000001</v>
      </c>
      <c r="Y323" s="12">
        <f t="shared" si="505"/>
        <v>73.808999999999997</v>
      </c>
      <c r="Z323" s="12">
        <f t="shared" si="505"/>
        <v>59.198999999999998</v>
      </c>
      <c r="AA323" s="12">
        <f t="shared" si="505"/>
        <v>84.641000000000005</v>
      </c>
      <c r="AB323" s="12">
        <f t="shared" si="505"/>
        <v>102.625</v>
      </c>
      <c r="AC323" s="12">
        <f t="shared" si="505"/>
        <v>93.01</v>
      </c>
      <c r="AD323" s="12">
        <f t="shared" si="505"/>
        <v>61.021999999999998</v>
      </c>
      <c r="AE323" s="12">
        <f t="shared" si="505"/>
        <v>42.918999999999997</v>
      </c>
      <c r="AF323" s="12">
        <f t="shared" si="505"/>
        <v>47.067999999999998</v>
      </c>
      <c r="AG323" s="12">
        <f t="shared" si="505"/>
        <v>153.673</v>
      </c>
      <c r="AH323" s="12">
        <f t="shared" si="505"/>
        <v>153.23599999999999</v>
      </c>
      <c r="AI323" s="12">
        <f t="shared" si="505"/>
        <v>160.768</v>
      </c>
      <c r="AJ323" s="12">
        <f t="shared" si="505"/>
        <v>181.07499999999999</v>
      </c>
      <c r="AK323" s="12">
        <f t="shared" si="505"/>
        <v>196.863</v>
      </c>
      <c r="AL323" s="12">
        <f t="shared" si="505"/>
        <v>342.42399999999998</v>
      </c>
      <c r="AM323" s="12">
        <f t="shared" si="505"/>
        <v>327.80799999999999</v>
      </c>
      <c r="AN323" s="12">
        <f t="shared" ref="AN323:AS323" si="506">AN252</f>
        <v>322.22800000000001</v>
      </c>
      <c r="AO323" s="12">
        <f t="shared" si="506"/>
        <v>299.77199999999999</v>
      </c>
      <c r="AP323" s="12">
        <f t="shared" si="506"/>
        <v>298.92599999999999</v>
      </c>
      <c r="AQ323" s="12">
        <f t="shared" si="506"/>
        <v>470.23499999999996</v>
      </c>
      <c r="AR323" s="12">
        <f t="shared" si="506"/>
        <v>454.20800000000003</v>
      </c>
      <c r="AS323" s="12">
        <f t="shared" si="506"/>
        <v>264.06</v>
      </c>
      <c r="AT323" s="12">
        <f>AT252</f>
        <v>711.22500000000002</v>
      </c>
      <c r="AU323" s="12">
        <f>AU252</f>
        <v>660.90300000000002</v>
      </c>
      <c r="AV323" s="12">
        <f>AV252</f>
        <v>598.53499999999997</v>
      </c>
      <c r="AW323" s="12">
        <f>AW252</f>
        <v>463.65</v>
      </c>
      <c r="AX323" s="12">
        <f>AX252</f>
        <v>384.56700000000001</v>
      </c>
      <c r="AY323" s="109">
        <v>20</v>
      </c>
      <c r="AZ323" s="109">
        <v>20</v>
      </c>
      <c r="BA323" s="109">
        <v>20</v>
      </c>
      <c r="BB323" s="109">
        <v>20</v>
      </c>
      <c r="BC323" s="109">
        <v>20</v>
      </c>
      <c r="BD323" s="109">
        <v>20</v>
      </c>
      <c r="BE323" s="109">
        <v>20</v>
      </c>
      <c r="BF323" s="109">
        <v>20</v>
      </c>
      <c r="BG323" s="109">
        <v>20</v>
      </c>
      <c r="BH323" s="109">
        <v>20</v>
      </c>
      <c r="BI323" s="109">
        <v>20</v>
      </c>
      <c r="BJ323" s="109">
        <v>20</v>
      </c>
      <c r="BK323" s="1"/>
      <c r="BL323" s="1"/>
      <c r="BM323" s="23">
        <f t="shared" si="353"/>
        <v>317</v>
      </c>
    </row>
    <row r="324" spans="1:65" ht="12.75" hidden="1" customHeight="1" outlineLevel="2">
      <c r="A324" s="118"/>
      <c r="B324" s="129" t="s">
        <v>302</v>
      </c>
      <c r="C324" s="1"/>
      <c r="D324" s="1"/>
      <c r="E324" s="1"/>
      <c r="F324" s="1"/>
      <c r="G324" s="12">
        <f>SUM(G322:G323)</f>
        <v>389.19300000000004</v>
      </c>
      <c r="H324" s="12">
        <f t="shared" si="500"/>
        <v>441.38900000000012</v>
      </c>
      <c r="I324" s="12">
        <f t="shared" si="500"/>
        <v>545.255</v>
      </c>
      <c r="J324" s="12">
        <f t="shared" si="500"/>
        <v>722.20600000000002</v>
      </c>
      <c r="K324" s="12">
        <f t="shared" si="500"/>
        <v>970.26000000000022</v>
      </c>
      <c r="L324" s="12">
        <f t="shared" si="500"/>
        <v>931.7650000000001</v>
      </c>
      <c r="M324" s="12">
        <f t="shared" si="500"/>
        <v>1845.511</v>
      </c>
      <c r="N324" s="12">
        <f t="shared" si="500"/>
        <v>1960.6089999999999</v>
      </c>
      <c r="O324" s="12">
        <f t="shared" si="500"/>
        <v>2564.0170192928827</v>
      </c>
      <c r="P324" s="12">
        <f t="shared" si="500"/>
        <v>2530.2310566841793</v>
      </c>
      <c r="Q324" s="12">
        <f t="shared" si="500"/>
        <v>2448.9336806948186</v>
      </c>
      <c r="R324" s="51"/>
      <c r="S324" s="1"/>
      <c r="T324" s="1"/>
      <c r="U324" s="1"/>
      <c r="V324" s="12">
        <f>SUM(V322:V323)</f>
        <v>389.19300000000004</v>
      </c>
      <c r="W324" s="12">
        <f t="shared" ref="W324:AM324" si="507">SUM(W322:W323)</f>
        <v>381.06100000000004</v>
      </c>
      <c r="X324" s="12">
        <f t="shared" si="507"/>
        <v>390.71100000000001</v>
      </c>
      <c r="Y324" s="12">
        <f t="shared" si="507"/>
        <v>422.32699999999988</v>
      </c>
      <c r="Z324" s="12">
        <f t="shared" si="507"/>
        <v>441.38900000000012</v>
      </c>
      <c r="AA324" s="12">
        <f t="shared" si="507"/>
        <v>515.09099999999989</v>
      </c>
      <c r="AB324" s="12">
        <f t="shared" si="507"/>
        <v>533.05300000000011</v>
      </c>
      <c r="AC324" s="12">
        <f t="shared" si="507"/>
        <v>552.28</v>
      </c>
      <c r="AD324" s="12">
        <f t="shared" si="507"/>
        <v>545.255</v>
      </c>
      <c r="AE324" s="12">
        <f t="shared" si="507"/>
        <v>573.46699999999998</v>
      </c>
      <c r="AF324" s="12">
        <f t="shared" si="507"/>
        <v>585.14199999999994</v>
      </c>
      <c r="AG324" s="12">
        <f t="shared" si="507"/>
        <v>714.55700000000002</v>
      </c>
      <c r="AH324" s="12">
        <f t="shared" si="507"/>
        <v>722.20600000000002</v>
      </c>
      <c r="AI324" s="12">
        <f t="shared" si="507"/>
        <v>735.94499999999994</v>
      </c>
      <c r="AJ324" s="12">
        <f t="shared" si="507"/>
        <v>761.08799999999997</v>
      </c>
      <c r="AK324" s="12">
        <f t="shared" si="507"/>
        <v>798.25</v>
      </c>
      <c r="AL324" s="12">
        <f t="shared" si="507"/>
        <v>970.26000000000022</v>
      </c>
      <c r="AM324" s="12">
        <f t="shared" si="507"/>
        <v>960.55199999999991</v>
      </c>
      <c r="AN324" s="12">
        <f t="shared" ref="AN324:AS324" si="508">SUM(AN322:AN323)</f>
        <v>954.96200000000022</v>
      </c>
      <c r="AO324" s="12">
        <f t="shared" si="508"/>
        <v>952.7059999999999</v>
      </c>
      <c r="AP324" s="12">
        <f t="shared" si="508"/>
        <v>931.7650000000001</v>
      </c>
      <c r="AQ324" s="12">
        <f t="shared" si="508"/>
        <v>1106.4660000000001</v>
      </c>
      <c r="AR324" s="12">
        <f t="shared" si="508"/>
        <v>1095.2739999999999</v>
      </c>
      <c r="AS324" s="12">
        <f t="shared" si="508"/>
        <v>1381.1410000000001</v>
      </c>
      <c r="AT324" s="12">
        <f t="shared" ref="AT324:BB324" si="509">SUM(AT322:AT323)</f>
        <v>1845.511</v>
      </c>
      <c r="AU324" s="12">
        <f t="shared" si="509"/>
        <v>1845.3920000000001</v>
      </c>
      <c r="AV324" s="12">
        <f t="shared" si="509"/>
        <v>1874.8449999999998</v>
      </c>
      <c r="AW324" s="12">
        <f t="shared" si="509"/>
        <v>1913.8290000000002</v>
      </c>
      <c r="AX324" s="12">
        <f>SUM(AX322:AX323)</f>
        <v>1960.6089999999999</v>
      </c>
      <c r="AY324" s="12">
        <f t="shared" si="509"/>
        <v>1651.110456275494</v>
      </c>
      <c r="AZ324" s="12">
        <f t="shared" si="509"/>
        <v>2504.6077943896748</v>
      </c>
      <c r="BA324" s="12">
        <f t="shared" si="509"/>
        <v>2555.3837288479926</v>
      </c>
      <c r="BB324" s="12">
        <f t="shared" si="509"/>
        <v>2564.0170192928827</v>
      </c>
      <c r="BC324" s="12">
        <f t="shared" ref="BC324:BJ324" si="510">SUM(BC322:BC323)</f>
        <v>2555.1260946964912</v>
      </c>
      <c r="BD324" s="12">
        <f t="shared" si="510"/>
        <v>2547.347232946669</v>
      </c>
      <c r="BE324" s="12">
        <f t="shared" si="510"/>
        <v>2540.0794442607457</v>
      </c>
      <c r="BF324" s="12">
        <f t="shared" si="510"/>
        <v>2530.2310566841793</v>
      </c>
      <c r="BG324" s="12">
        <f t="shared" si="510"/>
        <v>2519.2782321880704</v>
      </c>
      <c r="BH324" s="12">
        <f t="shared" si="510"/>
        <v>2497.9241587000301</v>
      </c>
      <c r="BI324" s="12">
        <f t="shared" si="510"/>
        <v>2474.6571668129163</v>
      </c>
      <c r="BJ324" s="12">
        <f t="shared" si="510"/>
        <v>2448.9336806948186</v>
      </c>
      <c r="BK324" s="1"/>
      <c r="BL324" s="1"/>
      <c r="BM324" s="23">
        <f t="shared" si="353"/>
        <v>318</v>
      </c>
    </row>
    <row r="325" spans="1:65" ht="12.75" hidden="1" customHeight="1" outlineLevel="2">
      <c r="A325" s="118"/>
      <c r="B325" s="53"/>
      <c r="C325" s="1"/>
      <c r="D325" s="1"/>
      <c r="E325" s="1"/>
      <c r="F325" s="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51"/>
      <c r="S325" s="1"/>
      <c r="T325" s="1"/>
      <c r="U325" s="1"/>
      <c r="V325" s="12"/>
      <c r="W325" s="12"/>
      <c r="X325" s="12"/>
      <c r="Y325" s="12"/>
      <c r="Z325" s="12"/>
      <c r="AA325" s="12"/>
      <c r="AB325" s="12"/>
      <c r="AC325" s="12"/>
      <c r="AD325" s="12"/>
      <c r="AE325" s="12"/>
      <c r="AF325" s="12"/>
      <c r="AG325" s="12"/>
      <c r="AH325" s="12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12"/>
      <c r="BK325" s="1"/>
      <c r="BL325" s="1"/>
      <c r="BM325" s="23">
        <f t="shared" si="353"/>
        <v>319</v>
      </c>
    </row>
    <row r="326" spans="1:65" ht="12.75" hidden="1" customHeight="1" outlineLevel="2">
      <c r="A326" s="118"/>
      <c r="B326" s="53" t="s">
        <v>336</v>
      </c>
      <c r="C326" s="1"/>
      <c r="D326" s="1"/>
      <c r="E326" s="1"/>
      <c r="F326" s="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51"/>
      <c r="S326" s="1"/>
      <c r="T326" s="1"/>
      <c r="U326" s="1"/>
      <c r="V326" s="12"/>
      <c r="W326" s="12"/>
      <c r="X326" s="12"/>
      <c r="Y326" s="12"/>
      <c r="Z326" s="12"/>
      <c r="AA326" s="12"/>
      <c r="AB326" s="12"/>
      <c r="AC326" s="12"/>
      <c r="AD326" s="12"/>
      <c r="AE326" s="12"/>
      <c r="AF326" s="12"/>
      <c r="AG326" s="12"/>
      <c r="AH326" s="12"/>
      <c r="AI326" s="12"/>
      <c r="AJ326" s="12"/>
      <c r="AK326" s="12"/>
      <c r="AL326" s="12"/>
      <c r="AM326" s="12"/>
      <c r="AN326" s="12"/>
      <c r="AO326" s="12"/>
      <c r="AP326" s="12"/>
      <c r="AQ326" s="12"/>
      <c r="AR326" s="12"/>
      <c r="AS326" s="12"/>
      <c r="AT326" s="12"/>
      <c r="AU326" s="12"/>
      <c r="AV326" s="12"/>
      <c r="AW326" s="12"/>
      <c r="AX326" s="12"/>
      <c r="AY326" s="12"/>
      <c r="AZ326" s="12"/>
      <c r="BA326" s="12"/>
      <c r="BB326" s="12"/>
      <c r="BC326" s="12"/>
      <c r="BD326" s="12"/>
      <c r="BE326" s="12"/>
      <c r="BF326" s="12"/>
      <c r="BG326" s="12"/>
      <c r="BH326" s="12"/>
      <c r="BI326" s="12"/>
      <c r="BJ326" s="12"/>
      <c r="BK326" s="1"/>
      <c r="BL326" s="1"/>
      <c r="BM326" s="23">
        <f t="shared" si="353"/>
        <v>320</v>
      </c>
    </row>
    <row r="327" spans="1:65" ht="12.75" hidden="1" customHeight="1" outlineLevel="2">
      <c r="A327" s="118"/>
      <c r="B327" s="129" t="s">
        <v>337</v>
      </c>
      <c r="C327" s="1"/>
      <c r="D327" s="1"/>
      <c r="E327" s="1"/>
      <c r="F327" s="1"/>
      <c r="G327" s="12">
        <f>G284</f>
        <v>97.564000000000007</v>
      </c>
      <c r="H327" s="12">
        <f t="shared" ref="H327:Q332" si="511">INDEX($S327:$BK327,H$6)</f>
        <v>121.93400000000001</v>
      </c>
      <c r="I327" s="12">
        <f t="shared" si="511"/>
        <v>231.69399999999999</v>
      </c>
      <c r="J327" s="12">
        <f t="shared" si="511"/>
        <v>309.29400000000004</v>
      </c>
      <c r="K327" s="12">
        <f t="shared" si="511"/>
        <v>403.81600000000003</v>
      </c>
      <c r="L327" s="12">
        <f t="shared" si="511"/>
        <v>384.16699999999997</v>
      </c>
      <c r="M327" s="12">
        <f t="shared" si="511"/>
        <v>1273.29</v>
      </c>
      <c r="N327" s="12">
        <f t="shared" si="511"/>
        <v>1396.5060000000001</v>
      </c>
      <c r="O327" s="12">
        <f t="shared" si="511"/>
        <v>1636.3085980312383</v>
      </c>
      <c r="P327" s="12">
        <f t="shared" si="511"/>
        <v>1926.5528204754189</v>
      </c>
      <c r="Q327" s="12">
        <f t="shared" si="511"/>
        <v>2203.0528914270212</v>
      </c>
      <c r="R327" s="51"/>
      <c r="S327" s="1"/>
      <c r="T327" s="1"/>
      <c r="U327" s="1"/>
      <c r="V327" s="12">
        <f>V284</f>
        <v>97.564000000000007</v>
      </c>
      <c r="W327" s="12">
        <f t="shared" ref="W327:AM327" si="512">W284</f>
        <v>97.564000000000007</v>
      </c>
      <c r="X327" s="12">
        <f t="shared" si="512"/>
        <v>97.564000000000007</v>
      </c>
      <c r="Y327" s="12">
        <f t="shared" si="512"/>
        <v>118.45199999999998</v>
      </c>
      <c r="Z327" s="12">
        <f t="shared" si="512"/>
        <v>121.93400000000001</v>
      </c>
      <c r="AA327" s="12">
        <f t="shared" si="512"/>
        <v>199.41200000000001</v>
      </c>
      <c r="AB327" s="12">
        <f t="shared" si="512"/>
        <v>219.262</v>
      </c>
      <c r="AC327" s="12">
        <f t="shared" si="512"/>
        <v>238.18799999999999</v>
      </c>
      <c r="AD327" s="12">
        <f t="shared" si="512"/>
        <v>231.69399999999999</v>
      </c>
      <c r="AE327" s="12">
        <f t="shared" si="512"/>
        <v>250.95500000000001</v>
      </c>
      <c r="AF327" s="12">
        <f t="shared" si="512"/>
        <v>267.036</v>
      </c>
      <c r="AG327" s="12">
        <f t="shared" si="512"/>
        <v>287.64599999999996</v>
      </c>
      <c r="AH327" s="12">
        <f t="shared" si="512"/>
        <v>309.29400000000004</v>
      </c>
      <c r="AI327" s="12">
        <f t="shared" si="512"/>
        <v>326.64799999999997</v>
      </c>
      <c r="AJ327" s="12">
        <f t="shared" si="512"/>
        <v>353.48399999999998</v>
      </c>
      <c r="AK327" s="12">
        <f t="shared" si="512"/>
        <v>391.14300000000003</v>
      </c>
      <c r="AL327" s="12">
        <f t="shared" si="512"/>
        <v>403.81600000000003</v>
      </c>
      <c r="AM327" s="12">
        <f t="shared" si="512"/>
        <v>398.04799999999994</v>
      </c>
      <c r="AN327" s="12">
        <f>AN284</f>
        <v>403.99899999999997</v>
      </c>
      <c r="AO327" s="12">
        <f t="shared" ref="AO327:AT327" si="513">AO284</f>
        <v>397.66699999999997</v>
      </c>
      <c r="AP327" s="12">
        <f t="shared" si="513"/>
        <v>384.16699999999997</v>
      </c>
      <c r="AQ327" s="12">
        <f t="shared" si="513"/>
        <v>554.99300000000005</v>
      </c>
      <c r="AR327" s="12">
        <f t="shared" si="513"/>
        <v>541.346</v>
      </c>
      <c r="AS327" s="12">
        <f t="shared" si="513"/>
        <v>810.79499999999996</v>
      </c>
      <c r="AT327" s="12">
        <f t="shared" si="513"/>
        <v>1273.29</v>
      </c>
      <c r="AU327" s="12">
        <f t="shared" ref="AU327:BB327" si="514">AU284</f>
        <v>1273.8959999999997</v>
      </c>
      <c r="AV327" s="12">
        <f>AV284</f>
        <v>1302.2079999999999</v>
      </c>
      <c r="AW327" s="12">
        <f>AW284</f>
        <v>1348.7950000000001</v>
      </c>
      <c r="AX327" s="12">
        <f>AX284</f>
        <v>1396.5060000000001</v>
      </c>
      <c r="AY327" s="12">
        <f t="shared" si="514"/>
        <v>1425.8018929145001</v>
      </c>
      <c r="AZ327" s="12">
        <f t="shared" si="514"/>
        <v>1481.5907912829891</v>
      </c>
      <c r="BA327" s="12">
        <f t="shared" si="514"/>
        <v>1555.6406408662976</v>
      </c>
      <c r="BB327" s="12">
        <f t="shared" si="514"/>
        <v>1636.3085980312383</v>
      </c>
      <c r="BC327" s="12">
        <f t="shared" ref="BC327:BJ327" si="515">BC284</f>
        <v>1712.6894642335772</v>
      </c>
      <c r="BD327" s="12">
        <f t="shared" si="515"/>
        <v>1787.165410490102</v>
      </c>
      <c r="BE327" s="12">
        <f t="shared" si="515"/>
        <v>1859.3997618829821</v>
      </c>
      <c r="BF327" s="12">
        <f t="shared" si="515"/>
        <v>1926.5528204754189</v>
      </c>
      <c r="BG327" s="12">
        <f t="shared" si="515"/>
        <v>1993.6813369493061</v>
      </c>
      <c r="BH327" s="12">
        <f t="shared" si="515"/>
        <v>2064.1332542422183</v>
      </c>
      <c r="BI327" s="12">
        <f t="shared" si="515"/>
        <v>2134.9246143829937</v>
      </c>
      <c r="BJ327" s="12">
        <f t="shared" si="515"/>
        <v>2203.0528914270212</v>
      </c>
      <c r="BK327" s="1"/>
      <c r="BL327" s="1"/>
      <c r="BM327" s="23">
        <f t="shared" si="353"/>
        <v>321</v>
      </c>
    </row>
    <row r="328" spans="1:65" ht="12.75" hidden="1" customHeight="1" outlineLevel="2">
      <c r="A328" s="118"/>
      <c r="B328" s="129" t="s">
        <v>90</v>
      </c>
      <c r="C328" s="1"/>
      <c r="D328" s="1"/>
      <c r="E328" s="1"/>
      <c r="F328" s="1"/>
      <c r="G328" s="12">
        <f>(G270+G267)</f>
        <v>5.2370000000000001</v>
      </c>
      <c r="H328" s="12">
        <f t="shared" si="511"/>
        <v>5.5880000000000001</v>
      </c>
      <c r="I328" s="12">
        <f t="shared" si="511"/>
        <v>5.39</v>
      </c>
      <c r="J328" s="12">
        <f t="shared" si="511"/>
        <v>4.6589999999999998</v>
      </c>
      <c r="K328" s="12">
        <f t="shared" si="511"/>
        <v>4.2149999999999999</v>
      </c>
      <c r="L328" s="12">
        <f t="shared" si="511"/>
        <v>0</v>
      </c>
      <c r="M328" s="12">
        <f t="shared" si="511"/>
        <v>0</v>
      </c>
      <c r="N328" s="12">
        <f t="shared" si="511"/>
        <v>0</v>
      </c>
      <c r="O328" s="12">
        <f t="shared" si="511"/>
        <v>0</v>
      </c>
      <c r="P328" s="12">
        <f t="shared" si="511"/>
        <v>0</v>
      </c>
      <c r="Q328" s="12">
        <f t="shared" si="511"/>
        <v>0</v>
      </c>
      <c r="R328" s="51"/>
      <c r="S328" s="1"/>
      <c r="T328" s="1"/>
      <c r="U328" s="1"/>
      <c r="V328" s="12">
        <f>V267</f>
        <v>3.7269999999999999</v>
      </c>
      <c r="W328" s="12">
        <f t="shared" ref="W328:BJ328" si="516">W267</f>
        <v>3.7269999999999999</v>
      </c>
      <c r="X328" s="12">
        <f t="shared" si="516"/>
        <v>3.7269999999999999</v>
      </c>
      <c r="Y328" s="12">
        <f t="shared" si="516"/>
        <v>5.5629999999999997</v>
      </c>
      <c r="Z328" s="12">
        <f t="shared" si="516"/>
        <v>5.5880000000000001</v>
      </c>
      <c r="AA328" s="12">
        <f t="shared" si="516"/>
        <v>4.17</v>
      </c>
      <c r="AB328" s="12">
        <f t="shared" si="516"/>
        <v>4.0279999999999996</v>
      </c>
      <c r="AC328" s="12">
        <f t="shared" si="516"/>
        <v>6.4980000000000002</v>
      </c>
      <c r="AD328" s="12">
        <f t="shared" si="516"/>
        <v>5.39</v>
      </c>
      <c r="AE328" s="12">
        <f t="shared" si="516"/>
        <v>4.3760000000000003</v>
      </c>
      <c r="AF328" s="12">
        <f t="shared" si="516"/>
        <v>5.0129999999999999</v>
      </c>
      <c r="AG328" s="12">
        <f t="shared" si="516"/>
        <v>3.6509999999999998</v>
      </c>
      <c r="AH328" s="12">
        <f t="shared" si="516"/>
        <v>4.6589999999999998</v>
      </c>
      <c r="AI328" s="12">
        <f t="shared" si="516"/>
        <v>2.5289999999999999</v>
      </c>
      <c r="AJ328" s="12">
        <f t="shared" si="516"/>
        <v>3.4660000000000002</v>
      </c>
      <c r="AK328" s="12">
        <f t="shared" si="516"/>
        <v>5.5449999999999999</v>
      </c>
      <c r="AL328" s="12">
        <f t="shared" si="516"/>
        <v>4.2149999999999999</v>
      </c>
      <c r="AM328" s="12">
        <f t="shared" si="516"/>
        <v>6.7560000000000002</v>
      </c>
      <c r="AN328" s="12">
        <f t="shared" si="516"/>
        <v>3.8330000000000002</v>
      </c>
      <c r="AO328" s="12">
        <f t="shared" si="516"/>
        <v>2.4049999999999998</v>
      </c>
      <c r="AP328" s="12">
        <f t="shared" si="516"/>
        <v>0</v>
      </c>
      <c r="AQ328" s="12">
        <f t="shared" si="516"/>
        <v>0</v>
      </c>
      <c r="AR328" s="12">
        <f t="shared" si="516"/>
        <v>0</v>
      </c>
      <c r="AS328" s="12">
        <f t="shared" si="516"/>
        <v>0</v>
      </c>
      <c r="AT328" s="12">
        <f>AT267</f>
        <v>0</v>
      </c>
      <c r="AU328" s="12">
        <f>AU267</f>
        <v>0</v>
      </c>
      <c r="AV328" s="12">
        <f>AV267</f>
        <v>0</v>
      </c>
      <c r="AW328" s="12">
        <f>AW267</f>
        <v>0</v>
      </c>
      <c r="AX328" s="12">
        <f>AX267</f>
        <v>0</v>
      </c>
      <c r="AY328" s="12">
        <f t="shared" si="516"/>
        <v>0</v>
      </c>
      <c r="AZ328" s="12">
        <f t="shared" si="516"/>
        <v>0</v>
      </c>
      <c r="BA328" s="12">
        <f t="shared" si="516"/>
        <v>0</v>
      </c>
      <c r="BB328" s="12">
        <f t="shared" si="516"/>
        <v>0</v>
      </c>
      <c r="BC328" s="12">
        <f t="shared" si="516"/>
        <v>0</v>
      </c>
      <c r="BD328" s="12">
        <f t="shared" si="516"/>
        <v>0</v>
      </c>
      <c r="BE328" s="12">
        <f t="shared" si="516"/>
        <v>0</v>
      </c>
      <c r="BF328" s="12">
        <f t="shared" si="516"/>
        <v>0</v>
      </c>
      <c r="BG328" s="12">
        <f t="shared" si="516"/>
        <v>0</v>
      </c>
      <c r="BH328" s="12">
        <f t="shared" si="516"/>
        <v>0</v>
      </c>
      <c r="BI328" s="12">
        <f t="shared" si="516"/>
        <v>0</v>
      </c>
      <c r="BJ328" s="12">
        <f t="shared" si="516"/>
        <v>0</v>
      </c>
      <c r="BK328" s="1"/>
      <c r="BL328" s="1"/>
      <c r="BM328" s="23">
        <f t="shared" si="353"/>
        <v>322</v>
      </c>
    </row>
    <row r="329" spans="1:65" ht="12.75" hidden="1" customHeight="1" outlineLevel="2">
      <c r="A329" s="118"/>
      <c r="B329" s="129" t="s">
        <v>338</v>
      </c>
      <c r="C329" s="1"/>
      <c r="D329" s="1"/>
      <c r="E329" s="1"/>
      <c r="F329" s="1"/>
      <c r="G329" s="12">
        <f>G276</f>
        <v>49.46</v>
      </c>
      <c r="H329" s="12">
        <f t="shared" si="511"/>
        <v>52.078000000000003</v>
      </c>
      <c r="I329" s="12">
        <f t="shared" si="511"/>
        <v>52.747</v>
      </c>
      <c r="J329" s="12">
        <f t="shared" si="511"/>
        <v>36.802</v>
      </c>
      <c r="K329" s="12">
        <f t="shared" si="511"/>
        <v>59.932000000000002</v>
      </c>
      <c r="L329" s="12">
        <f t="shared" si="511"/>
        <v>55.893000000000001</v>
      </c>
      <c r="M329" s="12">
        <f t="shared" si="511"/>
        <v>56.746000000000002</v>
      </c>
      <c r="N329" s="12">
        <f t="shared" si="511"/>
        <v>52.866999999999997</v>
      </c>
      <c r="O329" s="12">
        <f t="shared" si="511"/>
        <v>52.866999999999997</v>
      </c>
      <c r="P329" s="12">
        <f t="shared" si="511"/>
        <v>52.866999999999997</v>
      </c>
      <c r="Q329" s="12">
        <f t="shared" si="511"/>
        <v>52.866999999999997</v>
      </c>
      <c r="R329" s="51"/>
      <c r="S329" s="1"/>
      <c r="T329" s="1"/>
      <c r="U329" s="1"/>
      <c r="V329" s="12">
        <f>V276</f>
        <v>49.46</v>
      </c>
      <c r="W329" s="12">
        <f t="shared" ref="W329:AM329" si="517">W276</f>
        <v>41.327999999999996</v>
      </c>
      <c r="X329" s="12">
        <f t="shared" si="517"/>
        <v>50.97800000000003</v>
      </c>
      <c r="Y329" s="12">
        <f t="shared" si="517"/>
        <v>39.847999999999999</v>
      </c>
      <c r="Z329" s="12">
        <f t="shared" si="517"/>
        <v>52.078000000000003</v>
      </c>
      <c r="AA329" s="12">
        <f t="shared" si="517"/>
        <v>50.328000000000003</v>
      </c>
      <c r="AB329" s="12">
        <f t="shared" si="517"/>
        <v>49.19</v>
      </c>
      <c r="AC329" s="12">
        <f t="shared" si="517"/>
        <v>47.63</v>
      </c>
      <c r="AD329" s="12">
        <f t="shared" si="517"/>
        <v>52.747</v>
      </c>
      <c r="AE329" s="12">
        <f t="shared" si="517"/>
        <v>52.768000000000001</v>
      </c>
      <c r="AF329" s="12">
        <f t="shared" si="517"/>
        <v>52.018999999999998</v>
      </c>
      <c r="AG329" s="12">
        <f t="shared" si="517"/>
        <v>50.671999999999997</v>
      </c>
      <c r="AH329" s="12">
        <f t="shared" si="517"/>
        <v>36.802</v>
      </c>
      <c r="AI329" s="12">
        <f t="shared" si="517"/>
        <v>36.189</v>
      </c>
      <c r="AJ329" s="12">
        <f t="shared" si="517"/>
        <v>34.430999999999997</v>
      </c>
      <c r="AK329" s="12">
        <f t="shared" si="517"/>
        <v>32.726999999999997</v>
      </c>
      <c r="AL329" s="12">
        <f t="shared" si="517"/>
        <v>59.932000000000002</v>
      </c>
      <c r="AM329" s="12">
        <f t="shared" si="517"/>
        <v>61.554000000000002</v>
      </c>
      <c r="AN329" s="12">
        <f>AN276</f>
        <v>53.765000000000001</v>
      </c>
      <c r="AO329" s="12">
        <f t="shared" ref="AO329:AT329" si="518">AO276</f>
        <v>60.098999999999997</v>
      </c>
      <c r="AP329" s="12">
        <f t="shared" si="518"/>
        <v>55.893000000000001</v>
      </c>
      <c r="AQ329" s="12">
        <f t="shared" si="518"/>
        <v>60.6</v>
      </c>
      <c r="AR329" s="12">
        <f t="shared" si="518"/>
        <v>63.887</v>
      </c>
      <c r="AS329" s="12">
        <f t="shared" si="518"/>
        <v>63.715000000000003</v>
      </c>
      <c r="AT329" s="12">
        <f t="shared" si="518"/>
        <v>56.746000000000002</v>
      </c>
      <c r="AU329" s="12">
        <f t="shared" ref="AU329:BB329" si="519">AU276</f>
        <v>56.363</v>
      </c>
      <c r="AV329" s="12">
        <f>AV276</f>
        <v>59.411000000000001</v>
      </c>
      <c r="AW329" s="12">
        <f>AW276</f>
        <v>52.472000000000001</v>
      </c>
      <c r="AX329" s="12">
        <f>AX276</f>
        <v>52.866999999999997</v>
      </c>
      <c r="AY329" s="12">
        <f t="shared" si="519"/>
        <v>52.866999999999997</v>
      </c>
      <c r="AZ329" s="12">
        <f t="shared" si="519"/>
        <v>52.866999999999997</v>
      </c>
      <c r="BA329" s="12">
        <f t="shared" si="519"/>
        <v>52.866999999999997</v>
      </c>
      <c r="BB329" s="12">
        <f t="shared" si="519"/>
        <v>52.866999999999997</v>
      </c>
      <c r="BC329" s="12">
        <f t="shared" ref="BC329:BJ329" si="520">BC276</f>
        <v>52.866999999999997</v>
      </c>
      <c r="BD329" s="12">
        <f t="shared" si="520"/>
        <v>52.866999999999997</v>
      </c>
      <c r="BE329" s="12">
        <f t="shared" si="520"/>
        <v>52.866999999999997</v>
      </c>
      <c r="BF329" s="12">
        <f t="shared" si="520"/>
        <v>52.866999999999997</v>
      </c>
      <c r="BG329" s="12">
        <f t="shared" si="520"/>
        <v>52.866999999999997</v>
      </c>
      <c r="BH329" s="12">
        <f t="shared" si="520"/>
        <v>52.866999999999997</v>
      </c>
      <c r="BI329" s="12">
        <f t="shared" si="520"/>
        <v>52.866999999999997</v>
      </c>
      <c r="BJ329" s="12">
        <f t="shared" si="520"/>
        <v>52.866999999999997</v>
      </c>
      <c r="BK329" s="1"/>
      <c r="BL329" s="1"/>
      <c r="BM329" s="23">
        <f t="shared" si="353"/>
        <v>323</v>
      </c>
    </row>
    <row r="330" spans="1:65" ht="12.75" hidden="1" customHeight="1" outlineLevel="2">
      <c r="A330" s="118"/>
      <c r="B330" s="129" t="s">
        <v>303</v>
      </c>
      <c r="C330" s="1"/>
      <c r="D330" s="1"/>
      <c r="E330" s="1"/>
      <c r="F330" s="1"/>
      <c r="G330" s="12">
        <f>+G324-SUM(G327:G329)</f>
        <v>236.93200000000004</v>
      </c>
      <c r="H330" s="12">
        <f t="shared" si="511"/>
        <v>261.7890000000001</v>
      </c>
      <c r="I330" s="12">
        <f t="shared" si="511"/>
        <v>255.42400000000004</v>
      </c>
      <c r="J330" s="12">
        <f t="shared" si="511"/>
        <v>371.45099999999996</v>
      </c>
      <c r="K330" s="12">
        <f t="shared" si="511"/>
        <v>502.2970000000002</v>
      </c>
      <c r="L330" s="12">
        <f t="shared" si="511"/>
        <v>491.70500000000015</v>
      </c>
      <c r="M330" s="12">
        <f t="shared" si="511"/>
        <v>515.47499999999991</v>
      </c>
      <c r="N330" s="12">
        <f t="shared" si="511"/>
        <v>511.23599999999988</v>
      </c>
      <c r="O330" s="12">
        <f t="shared" si="511"/>
        <v>874.84142126164443</v>
      </c>
      <c r="P330" s="12">
        <f t="shared" si="511"/>
        <v>550.81123620876042</v>
      </c>
      <c r="Q330" s="12">
        <f t="shared" si="511"/>
        <v>193.01378926779716</v>
      </c>
      <c r="R330" s="51"/>
      <c r="S330" s="1"/>
      <c r="T330" s="1"/>
      <c r="U330" s="1"/>
      <c r="V330" s="12">
        <f t="shared" ref="V330:AM330" si="521">+V324-SUM(V327:V329)</f>
        <v>238.44200000000004</v>
      </c>
      <c r="W330" s="12">
        <f t="shared" si="521"/>
        <v>238.44200000000004</v>
      </c>
      <c r="X330" s="12">
        <f t="shared" si="521"/>
        <v>238.44199999999998</v>
      </c>
      <c r="Y330" s="12">
        <f t="shared" si="521"/>
        <v>258.46399999999988</v>
      </c>
      <c r="Z330" s="12">
        <f t="shared" si="521"/>
        <v>261.7890000000001</v>
      </c>
      <c r="AA330" s="12">
        <f t="shared" si="521"/>
        <v>261.18099999999993</v>
      </c>
      <c r="AB330" s="12">
        <f t="shared" si="521"/>
        <v>260.57300000000009</v>
      </c>
      <c r="AC330" s="12">
        <f t="shared" si="521"/>
        <v>259.964</v>
      </c>
      <c r="AD330" s="12">
        <f t="shared" si="521"/>
        <v>255.42400000000004</v>
      </c>
      <c r="AE330" s="12">
        <f t="shared" si="521"/>
        <v>265.36799999999994</v>
      </c>
      <c r="AF330" s="12">
        <f t="shared" si="521"/>
        <v>261.07399999999996</v>
      </c>
      <c r="AG330" s="12">
        <f t="shared" si="521"/>
        <v>372.58800000000008</v>
      </c>
      <c r="AH330" s="12">
        <f t="shared" si="521"/>
        <v>371.45099999999996</v>
      </c>
      <c r="AI330" s="12">
        <f t="shared" si="521"/>
        <v>370.57899999999995</v>
      </c>
      <c r="AJ330" s="12">
        <f t="shared" si="521"/>
        <v>369.70699999999999</v>
      </c>
      <c r="AK330" s="12">
        <f t="shared" si="521"/>
        <v>368.83499999999998</v>
      </c>
      <c r="AL330" s="12">
        <f t="shared" si="521"/>
        <v>502.2970000000002</v>
      </c>
      <c r="AM330" s="12">
        <f t="shared" si="521"/>
        <v>494.19399999999996</v>
      </c>
      <c r="AN330" s="12">
        <f>+AN324-SUM(AN327:AN329)</f>
        <v>493.36500000000024</v>
      </c>
      <c r="AO330" s="12">
        <f t="shared" ref="AO330:AT330" si="522">+AO324-SUM(AO327:AO329)</f>
        <v>492.53499999999997</v>
      </c>
      <c r="AP330" s="12">
        <f t="shared" si="522"/>
        <v>491.70500000000015</v>
      </c>
      <c r="AQ330" s="12">
        <f t="shared" si="522"/>
        <v>490.87300000000005</v>
      </c>
      <c r="AR330" s="12">
        <f t="shared" si="522"/>
        <v>490.04099999999994</v>
      </c>
      <c r="AS330" s="12">
        <f t="shared" si="522"/>
        <v>506.63100000000009</v>
      </c>
      <c r="AT330" s="12">
        <f t="shared" si="522"/>
        <v>515.47499999999991</v>
      </c>
      <c r="AU330" s="12">
        <f t="shared" ref="AU330:BB330" si="523">+AU324-SUM(AU327:AU329)</f>
        <v>515.13300000000027</v>
      </c>
      <c r="AV330" s="12">
        <f>+AV324-SUM(AV327:AV329)</f>
        <v>513.22599999999989</v>
      </c>
      <c r="AW330" s="12">
        <f>+AW324-SUM(AW327:AW329)</f>
        <v>512.56200000000013</v>
      </c>
      <c r="AX330" s="12">
        <f>+AX324-SUM(AX327:AX329)</f>
        <v>511.23599999999988</v>
      </c>
      <c r="AY330" s="12">
        <f t="shared" si="523"/>
        <v>172.441563360994</v>
      </c>
      <c r="AZ330" s="12">
        <f t="shared" si="523"/>
        <v>970.15000310668574</v>
      </c>
      <c r="BA330" s="12">
        <f t="shared" si="523"/>
        <v>946.87608798169504</v>
      </c>
      <c r="BB330" s="12">
        <f t="shared" si="523"/>
        <v>874.84142126164443</v>
      </c>
      <c r="BC330" s="12">
        <f t="shared" ref="BC330:BJ330" si="524">+BC324-SUM(BC327:BC329)</f>
        <v>789.56963046291412</v>
      </c>
      <c r="BD330" s="12">
        <f t="shared" si="524"/>
        <v>707.31482245656707</v>
      </c>
      <c r="BE330" s="12">
        <f t="shared" si="524"/>
        <v>627.81268237776362</v>
      </c>
      <c r="BF330" s="12">
        <f t="shared" si="524"/>
        <v>550.81123620876042</v>
      </c>
      <c r="BG330" s="12">
        <f t="shared" si="524"/>
        <v>472.72989523876436</v>
      </c>
      <c r="BH330" s="12">
        <f t="shared" si="524"/>
        <v>380.92390445781166</v>
      </c>
      <c r="BI330" s="12">
        <f t="shared" si="524"/>
        <v>286.86555242992245</v>
      </c>
      <c r="BJ330" s="12">
        <f t="shared" si="524"/>
        <v>193.01378926779716</v>
      </c>
      <c r="BK330" s="1"/>
      <c r="BL330" s="1"/>
      <c r="BM330" s="23">
        <f t="shared" ref="BM330:BM393" si="525">BM329+1</f>
        <v>324</v>
      </c>
    </row>
    <row r="331" spans="1:65" ht="12.75" hidden="1" customHeight="1" outlineLevel="2">
      <c r="A331" s="118"/>
      <c r="B331" s="129" t="s">
        <v>358</v>
      </c>
      <c r="C331" s="1"/>
      <c r="D331" s="1"/>
      <c r="E331" s="1"/>
      <c r="F331" s="1"/>
      <c r="G331" s="12"/>
      <c r="H331" s="12">
        <f t="shared" si="511"/>
        <v>261.78900000000004</v>
      </c>
      <c r="I331" s="12">
        <f t="shared" si="511"/>
        <v>255.42500000000001</v>
      </c>
      <c r="J331" s="12">
        <f t="shared" si="511"/>
        <v>371.45100000000002</v>
      </c>
      <c r="K331" s="12">
        <f t="shared" si="511"/>
        <v>502.29700000000003</v>
      </c>
      <c r="L331" s="12">
        <f t="shared" si="511"/>
        <v>491.70499999999998</v>
      </c>
      <c r="M331" s="12">
        <f t="shared" si="511"/>
        <v>515.47500000000002</v>
      </c>
      <c r="N331" s="12">
        <f t="shared" si="511"/>
        <v>511.23599999999999</v>
      </c>
      <c r="O331" s="12">
        <f t="shared" si="511"/>
        <v>1301.6470000000002</v>
      </c>
      <c r="P331" s="12">
        <f t="shared" si="511"/>
        <v>1299.8970000000002</v>
      </c>
      <c r="Q331" s="12">
        <f t="shared" si="511"/>
        <v>1298.1470000000002</v>
      </c>
      <c r="R331" s="51"/>
      <c r="S331" s="1"/>
      <c r="T331" s="1"/>
      <c r="U331" s="1"/>
      <c r="V331" s="12">
        <f t="shared" ref="V331:AH331" si="526">V340</f>
        <v>238.44200000000001</v>
      </c>
      <c r="W331" s="12">
        <f t="shared" si="526"/>
        <v>0</v>
      </c>
      <c r="X331" s="12">
        <f t="shared" si="526"/>
        <v>0</v>
      </c>
      <c r="Y331" s="12">
        <f t="shared" si="526"/>
        <v>0</v>
      </c>
      <c r="Z331" s="12">
        <f t="shared" si="526"/>
        <v>261.78900000000004</v>
      </c>
      <c r="AA331" s="12">
        <f t="shared" si="526"/>
        <v>261.18100000000004</v>
      </c>
      <c r="AB331" s="12">
        <f t="shared" si="526"/>
        <v>260.57300000000004</v>
      </c>
      <c r="AC331" s="12">
        <f t="shared" si="526"/>
        <v>259.964</v>
      </c>
      <c r="AD331" s="12">
        <f t="shared" si="526"/>
        <v>255.42500000000001</v>
      </c>
      <c r="AE331" s="12">
        <f t="shared" si="526"/>
        <v>254.81700000000001</v>
      </c>
      <c r="AF331" s="12">
        <f t="shared" si="526"/>
        <v>254.208</v>
      </c>
      <c r="AG331" s="12">
        <f t="shared" si="526"/>
        <v>372.322</v>
      </c>
      <c r="AH331" s="12">
        <f t="shared" si="526"/>
        <v>371.45100000000002</v>
      </c>
      <c r="AI331" s="12">
        <f t="shared" ref="AI331:BB331" si="527">AI340</f>
        <v>370.57900000000001</v>
      </c>
      <c r="AJ331" s="12">
        <f t="shared" si="527"/>
        <v>369.70699999999999</v>
      </c>
      <c r="AK331" s="12">
        <f t="shared" si="527"/>
        <v>368.83499999999998</v>
      </c>
      <c r="AL331" s="12">
        <f t="shared" si="527"/>
        <v>502.29700000000003</v>
      </c>
      <c r="AM331" s="12">
        <f t="shared" si="527"/>
        <v>494.19400000000002</v>
      </c>
      <c r="AN331" s="12">
        <f t="shared" si="527"/>
        <v>493.36500000000001</v>
      </c>
      <c r="AO331" s="12">
        <f t="shared" si="527"/>
        <v>492.53500000000003</v>
      </c>
      <c r="AP331" s="12">
        <f t="shared" si="527"/>
        <v>491.70499999999998</v>
      </c>
      <c r="AQ331" s="12">
        <f t="shared" si="527"/>
        <v>490.87299999999999</v>
      </c>
      <c r="AR331" s="12">
        <f t="shared" si="527"/>
        <v>490.041</v>
      </c>
      <c r="AS331" s="12">
        <f t="shared" si="527"/>
        <v>506.63099999999991</v>
      </c>
      <c r="AT331" s="12">
        <f t="shared" si="527"/>
        <v>515.47500000000002</v>
      </c>
      <c r="AU331" s="12">
        <f t="shared" si="527"/>
        <v>515.13299999999992</v>
      </c>
      <c r="AV331" s="12">
        <f>AV340</f>
        <v>513.22600000000011</v>
      </c>
      <c r="AW331" s="12">
        <f>AW340</f>
        <v>512.56200000000001</v>
      </c>
      <c r="AX331" s="12">
        <f>AX340</f>
        <v>511.23599999999999</v>
      </c>
      <c r="AY331" s="12">
        <f t="shared" si="527"/>
        <v>510.3214999999999</v>
      </c>
      <c r="AZ331" s="12">
        <f t="shared" si="527"/>
        <v>1302.5220000000002</v>
      </c>
      <c r="BA331" s="12">
        <f t="shared" si="527"/>
        <v>1302.0845000000002</v>
      </c>
      <c r="BB331" s="12">
        <f t="shared" si="527"/>
        <v>1301.6470000000002</v>
      </c>
      <c r="BC331" s="12">
        <f t="shared" ref="BC331:BJ331" si="528">BC340</f>
        <v>1301.2095000000002</v>
      </c>
      <c r="BD331" s="12">
        <f t="shared" si="528"/>
        <v>1300.7720000000002</v>
      </c>
      <c r="BE331" s="12">
        <f t="shared" si="528"/>
        <v>1300.3345000000002</v>
      </c>
      <c r="BF331" s="12">
        <f t="shared" si="528"/>
        <v>1299.8970000000002</v>
      </c>
      <c r="BG331" s="12">
        <f t="shared" si="528"/>
        <v>1299.4595000000002</v>
      </c>
      <c r="BH331" s="12">
        <f t="shared" si="528"/>
        <v>1299.0220000000002</v>
      </c>
      <c r="BI331" s="12">
        <f t="shared" si="528"/>
        <v>1298.5845000000002</v>
      </c>
      <c r="BJ331" s="12">
        <f t="shared" si="528"/>
        <v>1298.1470000000002</v>
      </c>
      <c r="BK331" s="1"/>
      <c r="BL331" s="1"/>
      <c r="BM331" s="23">
        <f t="shared" si="525"/>
        <v>325</v>
      </c>
    </row>
    <row r="332" spans="1:65" ht="12.75" hidden="1" customHeight="1" outlineLevel="2">
      <c r="A332" s="118"/>
      <c r="B332" s="129" t="s">
        <v>359</v>
      </c>
      <c r="C332" s="1"/>
      <c r="D332" s="1"/>
      <c r="E332" s="1"/>
      <c r="F332" s="1"/>
      <c r="G332" s="12"/>
      <c r="H332" s="12">
        <f t="shared" si="511"/>
        <v>0</v>
      </c>
      <c r="I332" s="12">
        <f t="shared" si="511"/>
        <v>0</v>
      </c>
      <c r="J332" s="12">
        <f t="shared" si="511"/>
        <v>0</v>
      </c>
      <c r="K332" s="12">
        <f t="shared" si="511"/>
        <v>0</v>
      </c>
      <c r="L332" s="12">
        <f t="shared" si="511"/>
        <v>0</v>
      </c>
      <c r="M332" s="12">
        <f t="shared" si="511"/>
        <v>0</v>
      </c>
      <c r="N332" s="12">
        <f t="shared" si="511"/>
        <v>0</v>
      </c>
      <c r="O332" s="12">
        <f t="shared" si="511"/>
        <v>0</v>
      </c>
      <c r="P332" s="12">
        <f t="shared" si="511"/>
        <v>0</v>
      </c>
      <c r="Q332" s="12">
        <f t="shared" si="511"/>
        <v>0</v>
      </c>
      <c r="R332" s="51"/>
      <c r="S332" s="1"/>
      <c r="T332" s="1"/>
      <c r="U332" s="1"/>
      <c r="V332" s="12">
        <f t="shared" ref="V332:AH332" si="529">ROUND(MAX(V330-V331,0),2)</f>
        <v>0</v>
      </c>
      <c r="W332" s="12">
        <f t="shared" si="529"/>
        <v>238.44</v>
      </c>
      <c r="X332" s="12">
        <f t="shared" si="529"/>
        <v>238.44</v>
      </c>
      <c r="Y332" s="12">
        <f t="shared" si="529"/>
        <v>258.45999999999998</v>
      </c>
      <c r="Z332" s="12">
        <f t="shared" si="529"/>
        <v>0</v>
      </c>
      <c r="AA332" s="12">
        <f t="shared" si="529"/>
        <v>0</v>
      </c>
      <c r="AB332" s="12">
        <f t="shared" si="529"/>
        <v>0</v>
      </c>
      <c r="AC332" s="12">
        <f t="shared" si="529"/>
        <v>0</v>
      </c>
      <c r="AD332" s="12">
        <f t="shared" si="529"/>
        <v>0</v>
      </c>
      <c r="AE332" s="12">
        <f t="shared" si="529"/>
        <v>10.55</v>
      </c>
      <c r="AF332" s="12">
        <f t="shared" si="529"/>
        <v>6.87</v>
      </c>
      <c r="AG332" s="12">
        <f t="shared" si="529"/>
        <v>0.27</v>
      </c>
      <c r="AH332" s="12">
        <f t="shared" si="529"/>
        <v>0</v>
      </c>
      <c r="AI332" s="12">
        <f>ROUND(MAX(AI330-AI331,0),2)</f>
        <v>0</v>
      </c>
      <c r="AJ332" s="12">
        <f t="shared" ref="AJ332:BJ332" si="530">ROUND(MAX(AJ330-AJ331,0),2)</f>
        <v>0</v>
      </c>
      <c r="AK332" s="12">
        <f t="shared" si="530"/>
        <v>0</v>
      </c>
      <c r="AL332" s="12">
        <f t="shared" si="530"/>
        <v>0</v>
      </c>
      <c r="AM332" s="12">
        <f t="shared" si="530"/>
        <v>0</v>
      </c>
      <c r="AN332" s="12">
        <f t="shared" si="530"/>
        <v>0</v>
      </c>
      <c r="AO332" s="12">
        <f t="shared" si="530"/>
        <v>0</v>
      </c>
      <c r="AP332" s="12">
        <f t="shared" si="530"/>
        <v>0</v>
      </c>
      <c r="AQ332" s="12">
        <f t="shared" si="530"/>
        <v>0</v>
      </c>
      <c r="AR332" s="12">
        <f t="shared" si="530"/>
        <v>0</v>
      </c>
      <c r="AS332" s="12">
        <f t="shared" si="530"/>
        <v>0</v>
      </c>
      <c r="AT332" s="12">
        <f t="shared" si="530"/>
        <v>0</v>
      </c>
      <c r="AU332" s="12">
        <f>ROUND(MAX(AU330-AU331,0),2)</f>
        <v>0</v>
      </c>
      <c r="AV332" s="12">
        <f>ROUND(MAX(AV330-AV331,0),2)</f>
        <v>0</v>
      </c>
      <c r="AW332" s="12">
        <f>ROUND(MAX(AW330-AW331,0),2)</f>
        <v>0</v>
      </c>
      <c r="AX332" s="12">
        <f>ROUND(MAX(AX330-AX331,0),2)</f>
        <v>0</v>
      </c>
      <c r="AY332" s="12">
        <f t="shared" si="530"/>
        <v>0</v>
      </c>
      <c r="AZ332" s="12">
        <f t="shared" si="530"/>
        <v>0</v>
      </c>
      <c r="BA332" s="12">
        <f t="shared" si="530"/>
        <v>0</v>
      </c>
      <c r="BB332" s="12">
        <f t="shared" si="530"/>
        <v>0</v>
      </c>
      <c r="BC332" s="12">
        <f t="shared" si="530"/>
        <v>0</v>
      </c>
      <c r="BD332" s="12">
        <f t="shared" si="530"/>
        <v>0</v>
      </c>
      <c r="BE332" s="12">
        <f t="shared" si="530"/>
        <v>0</v>
      </c>
      <c r="BF332" s="12">
        <f t="shared" si="530"/>
        <v>0</v>
      </c>
      <c r="BG332" s="12">
        <f t="shared" si="530"/>
        <v>0</v>
      </c>
      <c r="BH332" s="12">
        <f t="shared" si="530"/>
        <v>0</v>
      </c>
      <c r="BI332" s="12">
        <f t="shared" si="530"/>
        <v>0</v>
      </c>
      <c r="BJ332" s="12">
        <f t="shared" si="530"/>
        <v>0</v>
      </c>
      <c r="BK332" s="1"/>
      <c r="BL332" s="1"/>
      <c r="BM332" s="23">
        <f t="shared" si="525"/>
        <v>326</v>
      </c>
    </row>
    <row r="333" spans="1:65" ht="12.75" hidden="1" customHeight="1" outlineLevel="2">
      <c r="A333" s="118"/>
      <c r="B333" s="53"/>
      <c r="C333" s="1"/>
      <c r="D333" s="1"/>
      <c r="E333" s="1"/>
      <c r="F333" s="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51"/>
      <c r="S333" s="1"/>
      <c r="T333" s="1"/>
      <c r="U333" s="1"/>
      <c r="V333" s="12"/>
      <c r="W333" s="12"/>
      <c r="X333" s="12"/>
      <c r="Y333" s="12"/>
      <c r="Z333" s="12"/>
      <c r="AA333" s="12"/>
      <c r="AB333" s="12"/>
      <c r="AC333" s="12"/>
      <c r="AD333" s="12"/>
      <c r="AE333" s="12"/>
      <c r="AF333" s="12"/>
      <c r="AG333" s="12"/>
      <c r="AH333" s="12"/>
      <c r="AI333" s="12"/>
      <c r="AJ333" s="12"/>
      <c r="AK333" s="12"/>
      <c r="AL333" s="12"/>
      <c r="AM333" s="12"/>
      <c r="AN333" s="12"/>
      <c r="AO333" s="12"/>
      <c r="AP333" s="12"/>
      <c r="AQ333" s="12"/>
      <c r="AR333" s="12"/>
      <c r="AS333" s="12"/>
      <c r="AT333" s="12"/>
      <c r="AU333" s="12"/>
      <c r="AV333" s="12"/>
      <c r="AW333" s="12"/>
      <c r="AX333" s="12"/>
      <c r="AY333" s="12"/>
      <c r="AZ333" s="12"/>
      <c r="BA333" s="12"/>
      <c r="BB333" s="12"/>
      <c r="BC333" s="12"/>
      <c r="BD333" s="12"/>
      <c r="BE333" s="12"/>
      <c r="BF333" s="12"/>
      <c r="BG333" s="12"/>
      <c r="BH333" s="12"/>
      <c r="BI333" s="12"/>
      <c r="BJ333" s="12"/>
      <c r="BK333" s="1"/>
      <c r="BL333" s="1"/>
      <c r="BM333" s="23">
        <f t="shared" si="525"/>
        <v>327</v>
      </c>
    </row>
    <row r="334" spans="1:65" ht="12.75" customHeight="1" outlineLevel="1" collapsed="1">
      <c r="A334" s="118" t="s">
        <v>29</v>
      </c>
      <c r="B334" s="111" t="s">
        <v>346</v>
      </c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5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46"/>
      <c r="AP334" s="146"/>
      <c r="AQ334" s="146"/>
      <c r="AR334" s="146"/>
      <c r="AS334" s="146"/>
      <c r="AT334" s="146"/>
      <c r="AU334" s="146"/>
      <c r="AV334" s="146"/>
      <c r="AW334" s="146"/>
      <c r="AX334" s="146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2"/>
      <c r="BM334" s="23">
        <f t="shared" si="525"/>
        <v>328</v>
      </c>
    </row>
    <row r="335" spans="1:65" ht="12.75" hidden="1" customHeight="1" outlineLevel="2">
      <c r="A335" s="118"/>
      <c r="B335" s="129" t="s">
        <v>329</v>
      </c>
      <c r="C335" s="1"/>
      <c r="D335" s="1"/>
      <c r="E335" s="1"/>
      <c r="F335" s="1"/>
      <c r="G335" s="12">
        <f t="shared" ref="G335:J336" si="531">INDEX($S335:$AH335,G$6)</f>
        <v>163.44200000000001</v>
      </c>
      <c r="H335" s="12">
        <f t="shared" si="531"/>
        <v>257.85700000000003</v>
      </c>
      <c r="I335" s="12">
        <f t="shared" si="531"/>
        <v>255.42500000000001</v>
      </c>
      <c r="J335" s="12">
        <f t="shared" si="531"/>
        <v>371.45100000000002</v>
      </c>
      <c r="K335" s="12">
        <f t="shared" ref="K335:Q342" si="532">INDEX($S335:$BK335,K$6)</f>
        <v>504.375</v>
      </c>
      <c r="L335" s="12">
        <f t="shared" si="532"/>
        <v>499.27499999999998</v>
      </c>
      <c r="M335" s="12">
        <f t="shared" si="532"/>
        <v>494.17500000000001</v>
      </c>
      <c r="N335" s="12">
        <f t="shared" si="532"/>
        <v>489.07499999999999</v>
      </c>
      <c r="O335" s="12">
        <f t="shared" si="532"/>
        <v>1280</v>
      </c>
      <c r="P335" s="12">
        <f t="shared" si="532"/>
        <v>1280</v>
      </c>
      <c r="Q335" s="12">
        <f t="shared" si="532"/>
        <v>1280</v>
      </c>
      <c r="R335" s="51"/>
      <c r="S335" s="1"/>
      <c r="T335" s="1"/>
      <c r="U335" s="1"/>
      <c r="V335" s="109">
        <v>163.44200000000001</v>
      </c>
      <c r="W335" s="109"/>
      <c r="X335" s="109"/>
      <c r="Y335" s="109"/>
      <c r="Z335" s="109">
        <v>257.85700000000003</v>
      </c>
      <c r="AA335" s="109">
        <v>257.24900000000002</v>
      </c>
      <c r="AB335" s="109">
        <v>256.64100000000002</v>
      </c>
      <c r="AC335" s="109">
        <v>256.03199999999998</v>
      </c>
      <c r="AD335" s="109">
        <v>255.42500000000001</v>
      </c>
      <c r="AE335" s="109">
        <v>254.81700000000001</v>
      </c>
      <c r="AF335" s="109">
        <v>254.208</v>
      </c>
      <c r="AG335" s="109">
        <v>372.322</v>
      </c>
      <c r="AH335" s="109">
        <v>371.45100000000002</v>
      </c>
      <c r="AI335" s="109">
        <f>370.579+1.609</f>
        <v>372.18799999999999</v>
      </c>
      <c r="AJ335" s="109">
        <f>369.707+1.543</f>
        <v>371.25</v>
      </c>
      <c r="AK335" s="109">
        <f>368.835+1.478</f>
        <v>370.31299999999999</v>
      </c>
      <c r="AL335" s="109">
        <f>502.297+2.078</f>
        <v>504.375</v>
      </c>
      <c r="AM335" s="109">
        <v>503.1</v>
      </c>
      <c r="AN335" s="109">
        <v>501.82499999999999</v>
      </c>
      <c r="AO335" s="109">
        <v>500.55</v>
      </c>
      <c r="AP335" s="109">
        <v>499.27499999999998</v>
      </c>
      <c r="AQ335" s="109">
        <v>498</v>
      </c>
      <c r="AR335" s="109">
        <v>496.72500000000002</v>
      </c>
      <c r="AS335" s="109">
        <v>495.45</v>
      </c>
      <c r="AT335" s="109">
        <v>494.17500000000001</v>
      </c>
      <c r="AU335" s="109">
        <v>492.9</v>
      </c>
      <c r="AV335" s="109">
        <v>491.625</v>
      </c>
      <c r="AW335" s="109">
        <v>490.35</v>
      </c>
      <c r="AX335" s="109">
        <v>489.07499999999999</v>
      </c>
      <c r="AY335" s="133">
        <f>+AX335-1.275</f>
        <v>487.8</v>
      </c>
      <c r="AZ335" s="171">
        <v>1280</v>
      </c>
      <c r="BA335" s="133">
        <f t="shared" ref="BA335:BJ335" si="533">AZ335</f>
        <v>1280</v>
      </c>
      <c r="BB335" s="133">
        <f t="shared" si="533"/>
        <v>1280</v>
      </c>
      <c r="BC335" s="133">
        <f t="shared" si="533"/>
        <v>1280</v>
      </c>
      <c r="BD335" s="133">
        <f t="shared" si="533"/>
        <v>1280</v>
      </c>
      <c r="BE335" s="133">
        <f t="shared" si="533"/>
        <v>1280</v>
      </c>
      <c r="BF335" s="133">
        <f t="shared" si="533"/>
        <v>1280</v>
      </c>
      <c r="BG335" s="133">
        <f t="shared" si="533"/>
        <v>1280</v>
      </c>
      <c r="BH335" s="133">
        <f t="shared" si="533"/>
        <v>1280</v>
      </c>
      <c r="BI335" s="133">
        <f t="shared" si="533"/>
        <v>1280</v>
      </c>
      <c r="BJ335" s="133">
        <f t="shared" si="533"/>
        <v>1280</v>
      </c>
      <c r="BK335" s="1"/>
      <c r="BL335" s="1"/>
      <c r="BM335" s="23">
        <f t="shared" si="525"/>
        <v>329</v>
      </c>
    </row>
    <row r="336" spans="1:65" ht="12.75" hidden="1" customHeight="1" outlineLevel="2">
      <c r="A336" s="118"/>
      <c r="B336" s="129" t="s">
        <v>330</v>
      </c>
      <c r="C336" s="1"/>
      <c r="D336" s="1"/>
      <c r="E336" s="1"/>
      <c r="F336" s="1"/>
      <c r="G336" s="12">
        <f t="shared" si="531"/>
        <v>75</v>
      </c>
      <c r="H336" s="12">
        <f t="shared" si="531"/>
        <v>3.9319999999999999</v>
      </c>
      <c r="I336" s="12">
        <f t="shared" si="531"/>
        <v>0</v>
      </c>
      <c r="J336" s="12">
        <f t="shared" si="531"/>
        <v>0</v>
      </c>
      <c r="K336" s="12">
        <f t="shared" si="532"/>
        <v>0</v>
      </c>
      <c r="L336" s="12">
        <f t="shared" si="532"/>
        <v>0</v>
      </c>
      <c r="M336" s="12">
        <f t="shared" si="532"/>
        <v>0</v>
      </c>
      <c r="N336" s="12">
        <f t="shared" si="532"/>
        <v>0</v>
      </c>
      <c r="O336" s="12">
        <f t="shared" si="532"/>
        <v>0</v>
      </c>
      <c r="P336" s="12">
        <f t="shared" si="532"/>
        <v>0</v>
      </c>
      <c r="Q336" s="12">
        <f t="shared" si="532"/>
        <v>0</v>
      </c>
      <c r="R336" s="51"/>
      <c r="S336" s="1"/>
      <c r="T336" s="1"/>
      <c r="U336" s="1"/>
      <c r="V336" s="109">
        <v>75</v>
      </c>
      <c r="W336" s="109"/>
      <c r="X336" s="109"/>
      <c r="Y336" s="109"/>
      <c r="Z336" s="109">
        <v>3.9319999999999999</v>
      </c>
      <c r="AA336" s="109">
        <v>3.9319999999999999</v>
      </c>
      <c r="AB336" s="109">
        <v>3.9319999999999999</v>
      </c>
      <c r="AC336" s="109">
        <v>3.9319999999999999</v>
      </c>
      <c r="AD336" s="109">
        <v>0</v>
      </c>
      <c r="AE336" s="109">
        <v>0</v>
      </c>
      <c r="AF336" s="109">
        <v>0</v>
      </c>
      <c r="AG336" s="109">
        <v>0</v>
      </c>
      <c r="AH336" s="109">
        <v>0</v>
      </c>
      <c r="AI336" s="109">
        <v>0</v>
      </c>
      <c r="AJ336" s="109">
        <v>0</v>
      </c>
      <c r="AK336" s="109">
        <v>0</v>
      </c>
      <c r="AL336" s="109">
        <v>0</v>
      </c>
      <c r="AM336" s="109">
        <v>0</v>
      </c>
      <c r="AN336" s="109">
        <v>0</v>
      </c>
      <c r="AO336" s="109">
        <v>0</v>
      </c>
      <c r="AP336" s="109">
        <v>0</v>
      </c>
      <c r="AQ336" s="109">
        <v>0</v>
      </c>
      <c r="AR336" s="109">
        <v>0</v>
      </c>
      <c r="AS336" s="109">
        <v>0</v>
      </c>
      <c r="AT336" s="109">
        <v>0</v>
      </c>
      <c r="AU336" s="109">
        <v>0</v>
      </c>
      <c r="AV336" s="109">
        <v>0</v>
      </c>
      <c r="AW336" s="109">
        <v>0</v>
      </c>
      <c r="AX336" s="109">
        <v>0</v>
      </c>
      <c r="AY336" s="109">
        <v>0</v>
      </c>
      <c r="AZ336" s="109">
        <v>0</v>
      </c>
      <c r="BA336" s="109">
        <v>0</v>
      </c>
      <c r="BB336" s="109">
        <v>0</v>
      </c>
      <c r="BC336" s="109">
        <v>0</v>
      </c>
      <c r="BD336" s="109">
        <v>0</v>
      </c>
      <c r="BE336" s="109">
        <v>0</v>
      </c>
      <c r="BF336" s="109">
        <v>0</v>
      </c>
      <c r="BG336" s="109">
        <v>0</v>
      </c>
      <c r="BH336" s="109">
        <v>0</v>
      </c>
      <c r="BI336" s="109">
        <v>0</v>
      </c>
      <c r="BJ336" s="109">
        <v>0</v>
      </c>
      <c r="BK336" s="1"/>
      <c r="BL336" s="1"/>
      <c r="BM336" s="23">
        <f t="shared" si="525"/>
        <v>330</v>
      </c>
    </row>
    <row r="337" spans="1:65" ht="12.75" hidden="1" customHeight="1" outlineLevel="2">
      <c r="A337" s="118"/>
      <c r="B337" s="129" t="s">
        <v>384</v>
      </c>
      <c r="C337" s="1"/>
      <c r="D337" s="1"/>
      <c r="E337" s="1"/>
      <c r="F337" s="1"/>
      <c r="G337" s="12"/>
      <c r="H337" s="12">
        <f t="shared" ref="H337:J342" si="534">INDEX($S337:$AH337,H$6)</f>
        <v>0</v>
      </c>
      <c r="I337" s="12">
        <f t="shared" si="534"/>
        <v>0</v>
      </c>
      <c r="J337" s="12">
        <f t="shared" si="534"/>
        <v>0</v>
      </c>
      <c r="K337" s="12">
        <f t="shared" si="532"/>
        <v>0</v>
      </c>
      <c r="L337" s="12">
        <f t="shared" si="532"/>
        <v>0</v>
      </c>
      <c r="M337" s="12">
        <f t="shared" si="532"/>
        <v>24.863</v>
      </c>
      <c r="N337" s="12">
        <f t="shared" si="532"/>
        <v>24.74</v>
      </c>
      <c r="O337" s="12">
        <f t="shared" si="532"/>
        <v>22.99</v>
      </c>
      <c r="P337" s="12">
        <f t="shared" si="532"/>
        <v>21.24</v>
      </c>
      <c r="Q337" s="12">
        <f t="shared" si="532"/>
        <v>19.489999999999998</v>
      </c>
      <c r="R337" s="51"/>
      <c r="S337" s="1"/>
      <c r="T337" s="1"/>
      <c r="U337" s="1"/>
      <c r="V337" s="109"/>
      <c r="W337" s="109"/>
      <c r="X337" s="109"/>
      <c r="Y337" s="109"/>
      <c r="Z337" s="109">
        <v>0</v>
      </c>
      <c r="AA337" s="109">
        <v>0</v>
      </c>
      <c r="AB337" s="109">
        <v>0</v>
      </c>
      <c r="AC337" s="109">
        <v>0</v>
      </c>
      <c r="AD337" s="109">
        <v>0</v>
      </c>
      <c r="AE337" s="109">
        <v>0</v>
      </c>
      <c r="AF337" s="109">
        <v>0</v>
      </c>
      <c r="AG337" s="109">
        <v>0</v>
      </c>
      <c r="AH337" s="109">
        <v>0</v>
      </c>
      <c r="AI337" s="109">
        <v>0</v>
      </c>
      <c r="AJ337" s="109">
        <v>0</v>
      </c>
      <c r="AK337" s="109">
        <v>0</v>
      </c>
      <c r="AL337" s="109">
        <v>0</v>
      </c>
      <c r="AM337" s="109">
        <v>0</v>
      </c>
      <c r="AN337" s="109">
        <v>0</v>
      </c>
      <c r="AO337" s="109">
        <v>0</v>
      </c>
      <c r="AP337" s="109">
        <v>0</v>
      </c>
      <c r="AQ337" s="109">
        <v>0</v>
      </c>
      <c r="AR337" s="109">
        <v>0</v>
      </c>
      <c r="AS337" s="109">
        <f>15.571+1.852</f>
        <v>17.422999999999998</v>
      </c>
      <c r="AT337" s="109">
        <f>23.076+1.787</f>
        <v>24.863</v>
      </c>
      <c r="AU337" s="109">
        <f>23.134+1.843</f>
        <v>24.977</v>
      </c>
      <c r="AV337" s="109">
        <f>22.939+1.483</f>
        <v>24.422000000000001</v>
      </c>
      <c r="AW337" s="109">
        <v>23.611000000000001</v>
      </c>
      <c r="AX337" s="109">
        <v>24.74</v>
      </c>
      <c r="AY337" s="109">
        <f t="shared" ref="AY337:BJ337" si="535">AX337-1.75/4</f>
        <v>24.302499999999998</v>
      </c>
      <c r="AZ337" s="109">
        <f t="shared" si="535"/>
        <v>23.864999999999998</v>
      </c>
      <c r="BA337" s="109">
        <f t="shared" si="535"/>
        <v>23.427499999999998</v>
      </c>
      <c r="BB337" s="109">
        <f t="shared" si="535"/>
        <v>22.99</v>
      </c>
      <c r="BC337" s="109">
        <f t="shared" si="535"/>
        <v>22.552499999999998</v>
      </c>
      <c r="BD337" s="109">
        <f t="shared" si="535"/>
        <v>22.114999999999998</v>
      </c>
      <c r="BE337" s="109">
        <f t="shared" si="535"/>
        <v>21.677499999999998</v>
      </c>
      <c r="BF337" s="109">
        <f t="shared" si="535"/>
        <v>21.24</v>
      </c>
      <c r="BG337" s="109">
        <f t="shared" si="535"/>
        <v>20.802499999999998</v>
      </c>
      <c r="BH337" s="109">
        <f t="shared" si="535"/>
        <v>20.364999999999998</v>
      </c>
      <c r="BI337" s="109">
        <f t="shared" si="535"/>
        <v>19.927499999999998</v>
      </c>
      <c r="BJ337" s="109">
        <f t="shared" si="535"/>
        <v>19.489999999999998</v>
      </c>
      <c r="BK337" s="1"/>
      <c r="BL337" s="1"/>
      <c r="BM337" s="23">
        <f t="shared" si="525"/>
        <v>331</v>
      </c>
    </row>
    <row r="338" spans="1:65" ht="12.75" hidden="1" customHeight="1" outlineLevel="2">
      <c r="A338" s="118"/>
      <c r="B338" s="129" t="s">
        <v>438</v>
      </c>
      <c r="C338" s="1"/>
      <c r="D338" s="1"/>
      <c r="E338" s="1"/>
      <c r="F338" s="1"/>
      <c r="G338" s="12"/>
      <c r="H338" s="12">
        <f t="shared" si="534"/>
        <v>0</v>
      </c>
      <c r="I338" s="12">
        <f t="shared" si="534"/>
        <v>0</v>
      </c>
      <c r="J338" s="12">
        <f t="shared" si="534"/>
        <v>0</v>
      </c>
      <c r="K338" s="12">
        <f t="shared" si="532"/>
        <v>0</v>
      </c>
      <c r="L338" s="12">
        <f t="shared" si="532"/>
        <v>0</v>
      </c>
      <c r="M338" s="12">
        <f t="shared" si="532"/>
        <v>2.2370000000000001</v>
      </c>
      <c r="N338" s="12">
        <f t="shared" si="532"/>
        <v>1.464</v>
      </c>
      <c r="O338" s="12">
        <f t="shared" si="532"/>
        <v>1.8239999999999998</v>
      </c>
      <c r="P338" s="12">
        <f t="shared" si="532"/>
        <v>1.8239999999999998</v>
      </c>
      <c r="Q338" s="12">
        <f t="shared" si="532"/>
        <v>1.8239999999999998</v>
      </c>
      <c r="R338" s="51"/>
      <c r="S338" s="1"/>
      <c r="T338" s="1"/>
      <c r="U338" s="1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>
        <v>0</v>
      </c>
      <c r="AR338" s="109">
        <v>0</v>
      </c>
      <c r="AS338" s="109">
        <v>0</v>
      </c>
      <c r="AT338" s="109">
        <v>2.2370000000000001</v>
      </c>
      <c r="AU338" s="109">
        <f>2.19+0.425</f>
        <v>2.6149999999999998</v>
      </c>
      <c r="AV338" s="109">
        <f>1.961+0.138</f>
        <v>2.0990000000000002</v>
      </c>
      <c r="AW338" s="109">
        <f>1.005+0.819+1.258</f>
        <v>3.0819999999999999</v>
      </c>
      <c r="AX338" s="109">
        <f>0.745+0.719</f>
        <v>1.464</v>
      </c>
      <c r="AY338" s="133">
        <f t="shared" ref="AY338:BJ338" si="536">1.005+0.819</f>
        <v>1.8239999999999998</v>
      </c>
      <c r="AZ338" s="133">
        <f t="shared" si="536"/>
        <v>1.8239999999999998</v>
      </c>
      <c r="BA338" s="133">
        <f t="shared" si="536"/>
        <v>1.8239999999999998</v>
      </c>
      <c r="BB338" s="133">
        <f t="shared" si="536"/>
        <v>1.8239999999999998</v>
      </c>
      <c r="BC338" s="133">
        <f t="shared" si="536"/>
        <v>1.8239999999999998</v>
      </c>
      <c r="BD338" s="133">
        <f t="shared" si="536"/>
        <v>1.8239999999999998</v>
      </c>
      <c r="BE338" s="133">
        <f t="shared" si="536"/>
        <v>1.8239999999999998</v>
      </c>
      <c r="BF338" s="133">
        <f t="shared" si="536"/>
        <v>1.8239999999999998</v>
      </c>
      <c r="BG338" s="133">
        <f t="shared" si="536"/>
        <v>1.8239999999999998</v>
      </c>
      <c r="BH338" s="133">
        <f t="shared" si="536"/>
        <v>1.8239999999999998</v>
      </c>
      <c r="BI338" s="133">
        <f t="shared" si="536"/>
        <v>1.8239999999999998</v>
      </c>
      <c r="BJ338" s="133">
        <f t="shared" si="536"/>
        <v>1.8239999999999998</v>
      </c>
      <c r="BK338" s="1"/>
      <c r="BL338" s="1"/>
      <c r="BM338" s="23">
        <f t="shared" si="525"/>
        <v>332</v>
      </c>
    </row>
    <row r="339" spans="1:65" ht="12.75" hidden="1" customHeight="1" outlineLevel="2">
      <c r="A339" s="118"/>
      <c r="B339" s="129" t="s">
        <v>356</v>
      </c>
      <c r="C339" s="1"/>
      <c r="D339" s="1"/>
      <c r="E339" s="1"/>
      <c r="F339" s="1"/>
      <c r="G339" s="12"/>
      <c r="H339" s="12">
        <f t="shared" si="534"/>
        <v>0</v>
      </c>
      <c r="I339" s="12">
        <f t="shared" si="534"/>
        <v>0</v>
      </c>
      <c r="J339" s="12">
        <f t="shared" si="534"/>
        <v>0</v>
      </c>
      <c r="K339" s="12">
        <f t="shared" si="532"/>
        <v>-2.0779999999999998</v>
      </c>
      <c r="L339" s="12">
        <f t="shared" si="532"/>
        <v>-7.5699999999999994</v>
      </c>
      <c r="M339" s="12">
        <f t="shared" si="532"/>
        <v>-5.8000000000000007</v>
      </c>
      <c r="N339" s="12">
        <f t="shared" si="532"/>
        <v>-4.0430000000000001</v>
      </c>
      <c r="O339" s="12">
        <f t="shared" si="532"/>
        <v>-3.1670000000000007</v>
      </c>
      <c r="P339" s="12">
        <f t="shared" si="532"/>
        <v>-3.1670000000000007</v>
      </c>
      <c r="Q339" s="12">
        <f t="shared" si="532"/>
        <v>-3.1670000000000007</v>
      </c>
      <c r="R339" s="51"/>
      <c r="S339" s="1"/>
      <c r="T339" s="1"/>
      <c r="U339" s="1"/>
      <c r="V339" s="109">
        <v>0</v>
      </c>
      <c r="W339" s="109"/>
      <c r="X339" s="109"/>
      <c r="Y339" s="109"/>
      <c r="Z339" s="109">
        <v>0</v>
      </c>
      <c r="AA339" s="109">
        <v>0</v>
      </c>
      <c r="AB339" s="109">
        <v>0</v>
      </c>
      <c r="AC339" s="109">
        <v>0</v>
      </c>
      <c r="AD339" s="109">
        <v>0</v>
      </c>
      <c r="AE339" s="109">
        <v>0</v>
      </c>
      <c r="AF339" s="109">
        <v>0</v>
      </c>
      <c r="AG339" s="109">
        <v>0</v>
      </c>
      <c r="AH339" s="109">
        <v>0</v>
      </c>
      <c r="AI339" s="109">
        <v>-1.609</v>
      </c>
      <c r="AJ339" s="109">
        <v>-1.5429999999999999</v>
      </c>
      <c r="AK339" s="109">
        <v>-1.478</v>
      </c>
      <c r="AL339" s="109">
        <v>-2.0779999999999998</v>
      </c>
      <c r="AM339" s="109">
        <f>-1.983-6.923</f>
        <v>-8.9060000000000006</v>
      </c>
      <c r="AN339" s="109">
        <f>-1.887-6.573</f>
        <v>-8.4600000000000009</v>
      </c>
      <c r="AO339" s="109">
        <f>-1.792-6.223</f>
        <v>-8.0150000000000006</v>
      </c>
      <c r="AP339" s="109">
        <f>-1.696-5.874</f>
        <v>-7.5699999999999994</v>
      </c>
      <c r="AQ339" s="109">
        <f>-1.602-5.525</f>
        <v>-7.1270000000000007</v>
      </c>
      <c r="AR339" s="109">
        <f>-1.507-5.177</f>
        <v>-6.6839999999999993</v>
      </c>
      <c r="AS339" s="109">
        <f>-1.413-4.829</f>
        <v>-6.242</v>
      </c>
      <c r="AT339" s="109">
        <f>-1.318-4.482</f>
        <v>-5.8000000000000007</v>
      </c>
      <c r="AU339" s="109">
        <f>-1.224-4.135</f>
        <v>-5.359</v>
      </c>
      <c r="AV339" s="109">
        <f>-1.13-3.79</f>
        <v>-4.92</v>
      </c>
      <c r="AW339" s="109">
        <f>-1.037-3.444</f>
        <v>-4.4809999999999999</v>
      </c>
      <c r="AX339" s="109">
        <f>-3.099-0.944</f>
        <v>-4.0430000000000001</v>
      </c>
      <c r="AY339" s="109">
        <f>MIN(AX339+(AX339-AW339),0)</f>
        <v>-3.6050000000000004</v>
      </c>
      <c r="AZ339" s="109">
        <f>MIN(AY339+(AY339-AX339),0)</f>
        <v>-3.1670000000000007</v>
      </c>
      <c r="BA339" s="109">
        <f t="shared" ref="BA339:BJ339" si="537">AZ339</f>
        <v>-3.1670000000000007</v>
      </c>
      <c r="BB339" s="109">
        <f t="shared" si="537"/>
        <v>-3.1670000000000007</v>
      </c>
      <c r="BC339" s="109">
        <f t="shared" si="537"/>
        <v>-3.1670000000000007</v>
      </c>
      <c r="BD339" s="109">
        <f t="shared" si="537"/>
        <v>-3.1670000000000007</v>
      </c>
      <c r="BE339" s="109">
        <f t="shared" si="537"/>
        <v>-3.1670000000000007</v>
      </c>
      <c r="BF339" s="109">
        <f t="shared" si="537"/>
        <v>-3.1670000000000007</v>
      </c>
      <c r="BG339" s="109">
        <f t="shared" si="537"/>
        <v>-3.1670000000000007</v>
      </c>
      <c r="BH339" s="109">
        <f t="shared" si="537"/>
        <v>-3.1670000000000007</v>
      </c>
      <c r="BI339" s="109">
        <f t="shared" si="537"/>
        <v>-3.1670000000000007</v>
      </c>
      <c r="BJ339" s="109">
        <f t="shared" si="537"/>
        <v>-3.1670000000000007</v>
      </c>
      <c r="BK339" s="1"/>
      <c r="BL339" s="1"/>
      <c r="BM339" s="23">
        <f t="shared" si="525"/>
        <v>333</v>
      </c>
    </row>
    <row r="340" spans="1:65" ht="12.75" hidden="1" customHeight="1" outlineLevel="2">
      <c r="A340" s="118"/>
      <c r="B340" s="145" t="s">
        <v>348</v>
      </c>
      <c r="C340" s="1"/>
      <c r="D340" s="1"/>
      <c r="E340" s="1"/>
      <c r="F340" s="1"/>
      <c r="G340" s="12">
        <f>SUM(G335:G336)</f>
        <v>238.44200000000001</v>
      </c>
      <c r="H340" s="12">
        <f t="shared" si="534"/>
        <v>261.78900000000004</v>
      </c>
      <c r="I340" s="12">
        <f t="shared" si="534"/>
        <v>255.42500000000001</v>
      </c>
      <c r="J340" s="12">
        <f t="shared" si="534"/>
        <v>371.45100000000002</v>
      </c>
      <c r="K340" s="12">
        <f t="shared" si="532"/>
        <v>502.29700000000003</v>
      </c>
      <c r="L340" s="12">
        <f t="shared" si="532"/>
        <v>491.70499999999998</v>
      </c>
      <c r="M340" s="12">
        <f t="shared" si="532"/>
        <v>515.47500000000002</v>
      </c>
      <c r="N340" s="12">
        <f t="shared" si="532"/>
        <v>511.23599999999999</v>
      </c>
      <c r="O340" s="12">
        <f t="shared" si="532"/>
        <v>1301.6470000000002</v>
      </c>
      <c r="P340" s="12">
        <f t="shared" si="532"/>
        <v>1299.8970000000002</v>
      </c>
      <c r="Q340" s="12">
        <f t="shared" si="532"/>
        <v>1298.1470000000002</v>
      </c>
      <c r="R340" s="51"/>
      <c r="S340" s="1"/>
      <c r="T340" s="1"/>
      <c r="U340" s="1"/>
      <c r="V340" s="12">
        <f>SUM(V335:V339)</f>
        <v>238.44200000000001</v>
      </c>
      <c r="W340" s="109"/>
      <c r="X340" s="109"/>
      <c r="Y340" s="109"/>
      <c r="Z340" s="12">
        <f t="shared" ref="Z340:BJ340" si="538">SUM(Z335:Z339)</f>
        <v>261.78900000000004</v>
      </c>
      <c r="AA340" s="12">
        <f t="shared" si="538"/>
        <v>261.18100000000004</v>
      </c>
      <c r="AB340" s="12">
        <f t="shared" si="538"/>
        <v>260.57300000000004</v>
      </c>
      <c r="AC340" s="12">
        <f t="shared" si="538"/>
        <v>259.964</v>
      </c>
      <c r="AD340" s="12">
        <f t="shared" si="538"/>
        <v>255.42500000000001</v>
      </c>
      <c r="AE340" s="12">
        <f t="shared" si="538"/>
        <v>254.81700000000001</v>
      </c>
      <c r="AF340" s="12">
        <f t="shared" si="538"/>
        <v>254.208</v>
      </c>
      <c r="AG340" s="12">
        <f t="shared" si="538"/>
        <v>372.322</v>
      </c>
      <c r="AH340" s="12">
        <f t="shared" si="538"/>
        <v>371.45100000000002</v>
      </c>
      <c r="AI340" s="12">
        <f t="shared" si="538"/>
        <v>370.57900000000001</v>
      </c>
      <c r="AJ340" s="12">
        <f t="shared" si="538"/>
        <v>369.70699999999999</v>
      </c>
      <c r="AK340" s="12">
        <f t="shared" si="538"/>
        <v>368.83499999999998</v>
      </c>
      <c r="AL340" s="12">
        <f t="shared" si="538"/>
        <v>502.29700000000003</v>
      </c>
      <c r="AM340" s="12">
        <f t="shared" si="538"/>
        <v>494.19400000000002</v>
      </c>
      <c r="AN340" s="12">
        <f t="shared" si="538"/>
        <v>493.36500000000001</v>
      </c>
      <c r="AO340" s="12">
        <f t="shared" si="538"/>
        <v>492.53500000000003</v>
      </c>
      <c r="AP340" s="12">
        <f t="shared" si="538"/>
        <v>491.70499999999998</v>
      </c>
      <c r="AQ340" s="12">
        <f t="shared" si="538"/>
        <v>490.87299999999999</v>
      </c>
      <c r="AR340" s="12">
        <f t="shared" si="538"/>
        <v>490.041</v>
      </c>
      <c r="AS340" s="12">
        <f t="shared" si="538"/>
        <v>506.63099999999991</v>
      </c>
      <c r="AT340" s="12">
        <f t="shared" si="538"/>
        <v>515.47500000000002</v>
      </c>
      <c r="AU340" s="12">
        <f t="shared" si="538"/>
        <v>515.13299999999992</v>
      </c>
      <c r="AV340" s="12">
        <f t="shared" si="538"/>
        <v>513.22600000000011</v>
      </c>
      <c r="AW340" s="12">
        <f t="shared" si="538"/>
        <v>512.56200000000001</v>
      </c>
      <c r="AX340" s="12">
        <f t="shared" si="538"/>
        <v>511.23599999999999</v>
      </c>
      <c r="AY340" s="12">
        <f t="shared" si="538"/>
        <v>510.3214999999999</v>
      </c>
      <c r="AZ340" s="12">
        <f t="shared" si="538"/>
        <v>1302.5220000000002</v>
      </c>
      <c r="BA340" s="12">
        <f t="shared" si="538"/>
        <v>1302.0845000000002</v>
      </c>
      <c r="BB340" s="12">
        <f t="shared" si="538"/>
        <v>1301.6470000000002</v>
      </c>
      <c r="BC340" s="12">
        <f t="shared" si="538"/>
        <v>1301.2095000000002</v>
      </c>
      <c r="BD340" s="12">
        <f t="shared" si="538"/>
        <v>1300.7720000000002</v>
      </c>
      <c r="BE340" s="12">
        <f t="shared" si="538"/>
        <v>1300.3345000000002</v>
      </c>
      <c r="BF340" s="12">
        <f t="shared" si="538"/>
        <v>1299.8970000000002</v>
      </c>
      <c r="BG340" s="12">
        <f t="shared" si="538"/>
        <v>1299.4595000000002</v>
      </c>
      <c r="BH340" s="12">
        <f t="shared" si="538"/>
        <v>1299.0220000000002</v>
      </c>
      <c r="BI340" s="12">
        <f t="shared" si="538"/>
        <v>1298.5845000000002</v>
      </c>
      <c r="BJ340" s="12">
        <f t="shared" si="538"/>
        <v>1298.1470000000002</v>
      </c>
      <c r="BK340" s="1"/>
      <c r="BL340" s="1"/>
      <c r="BM340" s="23">
        <f t="shared" si="525"/>
        <v>334</v>
      </c>
    </row>
    <row r="341" spans="1:65" ht="12.75" hidden="1" customHeight="1" outlineLevel="2">
      <c r="A341" s="118"/>
      <c r="B341" s="129" t="s">
        <v>360</v>
      </c>
      <c r="C341" s="1"/>
      <c r="D341" s="1"/>
      <c r="E341" s="1"/>
      <c r="F341" s="1"/>
      <c r="G341" s="12">
        <f>INDEX($S341:$AH341,G$6)</f>
        <v>0</v>
      </c>
      <c r="H341" s="12">
        <f t="shared" si="534"/>
        <v>0</v>
      </c>
      <c r="I341" s="12">
        <f t="shared" si="534"/>
        <v>0</v>
      </c>
      <c r="J341" s="12">
        <f t="shared" si="534"/>
        <v>0</v>
      </c>
      <c r="K341" s="12">
        <f t="shared" si="532"/>
        <v>0</v>
      </c>
      <c r="L341" s="12">
        <f t="shared" si="532"/>
        <v>0</v>
      </c>
      <c r="M341" s="12">
        <f t="shared" si="532"/>
        <v>0</v>
      </c>
      <c r="N341" s="12">
        <f t="shared" si="532"/>
        <v>0</v>
      </c>
      <c r="O341" s="12">
        <f t="shared" si="532"/>
        <v>0</v>
      </c>
      <c r="P341" s="12">
        <f t="shared" si="532"/>
        <v>0</v>
      </c>
      <c r="Q341" s="12">
        <f t="shared" si="532"/>
        <v>0</v>
      </c>
      <c r="R341" s="51"/>
      <c r="S341" s="1"/>
      <c r="T341" s="1"/>
      <c r="U341" s="1"/>
      <c r="V341" s="109">
        <v>0</v>
      </c>
      <c r="W341" s="109"/>
      <c r="X341" s="109"/>
      <c r="Y341" s="109"/>
      <c r="Z341" s="109">
        <v>0</v>
      </c>
      <c r="AA341" s="109">
        <v>0</v>
      </c>
      <c r="AB341" s="109">
        <v>0</v>
      </c>
      <c r="AC341" s="109">
        <v>0</v>
      </c>
      <c r="AD341" s="109">
        <v>0</v>
      </c>
      <c r="AE341" s="109">
        <v>10.551</v>
      </c>
      <c r="AF341" s="109">
        <v>6.8659999999999997</v>
      </c>
      <c r="AG341" s="109">
        <v>0</v>
      </c>
      <c r="AH341" s="109">
        <v>0</v>
      </c>
      <c r="AI341" s="109">
        <v>0</v>
      </c>
      <c r="AJ341" s="109">
        <v>0</v>
      </c>
      <c r="AK341" s="109">
        <v>0</v>
      </c>
      <c r="AL341" s="109">
        <v>0</v>
      </c>
      <c r="AM341" s="109">
        <v>0</v>
      </c>
      <c r="AN341" s="109">
        <v>0</v>
      </c>
      <c r="AO341" s="109">
        <v>0</v>
      </c>
      <c r="AP341" s="109">
        <v>0</v>
      </c>
      <c r="AQ341" s="109">
        <v>0</v>
      </c>
      <c r="AR341" s="109">
        <v>0</v>
      </c>
      <c r="AS341" s="109">
        <v>0</v>
      </c>
      <c r="AT341" s="147">
        <v>0</v>
      </c>
      <c r="AU341" s="147">
        <v>0</v>
      </c>
      <c r="AV341" s="147">
        <v>0</v>
      </c>
      <c r="AW341" s="147">
        <v>0</v>
      </c>
      <c r="AX341" s="147">
        <v>0</v>
      </c>
      <c r="AY341" s="139">
        <f t="shared" ref="AY341:BJ341" si="539">MIN(AY332,AY349)</f>
        <v>0</v>
      </c>
      <c r="AZ341" s="139">
        <f t="shared" si="539"/>
        <v>0</v>
      </c>
      <c r="BA341" s="139">
        <f t="shared" si="539"/>
        <v>0</v>
      </c>
      <c r="BB341" s="139">
        <f t="shared" si="539"/>
        <v>0</v>
      </c>
      <c r="BC341" s="139">
        <f t="shared" si="539"/>
        <v>0</v>
      </c>
      <c r="BD341" s="139">
        <f t="shared" si="539"/>
        <v>0</v>
      </c>
      <c r="BE341" s="139">
        <f t="shared" si="539"/>
        <v>0</v>
      </c>
      <c r="BF341" s="139">
        <f t="shared" si="539"/>
        <v>0</v>
      </c>
      <c r="BG341" s="139">
        <f t="shared" si="539"/>
        <v>0</v>
      </c>
      <c r="BH341" s="139">
        <f t="shared" si="539"/>
        <v>0</v>
      </c>
      <c r="BI341" s="139">
        <f t="shared" si="539"/>
        <v>0</v>
      </c>
      <c r="BJ341" s="139">
        <f t="shared" si="539"/>
        <v>0</v>
      </c>
      <c r="BK341" s="1"/>
      <c r="BL341" s="1"/>
      <c r="BM341" s="23">
        <f t="shared" si="525"/>
        <v>335</v>
      </c>
    </row>
    <row r="342" spans="1:65" ht="12.75" hidden="1" customHeight="1" outlineLevel="2">
      <c r="A342" s="118"/>
      <c r="B342" s="145" t="s">
        <v>95</v>
      </c>
      <c r="C342" s="1"/>
      <c r="D342" s="1"/>
      <c r="E342" s="1"/>
      <c r="F342" s="1"/>
      <c r="G342" s="12">
        <f>+G340+G341</f>
        <v>238.44200000000001</v>
      </c>
      <c r="H342" s="12">
        <f t="shared" si="534"/>
        <v>261.78900000000004</v>
      </c>
      <c r="I342" s="12">
        <f t="shared" si="534"/>
        <v>255.42500000000001</v>
      </c>
      <c r="J342" s="12">
        <f t="shared" si="534"/>
        <v>371.45100000000002</v>
      </c>
      <c r="K342" s="12">
        <f t="shared" si="532"/>
        <v>502.29700000000003</v>
      </c>
      <c r="L342" s="12">
        <f t="shared" si="532"/>
        <v>491.70499999999998</v>
      </c>
      <c r="M342" s="12">
        <f t="shared" si="532"/>
        <v>515.47500000000002</v>
      </c>
      <c r="N342" s="12">
        <f t="shared" si="532"/>
        <v>511.23599999999999</v>
      </c>
      <c r="O342" s="12">
        <f t="shared" si="532"/>
        <v>1301.6470000000002</v>
      </c>
      <c r="P342" s="12">
        <f t="shared" si="532"/>
        <v>1299.8970000000002</v>
      </c>
      <c r="Q342" s="12">
        <f t="shared" si="532"/>
        <v>1298.1470000000002</v>
      </c>
      <c r="R342" s="51"/>
      <c r="S342" s="1"/>
      <c r="T342" s="1"/>
      <c r="U342" s="1"/>
      <c r="V342" s="12">
        <f t="shared" ref="V342:BB342" si="540">+V340+V341</f>
        <v>238.44200000000001</v>
      </c>
      <c r="W342" s="12">
        <f t="shared" si="540"/>
        <v>0</v>
      </c>
      <c r="X342" s="12">
        <f t="shared" si="540"/>
        <v>0</v>
      </c>
      <c r="Y342" s="12">
        <f t="shared" si="540"/>
        <v>0</v>
      </c>
      <c r="Z342" s="12">
        <f t="shared" si="540"/>
        <v>261.78900000000004</v>
      </c>
      <c r="AA342" s="12">
        <f t="shared" si="540"/>
        <v>261.18100000000004</v>
      </c>
      <c r="AB342" s="12">
        <f t="shared" si="540"/>
        <v>260.57300000000004</v>
      </c>
      <c r="AC342" s="12">
        <f t="shared" si="540"/>
        <v>259.964</v>
      </c>
      <c r="AD342" s="12">
        <f t="shared" si="540"/>
        <v>255.42500000000001</v>
      </c>
      <c r="AE342" s="12">
        <f t="shared" si="540"/>
        <v>265.36799999999999</v>
      </c>
      <c r="AF342" s="12">
        <f t="shared" si="540"/>
        <v>261.07400000000001</v>
      </c>
      <c r="AG342" s="12">
        <f t="shared" si="540"/>
        <v>372.322</v>
      </c>
      <c r="AH342" s="12">
        <f t="shared" si="540"/>
        <v>371.45100000000002</v>
      </c>
      <c r="AI342" s="12">
        <f t="shared" si="540"/>
        <v>370.57900000000001</v>
      </c>
      <c r="AJ342" s="12">
        <f t="shared" si="540"/>
        <v>369.70699999999999</v>
      </c>
      <c r="AK342" s="12">
        <f t="shared" si="540"/>
        <v>368.83499999999998</v>
      </c>
      <c r="AL342" s="12">
        <f t="shared" si="540"/>
        <v>502.29700000000003</v>
      </c>
      <c r="AM342" s="12">
        <f t="shared" si="540"/>
        <v>494.19400000000002</v>
      </c>
      <c r="AN342" s="12">
        <f t="shared" si="540"/>
        <v>493.36500000000001</v>
      </c>
      <c r="AO342" s="12">
        <f t="shared" si="540"/>
        <v>492.53500000000003</v>
      </c>
      <c r="AP342" s="12">
        <f t="shared" si="540"/>
        <v>491.70499999999998</v>
      </c>
      <c r="AQ342" s="12">
        <f t="shared" si="540"/>
        <v>490.87299999999999</v>
      </c>
      <c r="AR342" s="12">
        <f t="shared" si="540"/>
        <v>490.041</v>
      </c>
      <c r="AS342" s="12">
        <f t="shared" si="540"/>
        <v>506.63099999999991</v>
      </c>
      <c r="AT342" s="12">
        <f t="shared" si="540"/>
        <v>515.47500000000002</v>
      </c>
      <c r="AU342" s="12">
        <f>+AU340+AU341</f>
        <v>515.13299999999992</v>
      </c>
      <c r="AV342" s="12">
        <f>+AV340+AV341</f>
        <v>513.22600000000011</v>
      </c>
      <c r="AW342" s="12">
        <f>+AW340+AW341</f>
        <v>512.56200000000001</v>
      </c>
      <c r="AX342" s="12">
        <f>+AX340+AX341</f>
        <v>511.23599999999999</v>
      </c>
      <c r="AY342" s="12">
        <f t="shared" si="540"/>
        <v>510.3214999999999</v>
      </c>
      <c r="AZ342" s="12">
        <f t="shared" si="540"/>
        <v>1302.5220000000002</v>
      </c>
      <c r="BA342" s="12">
        <f t="shared" si="540"/>
        <v>1302.0845000000002</v>
      </c>
      <c r="BB342" s="12">
        <f t="shared" si="540"/>
        <v>1301.6470000000002</v>
      </c>
      <c r="BC342" s="12">
        <f t="shared" ref="BC342:BJ342" si="541">+BC340+BC341</f>
        <v>1301.2095000000002</v>
      </c>
      <c r="BD342" s="12">
        <f t="shared" si="541"/>
        <v>1300.7720000000002</v>
      </c>
      <c r="BE342" s="12">
        <f t="shared" si="541"/>
        <v>1300.3345000000002</v>
      </c>
      <c r="BF342" s="12">
        <f t="shared" si="541"/>
        <v>1299.8970000000002</v>
      </c>
      <c r="BG342" s="12">
        <f t="shared" si="541"/>
        <v>1299.4595000000002</v>
      </c>
      <c r="BH342" s="12">
        <f t="shared" si="541"/>
        <v>1299.0220000000002</v>
      </c>
      <c r="BI342" s="12">
        <f t="shared" si="541"/>
        <v>1298.5845000000002</v>
      </c>
      <c r="BJ342" s="12">
        <f t="shared" si="541"/>
        <v>1298.1470000000002</v>
      </c>
      <c r="BK342" s="1"/>
      <c r="BL342" s="1"/>
      <c r="BM342" s="23">
        <f t="shared" si="525"/>
        <v>336</v>
      </c>
    </row>
    <row r="343" spans="1:65" ht="12.75" hidden="1" customHeight="1" outlineLevel="2">
      <c r="A343" s="118"/>
      <c r="B343" s="129"/>
      <c r="C343" s="1"/>
      <c r="D343" s="1"/>
      <c r="E343" s="1"/>
      <c r="F343" s="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51"/>
      <c r="S343" s="1"/>
      <c r="T343" s="1"/>
      <c r="U343" s="1"/>
      <c r="V343" s="12"/>
      <c r="W343" s="12"/>
      <c r="X343" s="12"/>
      <c r="Y343" s="12"/>
      <c r="Z343" s="12"/>
      <c r="AA343" s="12"/>
      <c r="AB343" s="12"/>
      <c r="AC343" s="12"/>
      <c r="AD343" s="12"/>
      <c r="AE343" s="12"/>
      <c r="AF343" s="12"/>
      <c r="AG343" s="12"/>
      <c r="AH343" s="12"/>
      <c r="AI343" s="12"/>
      <c r="AJ343" s="12"/>
      <c r="AK343" s="12"/>
      <c r="AL343" s="12"/>
      <c r="AM343" s="12"/>
      <c r="AN343" s="12"/>
      <c r="AO343" s="12"/>
      <c r="AP343" s="12"/>
      <c r="AQ343" s="12"/>
      <c r="AR343" s="12"/>
      <c r="AS343" s="12"/>
      <c r="AT343" s="12"/>
      <c r="AU343" s="12"/>
      <c r="AV343" s="12"/>
      <c r="AW343" s="12"/>
      <c r="AX343" s="12"/>
      <c r="AY343" s="12"/>
      <c r="AZ343" s="12"/>
      <c r="BA343" s="12"/>
      <c r="BB343" s="12"/>
      <c r="BC343" s="12"/>
      <c r="BD343" s="12"/>
      <c r="BE343" s="12"/>
      <c r="BF343" s="12"/>
      <c r="BG343" s="12"/>
      <c r="BH343" s="12"/>
      <c r="BI343" s="12"/>
      <c r="BJ343" s="12"/>
      <c r="BK343" s="1"/>
      <c r="BL343" s="1"/>
      <c r="BM343" s="23">
        <f t="shared" si="525"/>
        <v>337</v>
      </c>
    </row>
    <row r="344" spans="1:65" ht="12.75" hidden="1" customHeight="1" outlineLevel="2">
      <c r="A344" s="118"/>
      <c r="B344" s="129" t="s">
        <v>357</v>
      </c>
      <c r="C344" s="1"/>
      <c r="D344" s="1"/>
      <c r="E344" s="1"/>
      <c r="F344" s="1"/>
      <c r="G344" s="12"/>
      <c r="H344" s="12">
        <f t="shared" ref="H344:Q344" si="542">H270</f>
        <v>6.3639999999999999</v>
      </c>
      <c r="I344" s="12">
        <f t="shared" si="542"/>
        <v>2.4329999999999998</v>
      </c>
      <c r="J344" s="12">
        <f t="shared" si="542"/>
        <v>3.488</v>
      </c>
      <c r="K344" s="12">
        <f t="shared" si="542"/>
        <v>4.718</v>
      </c>
      <c r="L344" s="12">
        <f t="shared" si="542"/>
        <v>3.33</v>
      </c>
      <c r="M344" s="12">
        <f t="shared" si="542"/>
        <v>7.0579999999999998</v>
      </c>
      <c r="N344" s="12">
        <f t="shared" si="542"/>
        <v>4.5039999999999996</v>
      </c>
      <c r="O344" s="12">
        <f t="shared" si="542"/>
        <v>1.75</v>
      </c>
      <c r="P344" s="12">
        <f t="shared" si="542"/>
        <v>1.75</v>
      </c>
      <c r="Q344" s="12">
        <f t="shared" si="542"/>
        <v>1.75</v>
      </c>
      <c r="R344" s="51"/>
      <c r="S344" s="1"/>
      <c r="T344" s="1"/>
      <c r="U344" s="1"/>
      <c r="V344" s="12"/>
      <c r="W344" s="12"/>
      <c r="X344" s="12"/>
      <c r="Y344" s="12"/>
      <c r="Z344" s="12"/>
      <c r="AA344" s="12"/>
      <c r="AB344" s="12"/>
      <c r="AC344" s="12"/>
      <c r="AD344" s="12"/>
      <c r="AE344" s="12"/>
      <c r="AF344" s="12"/>
      <c r="AG344" s="12"/>
      <c r="AH344" s="12"/>
      <c r="AI344" s="12">
        <f t="shared" ref="AI344:AX344" si="543">AI270</f>
        <v>3.4889999999999999</v>
      </c>
      <c r="AJ344" s="12">
        <f t="shared" si="543"/>
        <v>3.4889999999999999</v>
      </c>
      <c r="AK344" s="12">
        <f t="shared" si="543"/>
        <v>3.49</v>
      </c>
      <c r="AL344" s="12">
        <f t="shared" si="543"/>
        <v>4.718</v>
      </c>
      <c r="AM344" s="12">
        <f t="shared" si="543"/>
        <v>3.3210000000000002</v>
      </c>
      <c r="AN344" s="12">
        <f t="shared" si="543"/>
        <v>3.3239999999999998</v>
      </c>
      <c r="AO344" s="12">
        <f t="shared" si="543"/>
        <v>3.327</v>
      </c>
      <c r="AP344" s="12">
        <f t="shared" si="543"/>
        <v>3.33</v>
      </c>
      <c r="AQ344" s="12">
        <f t="shared" si="543"/>
        <v>3.3330000000000002</v>
      </c>
      <c r="AR344" s="12">
        <f t="shared" si="543"/>
        <v>3.3359999999999999</v>
      </c>
      <c r="AS344" s="12">
        <f t="shared" si="543"/>
        <v>6.7450000000000001</v>
      </c>
      <c r="AT344" s="12">
        <f t="shared" si="543"/>
        <v>7.0579999999999998</v>
      </c>
      <c r="AU344" s="12">
        <f t="shared" si="543"/>
        <v>7.2240000000000002</v>
      </c>
      <c r="AV344" s="12">
        <f t="shared" si="543"/>
        <v>6.7930000000000001</v>
      </c>
      <c r="AW344" s="12">
        <f t="shared" si="543"/>
        <v>5.8250000000000002</v>
      </c>
      <c r="AX344" s="12">
        <f t="shared" si="543"/>
        <v>4.5039999999999996</v>
      </c>
      <c r="AY344" s="246">
        <v>5</v>
      </c>
      <c r="AZ344" s="12">
        <f t="shared" ref="AZ344:BF344" si="544">-SUM(BA356:BD356)</f>
        <v>1.75</v>
      </c>
      <c r="BA344" s="12">
        <f t="shared" si="544"/>
        <v>1.75</v>
      </c>
      <c r="BB344" s="12">
        <f t="shared" si="544"/>
        <v>1.75</v>
      </c>
      <c r="BC344" s="12">
        <f t="shared" si="544"/>
        <v>1.75</v>
      </c>
      <c r="BD344" s="12">
        <f t="shared" si="544"/>
        <v>1.75</v>
      </c>
      <c r="BE344" s="12">
        <f t="shared" si="544"/>
        <v>1.75</v>
      </c>
      <c r="BF344" s="12">
        <f t="shared" si="544"/>
        <v>1.75</v>
      </c>
      <c r="BG344" s="246">
        <f>BF344</f>
        <v>1.75</v>
      </c>
      <c r="BH344" s="246">
        <f>BG344</f>
        <v>1.75</v>
      </c>
      <c r="BI344" s="246">
        <f>BH344</f>
        <v>1.75</v>
      </c>
      <c r="BJ344" s="246">
        <f>BI344</f>
        <v>1.75</v>
      </c>
      <c r="BK344" s="1"/>
      <c r="BL344" s="1"/>
      <c r="BM344" s="23">
        <f t="shared" si="525"/>
        <v>338</v>
      </c>
    </row>
    <row r="345" spans="1:65" ht="12.75" hidden="1" customHeight="1" outlineLevel="2">
      <c r="A345" s="118"/>
      <c r="B345" s="129" t="s">
        <v>81</v>
      </c>
      <c r="C345" s="1"/>
      <c r="D345" s="1"/>
      <c r="E345" s="1"/>
      <c r="F345" s="1"/>
      <c r="G345" s="12"/>
      <c r="H345" s="12">
        <f t="shared" ref="H345:Q345" si="545">H273</f>
        <v>255.42500000000001</v>
      </c>
      <c r="I345" s="12">
        <f t="shared" si="545"/>
        <v>252.99199999999999</v>
      </c>
      <c r="J345" s="12">
        <f t="shared" si="545"/>
        <v>367.96300000000002</v>
      </c>
      <c r="K345" s="12">
        <f t="shared" si="545"/>
        <v>497.57900000000001</v>
      </c>
      <c r="L345" s="12">
        <f t="shared" si="545"/>
        <v>488.375</v>
      </c>
      <c r="M345" s="12">
        <f t="shared" si="545"/>
        <v>508.41699999999997</v>
      </c>
      <c r="N345" s="12">
        <f t="shared" si="545"/>
        <v>506.73200000000003</v>
      </c>
      <c r="O345" s="12">
        <f t="shared" si="545"/>
        <v>1299.8970000000002</v>
      </c>
      <c r="P345" s="12">
        <f t="shared" si="545"/>
        <v>1298.1470000000002</v>
      </c>
      <c r="Q345" s="12">
        <f t="shared" si="545"/>
        <v>1296.3970000000002</v>
      </c>
      <c r="R345" s="51"/>
      <c r="S345" s="1"/>
      <c r="T345" s="1"/>
      <c r="U345" s="1"/>
      <c r="V345" s="12"/>
      <c r="W345" s="12"/>
      <c r="X345" s="12"/>
      <c r="Y345" s="12"/>
      <c r="Z345" s="12"/>
      <c r="AA345" s="12"/>
      <c r="AB345" s="12"/>
      <c r="AC345" s="12"/>
      <c r="AD345" s="12"/>
      <c r="AE345" s="12"/>
      <c r="AF345" s="12"/>
      <c r="AG345" s="12"/>
      <c r="AH345" s="12"/>
      <c r="AI345" s="12">
        <f t="shared" ref="AI345:AX345" si="546">AI273</f>
        <v>367.09</v>
      </c>
      <c r="AJ345" s="12">
        <f t="shared" si="546"/>
        <v>366.21800000000002</v>
      </c>
      <c r="AK345" s="12">
        <f t="shared" si="546"/>
        <v>365.34500000000003</v>
      </c>
      <c r="AL345" s="12">
        <f t="shared" si="546"/>
        <v>497.57900000000001</v>
      </c>
      <c r="AM345" s="12">
        <f t="shared" si="546"/>
        <v>490.87299999999999</v>
      </c>
      <c r="AN345" s="12">
        <f t="shared" si="546"/>
        <v>490.041</v>
      </c>
      <c r="AO345" s="12">
        <f t="shared" si="546"/>
        <v>489.20800000000003</v>
      </c>
      <c r="AP345" s="12">
        <f t="shared" si="546"/>
        <v>488.375</v>
      </c>
      <c r="AQ345" s="12">
        <f t="shared" si="546"/>
        <v>487.54</v>
      </c>
      <c r="AR345" s="12">
        <f t="shared" si="546"/>
        <v>486.70499999999998</v>
      </c>
      <c r="AS345" s="12">
        <f t="shared" si="546"/>
        <v>499.88600000000002</v>
      </c>
      <c r="AT345" s="12">
        <f t="shared" si="546"/>
        <v>508.41699999999997</v>
      </c>
      <c r="AU345" s="12">
        <f t="shared" si="546"/>
        <v>507.90899999999999</v>
      </c>
      <c r="AV345" s="12">
        <f t="shared" si="546"/>
        <v>506.43299999999999</v>
      </c>
      <c r="AW345" s="12">
        <f t="shared" si="546"/>
        <v>506.73700000000002</v>
      </c>
      <c r="AX345" s="12">
        <f t="shared" si="546"/>
        <v>506.73200000000003</v>
      </c>
      <c r="AY345" s="12">
        <f>+AY342-AY344</f>
        <v>505.3214999999999</v>
      </c>
      <c r="AZ345" s="12">
        <f>+AZ342-AZ344</f>
        <v>1300.7720000000002</v>
      </c>
      <c r="BA345" s="12">
        <f>+BA342-BA344</f>
        <v>1300.3345000000002</v>
      </c>
      <c r="BB345" s="12">
        <f>+BB342-BB344</f>
        <v>1299.8970000000002</v>
      </c>
      <c r="BC345" s="12">
        <f t="shared" ref="BC345:BJ345" si="547">+BC342-BC344</f>
        <v>1299.4595000000002</v>
      </c>
      <c r="BD345" s="12">
        <f t="shared" si="547"/>
        <v>1299.0220000000002</v>
      </c>
      <c r="BE345" s="12">
        <f t="shared" si="547"/>
        <v>1298.5845000000002</v>
      </c>
      <c r="BF345" s="12">
        <f t="shared" si="547"/>
        <v>1298.1470000000002</v>
      </c>
      <c r="BG345" s="12">
        <f t="shared" si="547"/>
        <v>1297.7095000000002</v>
      </c>
      <c r="BH345" s="12">
        <f t="shared" si="547"/>
        <v>1297.2720000000002</v>
      </c>
      <c r="BI345" s="12">
        <f t="shared" si="547"/>
        <v>1296.8345000000002</v>
      </c>
      <c r="BJ345" s="12">
        <f t="shared" si="547"/>
        <v>1296.3970000000002</v>
      </c>
      <c r="BK345" s="1"/>
      <c r="BL345" s="1"/>
      <c r="BM345" s="23">
        <f t="shared" si="525"/>
        <v>339</v>
      </c>
    </row>
    <row r="346" spans="1:65" ht="12.75" hidden="1" customHeight="1" outlineLevel="2">
      <c r="A346" s="118"/>
      <c r="B346" s="129"/>
      <c r="C346" s="1"/>
      <c r="D346" s="1"/>
      <c r="E346" s="1"/>
      <c r="F346" s="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51"/>
      <c r="S346" s="1"/>
      <c r="T346" s="1"/>
      <c r="U346" s="1"/>
      <c r="V346" s="12"/>
      <c r="W346" s="12"/>
      <c r="X346" s="12"/>
      <c r="Y346" s="12"/>
      <c r="Z346" s="12"/>
      <c r="AA346" s="12"/>
      <c r="AB346" s="12"/>
      <c r="AC346" s="12"/>
      <c r="AD346" s="12"/>
      <c r="AE346" s="12"/>
      <c r="AF346" s="12"/>
      <c r="AG346" s="12"/>
      <c r="AH346" s="12"/>
      <c r="AI346" s="12"/>
      <c r="AJ346" s="12"/>
      <c r="AK346" s="12"/>
      <c r="AL346" s="12"/>
      <c r="AM346" s="12"/>
      <c r="AN346" s="12"/>
      <c r="AO346" s="12"/>
      <c r="AP346" s="12"/>
      <c r="AQ346" s="12"/>
      <c r="AR346" s="12"/>
      <c r="AS346" s="12"/>
      <c r="AT346" s="12"/>
      <c r="AU346" s="12"/>
      <c r="AV346" s="12"/>
      <c r="AW346" s="12"/>
      <c r="AX346" s="12"/>
      <c r="AY346" s="12"/>
      <c r="AZ346" s="12"/>
      <c r="BA346" s="12"/>
      <c r="BB346" s="12"/>
      <c r="BC346" s="12"/>
      <c r="BD346" s="12"/>
      <c r="BE346" s="12"/>
      <c r="BF346" s="12"/>
      <c r="BG346" s="12"/>
      <c r="BH346" s="12"/>
      <c r="BI346" s="12"/>
      <c r="BJ346" s="12"/>
      <c r="BK346" s="1"/>
      <c r="BL346" s="1"/>
      <c r="BM346" s="23">
        <f t="shared" si="525"/>
        <v>340</v>
      </c>
    </row>
    <row r="347" spans="1:65" ht="12.75" hidden="1" customHeight="1" outlineLevel="2">
      <c r="A347" s="118"/>
      <c r="B347" s="145" t="s">
        <v>349</v>
      </c>
      <c r="C347" s="1"/>
      <c r="D347" s="1"/>
      <c r="E347" s="1"/>
      <c r="F347" s="1"/>
      <c r="G347" s="12"/>
      <c r="H347" s="12">
        <f t="shared" ref="H347:J351" si="548">INDEX($S347:$AH347,H$6)</f>
        <v>0</v>
      </c>
      <c r="I347" s="12">
        <f t="shared" si="548"/>
        <v>0</v>
      </c>
      <c r="J347" s="12">
        <f t="shared" si="548"/>
        <v>0</v>
      </c>
      <c r="K347" s="12">
        <f t="shared" ref="K347:Q351" si="549">INDEX($S347:$BK347,K$6)</f>
        <v>50</v>
      </c>
      <c r="L347" s="12">
        <f t="shared" si="549"/>
        <v>50</v>
      </c>
      <c r="M347" s="12">
        <f t="shared" si="549"/>
        <v>50</v>
      </c>
      <c r="N347" s="12">
        <f t="shared" si="549"/>
        <v>50</v>
      </c>
      <c r="O347" s="12">
        <f t="shared" si="549"/>
        <v>100</v>
      </c>
      <c r="P347" s="12">
        <f t="shared" si="549"/>
        <v>100</v>
      </c>
      <c r="Q347" s="12">
        <f t="shared" si="549"/>
        <v>100</v>
      </c>
      <c r="R347" s="51"/>
      <c r="S347" s="1"/>
      <c r="T347" s="1"/>
      <c r="U347" s="1"/>
      <c r="V347" s="12"/>
      <c r="W347" s="12"/>
      <c r="X347" s="12"/>
      <c r="Y347" s="12"/>
      <c r="Z347" s="12"/>
      <c r="AA347" s="12"/>
      <c r="AB347" s="12"/>
      <c r="AC347" s="12"/>
      <c r="AD347" s="12"/>
      <c r="AE347" s="12"/>
      <c r="AF347" s="12"/>
      <c r="AG347" s="12"/>
      <c r="AH347" s="12"/>
      <c r="AI347" s="109">
        <v>50</v>
      </c>
      <c r="AJ347" s="109">
        <v>50</v>
      </c>
      <c r="AK347" s="109">
        <v>50</v>
      </c>
      <c r="AL347" s="109">
        <v>50</v>
      </c>
      <c r="AM347" s="109">
        <v>50</v>
      </c>
      <c r="AN347" s="109">
        <v>50</v>
      </c>
      <c r="AO347" s="109">
        <v>50</v>
      </c>
      <c r="AP347" s="109">
        <v>50</v>
      </c>
      <c r="AQ347" s="109">
        <v>50</v>
      </c>
      <c r="AR347" s="109">
        <v>50</v>
      </c>
      <c r="AS347" s="109">
        <v>50</v>
      </c>
      <c r="AT347" s="109">
        <v>50</v>
      </c>
      <c r="AU347" s="109">
        <v>50</v>
      </c>
      <c r="AV347" s="109">
        <v>50</v>
      </c>
      <c r="AW347" s="109">
        <v>50</v>
      </c>
      <c r="AX347" s="109">
        <v>50</v>
      </c>
      <c r="AY347" s="109">
        <v>50</v>
      </c>
      <c r="AZ347" s="148">
        <v>100</v>
      </c>
      <c r="BA347" s="226">
        <f t="shared" ref="BA347:BJ347" si="550">AZ347</f>
        <v>100</v>
      </c>
      <c r="BB347" s="226">
        <f t="shared" si="550"/>
        <v>100</v>
      </c>
      <c r="BC347" s="226">
        <f t="shared" si="550"/>
        <v>100</v>
      </c>
      <c r="BD347" s="226">
        <f t="shared" si="550"/>
        <v>100</v>
      </c>
      <c r="BE347" s="226">
        <f t="shared" si="550"/>
        <v>100</v>
      </c>
      <c r="BF347" s="226">
        <f t="shared" si="550"/>
        <v>100</v>
      </c>
      <c r="BG347" s="226">
        <f t="shared" si="550"/>
        <v>100</v>
      </c>
      <c r="BH347" s="226">
        <f t="shared" si="550"/>
        <v>100</v>
      </c>
      <c r="BI347" s="226">
        <f t="shared" si="550"/>
        <v>100</v>
      </c>
      <c r="BJ347" s="226">
        <f t="shared" si="550"/>
        <v>100</v>
      </c>
      <c r="BK347" s="1"/>
      <c r="BL347" s="1"/>
      <c r="BM347" s="23">
        <f t="shared" si="525"/>
        <v>341</v>
      </c>
    </row>
    <row r="348" spans="1:65" ht="12.75" hidden="1" customHeight="1" outlineLevel="2">
      <c r="A348" s="118"/>
      <c r="B348" s="129" t="s">
        <v>353</v>
      </c>
      <c r="C348" s="1"/>
      <c r="D348" s="1"/>
      <c r="E348" s="1"/>
      <c r="F348" s="1"/>
      <c r="G348" s="12"/>
      <c r="H348" s="12">
        <f t="shared" si="548"/>
        <v>0</v>
      </c>
      <c r="I348" s="12">
        <f t="shared" si="548"/>
        <v>0</v>
      </c>
      <c r="J348" s="12">
        <f t="shared" si="548"/>
        <v>0</v>
      </c>
      <c r="K348" s="12">
        <f t="shared" si="549"/>
        <v>-3.2</v>
      </c>
      <c r="L348" s="12">
        <f t="shared" si="549"/>
        <v>-3.3</v>
      </c>
      <c r="M348" s="12">
        <f t="shared" si="549"/>
        <v>-4</v>
      </c>
      <c r="N348" s="12">
        <f t="shared" si="549"/>
        <v>-4.5</v>
      </c>
      <c r="O348" s="12">
        <f t="shared" si="549"/>
        <v>-4.5</v>
      </c>
      <c r="P348" s="12">
        <f t="shared" si="549"/>
        <v>-4.5</v>
      </c>
      <c r="Q348" s="12">
        <f t="shared" si="549"/>
        <v>-4.5</v>
      </c>
      <c r="R348" s="51"/>
      <c r="S348" s="1"/>
      <c r="T348" s="1"/>
      <c r="U348" s="1"/>
      <c r="V348" s="12"/>
      <c r="W348" s="12"/>
      <c r="X348" s="12"/>
      <c r="Y348" s="12"/>
      <c r="Z348" s="12"/>
      <c r="AA348" s="12"/>
      <c r="AB348" s="12"/>
      <c r="AC348" s="12"/>
      <c r="AD348" s="12"/>
      <c r="AE348" s="12"/>
      <c r="AF348" s="12"/>
      <c r="AG348" s="12"/>
      <c r="AH348" s="12"/>
      <c r="AI348" s="109">
        <v>-3.5</v>
      </c>
      <c r="AJ348" s="109">
        <v>-3.3</v>
      </c>
      <c r="AK348" s="109">
        <v>-3</v>
      </c>
      <c r="AL348" s="109">
        <v>-3.2</v>
      </c>
      <c r="AM348" s="109">
        <v>-3.1</v>
      </c>
      <c r="AN348" s="109">
        <v>-3.1</v>
      </c>
      <c r="AO348" s="109">
        <v>-3.1</v>
      </c>
      <c r="AP348" s="109">
        <v>-3.3</v>
      </c>
      <c r="AQ348" s="109">
        <v>-3.3</v>
      </c>
      <c r="AR348" s="109">
        <v>-3.3</v>
      </c>
      <c r="AS348" s="109">
        <v>-4</v>
      </c>
      <c r="AT348" s="109">
        <v>-4</v>
      </c>
      <c r="AU348" s="109">
        <v>-4</v>
      </c>
      <c r="AV348" s="109">
        <v>-4</v>
      </c>
      <c r="AW348" s="109">
        <v>-4.8</v>
      </c>
      <c r="AX348" s="109">
        <v>-4.5</v>
      </c>
      <c r="AY348" s="109">
        <f>AX348</f>
        <v>-4.5</v>
      </c>
      <c r="AZ348" s="109">
        <f>AY348</f>
        <v>-4.5</v>
      </c>
      <c r="BA348" s="109">
        <f>AZ348</f>
        <v>-4.5</v>
      </c>
      <c r="BB348" s="109">
        <f>BA348</f>
        <v>-4.5</v>
      </c>
      <c r="BC348" s="109">
        <f t="shared" ref="BC348:BJ348" si="551">BB348</f>
        <v>-4.5</v>
      </c>
      <c r="BD348" s="109">
        <f t="shared" si="551"/>
        <v>-4.5</v>
      </c>
      <c r="BE348" s="109">
        <f t="shared" si="551"/>
        <v>-4.5</v>
      </c>
      <c r="BF348" s="109">
        <f t="shared" si="551"/>
        <v>-4.5</v>
      </c>
      <c r="BG348" s="109">
        <f t="shared" si="551"/>
        <v>-4.5</v>
      </c>
      <c r="BH348" s="109">
        <f t="shared" si="551"/>
        <v>-4.5</v>
      </c>
      <c r="BI348" s="109">
        <f t="shared" si="551"/>
        <v>-4.5</v>
      </c>
      <c r="BJ348" s="109">
        <f t="shared" si="551"/>
        <v>-4.5</v>
      </c>
      <c r="BK348" s="1"/>
      <c r="BL348" s="1"/>
      <c r="BM348" s="23">
        <f t="shared" si="525"/>
        <v>342</v>
      </c>
    </row>
    <row r="349" spans="1:65" ht="12.75" hidden="1" customHeight="1" outlineLevel="2">
      <c r="A349" s="118"/>
      <c r="B349" s="145" t="s">
        <v>355</v>
      </c>
      <c r="C349" s="1"/>
      <c r="D349" s="1"/>
      <c r="E349" s="1"/>
      <c r="F349" s="1"/>
      <c r="G349" s="12"/>
      <c r="H349" s="12">
        <f t="shared" si="548"/>
        <v>0</v>
      </c>
      <c r="I349" s="12">
        <f t="shared" si="548"/>
        <v>0</v>
      </c>
      <c r="J349" s="12">
        <f t="shared" si="548"/>
        <v>0</v>
      </c>
      <c r="K349" s="12">
        <f t="shared" si="549"/>
        <v>46.8</v>
      </c>
      <c r="L349" s="12">
        <f t="shared" si="549"/>
        <v>46.7</v>
      </c>
      <c r="M349" s="12">
        <f t="shared" si="549"/>
        <v>46</v>
      </c>
      <c r="N349" s="12">
        <f t="shared" si="549"/>
        <v>45.5</v>
      </c>
      <c r="O349" s="12">
        <f t="shared" si="549"/>
        <v>95.5</v>
      </c>
      <c r="P349" s="12">
        <f t="shared" si="549"/>
        <v>95.5</v>
      </c>
      <c r="Q349" s="12">
        <f t="shared" si="549"/>
        <v>95.5</v>
      </c>
      <c r="R349" s="51"/>
      <c r="S349" s="1"/>
      <c r="T349" s="1"/>
      <c r="U349" s="1"/>
      <c r="V349" s="12"/>
      <c r="W349" s="12"/>
      <c r="X349" s="12"/>
      <c r="Y349" s="12"/>
      <c r="Z349" s="12"/>
      <c r="AA349" s="12"/>
      <c r="AB349" s="12"/>
      <c r="AC349" s="12"/>
      <c r="AD349" s="12"/>
      <c r="AE349" s="12"/>
      <c r="AF349" s="12"/>
      <c r="AG349" s="12"/>
      <c r="AH349" s="12"/>
      <c r="AI349" s="12">
        <f t="shared" ref="AI349:AO349" si="552">+AI347+AI348</f>
        <v>46.5</v>
      </c>
      <c r="AJ349" s="12">
        <f t="shared" si="552"/>
        <v>46.7</v>
      </c>
      <c r="AK349" s="12">
        <f t="shared" si="552"/>
        <v>47</v>
      </c>
      <c r="AL349" s="12">
        <f t="shared" si="552"/>
        <v>46.8</v>
      </c>
      <c r="AM349" s="12">
        <f t="shared" si="552"/>
        <v>46.9</v>
      </c>
      <c r="AN349" s="12">
        <f t="shared" si="552"/>
        <v>46.9</v>
      </c>
      <c r="AO349" s="12">
        <f t="shared" si="552"/>
        <v>46.9</v>
      </c>
      <c r="AP349" s="12">
        <f t="shared" ref="AP349:AU349" si="553">+AP347+AP348</f>
        <v>46.7</v>
      </c>
      <c r="AQ349" s="12">
        <f t="shared" si="553"/>
        <v>46.7</v>
      </c>
      <c r="AR349" s="12">
        <f t="shared" si="553"/>
        <v>46.7</v>
      </c>
      <c r="AS349" s="12">
        <f t="shared" si="553"/>
        <v>46</v>
      </c>
      <c r="AT349" s="12">
        <f t="shared" si="553"/>
        <v>46</v>
      </c>
      <c r="AU349" s="12">
        <f t="shared" si="553"/>
        <v>46</v>
      </c>
      <c r="AV349" s="12">
        <f t="shared" ref="AV349:BB349" si="554">+AV347+AV348</f>
        <v>46</v>
      </c>
      <c r="AW349" s="12">
        <f t="shared" si="554"/>
        <v>45.2</v>
      </c>
      <c r="AX349" s="12">
        <f>+AX347+AX348</f>
        <v>45.5</v>
      </c>
      <c r="AY349" s="12">
        <f t="shared" si="554"/>
        <v>45.5</v>
      </c>
      <c r="AZ349" s="12">
        <f t="shared" si="554"/>
        <v>95.5</v>
      </c>
      <c r="BA349" s="12">
        <f t="shared" si="554"/>
        <v>95.5</v>
      </c>
      <c r="BB349" s="12">
        <f t="shared" si="554"/>
        <v>95.5</v>
      </c>
      <c r="BC349" s="12">
        <f t="shared" ref="BC349:BJ349" si="555">+BC347+BC348</f>
        <v>95.5</v>
      </c>
      <c r="BD349" s="12">
        <f t="shared" si="555"/>
        <v>95.5</v>
      </c>
      <c r="BE349" s="12">
        <f t="shared" si="555"/>
        <v>95.5</v>
      </c>
      <c r="BF349" s="12">
        <f t="shared" si="555"/>
        <v>95.5</v>
      </c>
      <c r="BG349" s="12">
        <f t="shared" si="555"/>
        <v>95.5</v>
      </c>
      <c r="BH349" s="12">
        <f t="shared" si="555"/>
        <v>95.5</v>
      </c>
      <c r="BI349" s="12">
        <f t="shared" si="555"/>
        <v>95.5</v>
      </c>
      <c r="BJ349" s="12">
        <f t="shared" si="555"/>
        <v>95.5</v>
      </c>
      <c r="BK349" s="1"/>
      <c r="BL349" s="1"/>
      <c r="BM349" s="23">
        <f t="shared" si="525"/>
        <v>343</v>
      </c>
    </row>
    <row r="350" spans="1:65" ht="12.75" hidden="1" customHeight="1" outlineLevel="2">
      <c r="A350" s="118"/>
      <c r="B350" s="145" t="s">
        <v>350</v>
      </c>
      <c r="C350" s="1"/>
      <c r="D350" s="1"/>
      <c r="E350" s="1"/>
      <c r="F350" s="1"/>
      <c r="G350" s="12"/>
      <c r="H350" s="12">
        <f t="shared" si="548"/>
        <v>0</v>
      </c>
      <c r="I350" s="12">
        <f t="shared" si="548"/>
        <v>0</v>
      </c>
      <c r="J350" s="12">
        <f t="shared" si="548"/>
        <v>0</v>
      </c>
      <c r="K350" s="12">
        <f t="shared" si="549"/>
        <v>46.8</v>
      </c>
      <c r="L350" s="12">
        <f t="shared" si="549"/>
        <v>46.7</v>
      </c>
      <c r="M350" s="12">
        <f t="shared" si="549"/>
        <v>46</v>
      </c>
      <c r="N350" s="12">
        <f t="shared" si="549"/>
        <v>45.5</v>
      </c>
      <c r="O350" s="12">
        <f t="shared" si="549"/>
        <v>95.5</v>
      </c>
      <c r="P350" s="12">
        <f t="shared" si="549"/>
        <v>95.5</v>
      </c>
      <c r="Q350" s="12">
        <f t="shared" si="549"/>
        <v>95.5</v>
      </c>
      <c r="R350" s="51"/>
      <c r="S350" s="1"/>
      <c r="T350" s="1"/>
      <c r="U350" s="1"/>
      <c r="V350" s="12"/>
      <c r="W350" s="12"/>
      <c r="X350" s="12"/>
      <c r="Y350" s="12"/>
      <c r="Z350" s="12"/>
      <c r="AA350" s="12"/>
      <c r="AB350" s="12"/>
      <c r="AC350" s="12"/>
      <c r="AD350" s="12"/>
      <c r="AE350" s="12"/>
      <c r="AF350" s="12"/>
      <c r="AG350" s="12"/>
      <c r="AH350" s="12"/>
      <c r="AI350" s="12">
        <f t="shared" ref="AI350:BB350" si="556">+AI349-AI341</f>
        <v>46.5</v>
      </c>
      <c r="AJ350" s="12">
        <f t="shared" si="556"/>
        <v>46.7</v>
      </c>
      <c r="AK350" s="12">
        <f t="shared" si="556"/>
        <v>47</v>
      </c>
      <c r="AL350" s="12">
        <f t="shared" si="556"/>
        <v>46.8</v>
      </c>
      <c r="AM350" s="12">
        <f t="shared" si="556"/>
        <v>46.9</v>
      </c>
      <c r="AN350" s="12">
        <f t="shared" si="556"/>
        <v>46.9</v>
      </c>
      <c r="AO350" s="12">
        <f t="shared" si="556"/>
        <v>46.9</v>
      </c>
      <c r="AP350" s="12">
        <f t="shared" ref="AP350:AU350" si="557">+AP349-AP341</f>
        <v>46.7</v>
      </c>
      <c r="AQ350" s="12">
        <f t="shared" si="557"/>
        <v>46.7</v>
      </c>
      <c r="AR350" s="12">
        <f t="shared" si="557"/>
        <v>46.7</v>
      </c>
      <c r="AS350" s="12">
        <f t="shared" si="557"/>
        <v>46</v>
      </c>
      <c r="AT350" s="12">
        <f t="shared" si="557"/>
        <v>46</v>
      </c>
      <c r="AU350" s="12">
        <f t="shared" si="557"/>
        <v>46</v>
      </c>
      <c r="AV350" s="12">
        <f>+AV349-AV341</f>
        <v>46</v>
      </c>
      <c r="AW350" s="12">
        <f>+AW349-AW341</f>
        <v>45.2</v>
      </c>
      <c r="AX350" s="12">
        <f>+AX349-AX341</f>
        <v>45.5</v>
      </c>
      <c r="AY350" s="12">
        <f t="shared" si="556"/>
        <v>45.5</v>
      </c>
      <c r="AZ350" s="12">
        <f t="shared" si="556"/>
        <v>95.5</v>
      </c>
      <c r="BA350" s="12">
        <f t="shared" si="556"/>
        <v>95.5</v>
      </c>
      <c r="BB350" s="12">
        <f t="shared" si="556"/>
        <v>95.5</v>
      </c>
      <c r="BC350" s="12">
        <f t="shared" ref="BC350:BJ350" si="558">+BC349-BC341</f>
        <v>95.5</v>
      </c>
      <c r="BD350" s="12">
        <f t="shared" si="558"/>
        <v>95.5</v>
      </c>
      <c r="BE350" s="12">
        <f t="shared" si="558"/>
        <v>95.5</v>
      </c>
      <c r="BF350" s="12">
        <f t="shared" si="558"/>
        <v>95.5</v>
      </c>
      <c r="BG350" s="12">
        <f t="shared" si="558"/>
        <v>95.5</v>
      </c>
      <c r="BH350" s="12">
        <f t="shared" si="558"/>
        <v>95.5</v>
      </c>
      <c r="BI350" s="12">
        <f t="shared" si="558"/>
        <v>95.5</v>
      </c>
      <c r="BJ350" s="12">
        <f t="shared" si="558"/>
        <v>95.5</v>
      </c>
      <c r="BK350" s="1"/>
      <c r="BL350" s="1"/>
      <c r="BM350" s="23">
        <f t="shared" si="525"/>
        <v>344</v>
      </c>
    </row>
    <row r="351" spans="1:65" ht="12.75" hidden="1" customHeight="1" outlineLevel="2">
      <c r="A351" s="118"/>
      <c r="B351" s="145" t="s">
        <v>366</v>
      </c>
      <c r="C351" s="1"/>
      <c r="D351" s="1"/>
      <c r="E351" s="1"/>
      <c r="F351" s="1"/>
      <c r="G351" s="12"/>
      <c r="H351" s="12">
        <f t="shared" si="548"/>
        <v>0</v>
      </c>
      <c r="I351" s="12">
        <f t="shared" si="548"/>
        <v>0</v>
      </c>
      <c r="J351" s="12">
        <f t="shared" si="548"/>
        <v>0</v>
      </c>
      <c r="K351" s="12">
        <f t="shared" si="549"/>
        <v>389.22399999999999</v>
      </c>
      <c r="L351" s="12">
        <f t="shared" si="549"/>
        <v>345.62599999999998</v>
      </c>
      <c r="M351" s="12">
        <f t="shared" si="549"/>
        <v>757.22500000000002</v>
      </c>
      <c r="N351" s="12">
        <f t="shared" si="549"/>
        <v>430.06700000000001</v>
      </c>
      <c r="O351" s="12">
        <f t="shared" si="549"/>
        <v>542.30557873835471</v>
      </c>
      <c r="P351" s="12">
        <f t="shared" si="549"/>
        <v>864.58576379123963</v>
      </c>
      <c r="Q351" s="12">
        <f t="shared" si="549"/>
        <v>1220.633210732203</v>
      </c>
      <c r="R351" s="51"/>
      <c r="S351" s="1"/>
      <c r="T351" s="1"/>
      <c r="U351" s="1"/>
      <c r="V351" s="12"/>
      <c r="W351" s="12"/>
      <c r="X351" s="12"/>
      <c r="Y351" s="12"/>
      <c r="Z351" s="12"/>
      <c r="AA351" s="12"/>
      <c r="AB351" s="12"/>
      <c r="AC351" s="12"/>
      <c r="AD351" s="12"/>
      <c r="AE351" s="12"/>
      <c r="AF351" s="12"/>
      <c r="AG351" s="12"/>
      <c r="AH351" s="12"/>
      <c r="AI351" s="12">
        <f t="shared" ref="AI351:BJ351" si="559">+AI252+AI350</f>
        <v>207.268</v>
      </c>
      <c r="AJ351" s="12">
        <f t="shared" si="559"/>
        <v>227.77499999999998</v>
      </c>
      <c r="AK351" s="12">
        <f t="shared" si="559"/>
        <v>243.863</v>
      </c>
      <c r="AL351" s="12">
        <f t="shared" si="559"/>
        <v>389.22399999999999</v>
      </c>
      <c r="AM351" s="12">
        <f t="shared" si="559"/>
        <v>374.70799999999997</v>
      </c>
      <c r="AN351" s="12">
        <f t="shared" si="559"/>
        <v>369.12799999999999</v>
      </c>
      <c r="AO351" s="12">
        <f t="shared" si="559"/>
        <v>346.67199999999997</v>
      </c>
      <c r="AP351" s="12">
        <f t="shared" si="559"/>
        <v>345.62599999999998</v>
      </c>
      <c r="AQ351" s="12">
        <f t="shared" si="559"/>
        <v>516.93499999999995</v>
      </c>
      <c r="AR351" s="12">
        <f t="shared" si="559"/>
        <v>500.90800000000002</v>
      </c>
      <c r="AS351" s="12">
        <f t="shared" si="559"/>
        <v>310.06</v>
      </c>
      <c r="AT351" s="12">
        <f t="shared" si="559"/>
        <v>757.22500000000002</v>
      </c>
      <c r="AU351" s="12">
        <f t="shared" si="559"/>
        <v>706.90300000000002</v>
      </c>
      <c r="AV351" s="12">
        <f t="shared" si="559"/>
        <v>644.53499999999997</v>
      </c>
      <c r="AW351" s="12">
        <f t="shared" si="559"/>
        <v>508.84999999999997</v>
      </c>
      <c r="AX351" s="12">
        <f t="shared" si="559"/>
        <v>430.06700000000001</v>
      </c>
      <c r="AY351" s="12">
        <f t="shared" si="559"/>
        <v>403.3799366390059</v>
      </c>
      <c r="AZ351" s="12">
        <f t="shared" si="559"/>
        <v>447.87199689331351</v>
      </c>
      <c r="BA351" s="12">
        <f t="shared" si="559"/>
        <v>470.70841201830484</v>
      </c>
      <c r="BB351" s="12">
        <f t="shared" si="559"/>
        <v>542.30557873835471</v>
      </c>
      <c r="BC351" s="12">
        <f t="shared" si="559"/>
        <v>627.13986953708513</v>
      </c>
      <c r="BD351" s="12">
        <f t="shared" si="559"/>
        <v>708.95717754343275</v>
      </c>
      <c r="BE351" s="12">
        <f t="shared" si="559"/>
        <v>788.02181762223654</v>
      </c>
      <c r="BF351" s="12">
        <f t="shared" si="559"/>
        <v>864.58576379123963</v>
      </c>
      <c r="BG351" s="12">
        <f t="shared" si="559"/>
        <v>942.22960476123512</v>
      </c>
      <c r="BH351" s="12">
        <f t="shared" si="559"/>
        <v>1033.5980955421885</v>
      </c>
      <c r="BI351" s="12">
        <f t="shared" si="559"/>
        <v>1127.2189475700775</v>
      </c>
      <c r="BJ351" s="12">
        <f t="shared" si="559"/>
        <v>1220.633210732203</v>
      </c>
      <c r="BK351" s="1"/>
      <c r="BL351" s="1"/>
      <c r="BM351" s="23">
        <f t="shared" si="525"/>
        <v>345</v>
      </c>
    </row>
    <row r="352" spans="1:65" ht="12.75" hidden="1" customHeight="1" outlineLevel="2">
      <c r="A352" s="118"/>
      <c r="B352" s="145"/>
      <c r="C352" s="1"/>
      <c r="D352" s="1"/>
      <c r="E352" s="1"/>
      <c r="F352" s="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51"/>
      <c r="S352" s="1"/>
      <c r="T352" s="1"/>
      <c r="U352" s="1"/>
      <c r="V352" s="12"/>
      <c r="W352" s="12"/>
      <c r="X352" s="12"/>
      <c r="Y352" s="12"/>
      <c r="Z352" s="12"/>
      <c r="AA352" s="12"/>
      <c r="AB352" s="12"/>
      <c r="AC352" s="12"/>
      <c r="AD352" s="12"/>
      <c r="AE352" s="12"/>
      <c r="AF352" s="12"/>
      <c r="AG352" s="12"/>
      <c r="AH352" s="12"/>
      <c r="AI352" s="12"/>
      <c r="AJ352" s="12"/>
      <c r="AK352" s="12"/>
      <c r="AL352" s="12"/>
      <c r="AM352" s="12"/>
      <c r="AN352" s="12"/>
      <c r="AO352" s="12"/>
      <c r="AP352" s="12"/>
      <c r="AQ352" s="12"/>
      <c r="AR352" s="12"/>
      <c r="AS352" s="12"/>
      <c r="AT352" s="12"/>
      <c r="AU352" s="12"/>
      <c r="AV352" s="12"/>
      <c r="AW352" s="12"/>
      <c r="AX352" s="12"/>
      <c r="AY352" s="12"/>
      <c r="AZ352" s="12"/>
      <c r="BA352" s="12"/>
      <c r="BB352" s="12"/>
      <c r="BC352" s="12"/>
      <c r="BD352" s="12"/>
      <c r="BE352" s="12"/>
      <c r="BF352" s="12"/>
      <c r="BG352" s="12"/>
      <c r="BH352" s="12"/>
      <c r="BI352" s="12"/>
      <c r="BJ352" s="12"/>
      <c r="BK352" s="1"/>
      <c r="BL352" s="1"/>
      <c r="BM352" s="23">
        <f t="shared" si="525"/>
        <v>346</v>
      </c>
    </row>
    <row r="353" spans="1:65" ht="12.75" hidden="1" customHeight="1" outlineLevel="2">
      <c r="A353" s="118"/>
      <c r="B353" s="145" t="s">
        <v>351</v>
      </c>
      <c r="C353" s="1"/>
      <c r="D353" s="1"/>
      <c r="E353" s="1"/>
      <c r="F353" s="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51"/>
      <c r="S353" s="1"/>
      <c r="T353" s="1"/>
      <c r="U353" s="1"/>
      <c r="V353" s="12"/>
      <c r="W353" s="12"/>
      <c r="X353" s="12"/>
      <c r="Y353" s="12"/>
      <c r="Z353" s="12"/>
      <c r="AA353" s="12"/>
      <c r="AB353" s="12"/>
      <c r="AC353" s="12"/>
      <c r="AD353" s="12"/>
      <c r="AE353" s="12"/>
      <c r="AF353" s="12"/>
      <c r="AG353" s="12"/>
      <c r="AH353" s="12"/>
      <c r="AI353" s="12"/>
      <c r="AJ353" s="12"/>
      <c r="AK353" s="12"/>
      <c r="AL353" s="12"/>
      <c r="AM353" s="12"/>
      <c r="AN353" s="12"/>
      <c r="AO353" s="12"/>
      <c r="AP353" s="12"/>
      <c r="AQ353" s="12"/>
      <c r="AR353" s="12"/>
      <c r="AS353" s="12"/>
      <c r="AT353" s="12"/>
      <c r="AU353" s="12"/>
      <c r="AV353" s="12"/>
      <c r="AW353" s="12"/>
      <c r="AX353" s="12"/>
      <c r="AY353" s="12"/>
      <c r="AZ353" s="12"/>
      <c r="BA353" s="12"/>
      <c r="BB353" s="12"/>
      <c r="BC353" s="12"/>
      <c r="BD353" s="12"/>
      <c r="BE353" s="12"/>
      <c r="BF353" s="12"/>
      <c r="BG353" s="12"/>
      <c r="BH353" s="12"/>
      <c r="BI353" s="12"/>
      <c r="BJ353" s="12"/>
      <c r="BK353" s="1"/>
      <c r="BL353" s="1"/>
      <c r="BM353" s="23">
        <f t="shared" si="525"/>
        <v>347</v>
      </c>
    </row>
    <row r="354" spans="1:65" ht="12.75" hidden="1" customHeight="1" outlineLevel="2">
      <c r="A354" s="118"/>
      <c r="B354" s="129" t="s">
        <v>329</v>
      </c>
      <c r="C354" s="1"/>
      <c r="D354" s="1"/>
      <c r="E354" s="1"/>
      <c r="F354" s="1"/>
      <c r="G354" s="12"/>
      <c r="H354" s="12">
        <f t="shared" ref="H354:Q354" si="560">+H335-G335</f>
        <v>94.41500000000002</v>
      </c>
      <c r="I354" s="12">
        <f t="shared" si="560"/>
        <v>-2.4320000000000164</v>
      </c>
      <c r="J354" s="12">
        <f t="shared" si="560"/>
        <v>116.02600000000001</v>
      </c>
      <c r="K354" s="12">
        <f t="shared" si="560"/>
        <v>132.92399999999998</v>
      </c>
      <c r="L354" s="12">
        <f t="shared" si="560"/>
        <v>-5.1000000000000227</v>
      </c>
      <c r="M354" s="12">
        <f t="shared" si="560"/>
        <v>-5.0999999999999659</v>
      </c>
      <c r="N354" s="12">
        <f t="shared" si="560"/>
        <v>-5.1000000000000227</v>
      </c>
      <c r="O354" s="12">
        <f t="shared" si="560"/>
        <v>790.92499999999995</v>
      </c>
      <c r="P354" s="12">
        <f t="shared" si="560"/>
        <v>0</v>
      </c>
      <c r="Q354" s="12">
        <f t="shared" si="560"/>
        <v>0</v>
      </c>
      <c r="R354" s="51"/>
      <c r="S354" s="1"/>
      <c r="T354" s="1"/>
      <c r="U354" s="1"/>
      <c r="V354" s="12"/>
      <c r="W354" s="12"/>
      <c r="X354" s="12"/>
      <c r="Y354" s="12"/>
      <c r="Z354" s="12">
        <f t="shared" ref="Z354:BJ354" si="561">+Z335-Y335</f>
        <v>257.85700000000003</v>
      </c>
      <c r="AA354" s="12">
        <f t="shared" si="561"/>
        <v>-0.60800000000000409</v>
      </c>
      <c r="AB354" s="12">
        <f t="shared" si="561"/>
        <v>-0.60800000000000409</v>
      </c>
      <c r="AC354" s="12">
        <f t="shared" si="561"/>
        <v>-0.60900000000003729</v>
      </c>
      <c r="AD354" s="12">
        <f t="shared" si="561"/>
        <v>-0.6069999999999709</v>
      </c>
      <c r="AE354" s="12">
        <f t="shared" si="561"/>
        <v>-0.60800000000000409</v>
      </c>
      <c r="AF354" s="12">
        <f t="shared" si="561"/>
        <v>-0.60900000000000887</v>
      </c>
      <c r="AG354" s="12">
        <f t="shared" si="561"/>
        <v>118.114</v>
      </c>
      <c r="AH354" s="12">
        <f t="shared" si="561"/>
        <v>-0.8709999999999809</v>
      </c>
      <c r="AI354" s="12">
        <f t="shared" si="561"/>
        <v>0.73699999999996635</v>
      </c>
      <c r="AJ354" s="12">
        <f t="shared" si="561"/>
        <v>-0.93799999999998818</v>
      </c>
      <c r="AK354" s="12">
        <f t="shared" si="561"/>
        <v>-0.93700000000001182</v>
      </c>
      <c r="AL354" s="12">
        <f t="shared" si="561"/>
        <v>134.06200000000001</v>
      </c>
      <c r="AM354" s="12">
        <f t="shared" si="561"/>
        <v>-1.2749999999999773</v>
      </c>
      <c r="AN354" s="12">
        <f t="shared" si="561"/>
        <v>-1.2750000000000341</v>
      </c>
      <c r="AO354" s="12">
        <f t="shared" si="561"/>
        <v>-1.2749999999999773</v>
      </c>
      <c r="AP354" s="12">
        <f t="shared" si="561"/>
        <v>-1.2750000000000341</v>
      </c>
      <c r="AQ354" s="12">
        <f t="shared" si="561"/>
        <v>-1.2749999999999773</v>
      </c>
      <c r="AR354" s="12">
        <f t="shared" si="561"/>
        <v>-1.2749999999999773</v>
      </c>
      <c r="AS354" s="12">
        <f t="shared" si="561"/>
        <v>-1.2750000000000341</v>
      </c>
      <c r="AT354" s="12">
        <f t="shared" si="561"/>
        <v>-1.2749999999999773</v>
      </c>
      <c r="AU354" s="12">
        <f t="shared" si="561"/>
        <v>-1.2750000000000341</v>
      </c>
      <c r="AV354" s="12">
        <f t="shared" si="561"/>
        <v>-1.2749999999999773</v>
      </c>
      <c r="AW354" s="12">
        <f t="shared" si="561"/>
        <v>-1.2749999999999773</v>
      </c>
      <c r="AX354" s="12">
        <f t="shared" si="561"/>
        <v>-1.2750000000000341</v>
      </c>
      <c r="AY354" s="12">
        <f t="shared" si="561"/>
        <v>-1.2749999999999773</v>
      </c>
      <c r="AZ354" s="12">
        <f t="shared" si="561"/>
        <v>792.2</v>
      </c>
      <c r="BA354" s="12">
        <f t="shared" si="561"/>
        <v>0</v>
      </c>
      <c r="BB354" s="12">
        <f t="shared" si="561"/>
        <v>0</v>
      </c>
      <c r="BC354" s="12">
        <f t="shared" si="561"/>
        <v>0</v>
      </c>
      <c r="BD354" s="12">
        <f t="shared" si="561"/>
        <v>0</v>
      </c>
      <c r="BE354" s="12">
        <f t="shared" si="561"/>
        <v>0</v>
      </c>
      <c r="BF354" s="12">
        <f t="shared" si="561"/>
        <v>0</v>
      </c>
      <c r="BG354" s="12">
        <f t="shared" si="561"/>
        <v>0</v>
      </c>
      <c r="BH354" s="12">
        <f t="shared" si="561"/>
        <v>0</v>
      </c>
      <c r="BI354" s="12">
        <f t="shared" si="561"/>
        <v>0</v>
      </c>
      <c r="BJ354" s="12">
        <f t="shared" si="561"/>
        <v>0</v>
      </c>
      <c r="BK354" s="1"/>
      <c r="BL354" s="1"/>
      <c r="BM354" s="23">
        <f t="shared" si="525"/>
        <v>348</v>
      </c>
    </row>
    <row r="355" spans="1:65" ht="12.75" hidden="1" customHeight="1" outlineLevel="2">
      <c r="A355" s="118"/>
      <c r="B355" s="129" t="s">
        <v>330</v>
      </c>
      <c r="C355" s="1"/>
      <c r="D355" s="1"/>
      <c r="E355" s="1"/>
      <c r="F355" s="1"/>
      <c r="G355" s="12"/>
      <c r="H355" s="12">
        <f t="shared" ref="H355:Q355" si="562">+H336-G336</f>
        <v>-71.067999999999998</v>
      </c>
      <c r="I355" s="12">
        <f t="shared" si="562"/>
        <v>-3.9319999999999999</v>
      </c>
      <c r="J355" s="12">
        <f t="shared" si="562"/>
        <v>0</v>
      </c>
      <c r="K355" s="12">
        <f t="shared" si="562"/>
        <v>0</v>
      </c>
      <c r="L355" s="12">
        <f t="shared" si="562"/>
        <v>0</v>
      </c>
      <c r="M355" s="12">
        <f t="shared" si="562"/>
        <v>0</v>
      </c>
      <c r="N355" s="12">
        <f t="shared" si="562"/>
        <v>0</v>
      </c>
      <c r="O355" s="12">
        <f t="shared" si="562"/>
        <v>0</v>
      </c>
      <c r="P355" s="12">
        <f t="shared" si="562"/>
        <v>0</v>
      </c>
      <c r="Q355" s="12">
        <f t="shared" si="562"/>
        <v>0</v>
      </c>
      <c r="R355" s="51"/>
      <c r="S355" s="1"/>
      <c r="T355" s="1"/>
      <c r="U355" s="1"/>
      <c r="V355" s="12"/>
      <c r="W355" s="12"/>
      <c r="X355" s="12"/>
      <c r="Y355" s="12"/>
      <c r="Z355" s="12">
        <f t="shared" ref="Z355:BJ355" si="563">+Z336-Y336</f>
        <v>3.9319999999999999</v>
      </c>
      <c r="AA355" s="12">
        <f t="shared" si="563"/>
        <v>0</v>
      </c>
      <c r="AB355" s="12">
        <f t="shared" si="563"/>
        <v>0</v>
      </c>
      <c r="AC355" s="12">
        <f t="shared" si="563"/>
        <v>0</v>
      </c>
      <c r="AD355" s="12">
        <f t="shared" si="563"/>
        <v>-3.9319999999999999</v>
      </c>
      <c r="AE355" s="12">
        <f t="shared" si="563"/>
        <v>0</v>
      </c>
      <c r="AF355" s="12">
        <f t="shared" si="563"/>
        <v>0</v>
      </c>
      <c r="AG355" s="12">
        <f t="shared" si="563"/>
        <v>0</v>
      </c>
      <c r="AH355" s="12">
        <f t="shared" si="563"/>
        <v>0</v>
      </c>
      <c r="AI355" s="12">
        <f t="shared" si="563"/>
        <v>0</v>
      </c>
      <c r="AJ355" s="12">
        <f t="shared" si="563"/>
        <v>0</v>
      </c>
      <c r="AK355" s="12">
        <f t="shared" si="563"/>
        <v>0</v>
      </c>
      <c r="AL355" s="12">
        <f t="shared" si="563"/>
        <v>0</v>
      </c>
      <c r="AM355" s="12">
        <f t="shared" si="563"/>
        <v>0</v>
      </c>
      <c r="AN355" s="12">
        <f t="shared" si="563"/>
        <v>0</v>
      </c>
      <c r="AO355" s="12">
        <f t="shared" si="563"/>
        <v>0</v>
      </c>
      <c r="AP355" s="12">
        <f t="shared" si="563"/>
        <v>0</v>
      </c>
      <c r="AQ355" s="12">
        <f t="shared" si="563"/>
        <v>0</v>
      </c>
      <c r="AR355" s="12">
        <f t="shared" si="563"/>
        <v>0</v>
      </c>
      <c r="AS355" s="12">
        <f t="shared" si="563"/>
        <v>0</v>
      </c>
      <c r="AT355" s="12">
        <f t="shared" si="563"/>
        <v>0</v>
      </c>
      <c r="AU355" s="12">
        <f t="shared" si="563"/>
        <v>0</v>
      </c>
      <c r="AV355" s="12">
        <f t="shared" si="563"/>
        <v>0</v>
      </c>
      <c r="AW355" s="12">
        <f t="shared" si="563"/>
        <v>0</v>
      </c>
      <c r="AX355" s="12">
        <f t="shared" si="563"/>
        <v>0</v>
      </c>
      <c r="AY355" s="12">
        <f t="shared" si="563"/>
        <v>0</v>
      </c>
      <c r="AZ355" s="12">
        <f t="shared" si="563"/>
        <v>0</v>
      </c>
      <c r="BA355" s="12">
        <f t="shared" si="563"/>
        <v>0</v>
      </c>
      <c r="BB355" s="12">
        <f t="shared" si="563"/>
        <v>0</v>
      </c>
      <c r="BC355" s="12">
        <f t="shared" si="563"/>
        <v>0</v>
      </c>
      <c r="BD355" s="12">
        <f t="shared" si="563"/>
        <v>0</v>
      </c>
      <c r="BE355" s="12">
        <f t="shared" si="563"/>
        <v>0</v>
      </c>
      <c r="BF355" s="12">
        <f t="shared" si="563"/>
        <v>0</v>
      </c>
      <c r="BG355" s="12">
        <f t="shared" si="563"/>
        <v>0</v>
      </c>
      <c r="BH355" s="12">
        <f t="shared" si="563"/>
        <v>0</v>
      </c>
      <c r="BI355" s="12">
        <f t="shared" si="563"/>
        <v>0</v>
      </c>
      <c r="BJ355" s="12">
        <f t="shared" si="563"/>
        <v>0</v>
      </c>
      <c r="BK355" s="1"/>
      <c r="BL355" s="1"/>
      <c r="BM355" s="23">
        <f t="shared" si="525"/>
        <v>349</v>
      </c>
    </row>
    <row r="356" spans="1:65" ht="12.75" hidden="1" customHeight="1" outlineLevel="2">
      <c r="A356" s="118"/>
      <c r="B356" s="145" t="s">
        <v>348</v>
      </c>
      <c r="C356" s="1"/>
      <c r="D356" s="1"/>
      <c r="E356" s="1"/>
      <c r="F356" s="1"/>
      <c r="G356" s="12"/>
      <c r="H356" s="12">
        <f>+H340-G340</f>
        <v>23.347000000000037</v>
      </c>
      <c r="I356" s="12">
        <f t="shared" ref="I356:O356" si="564">+I340-H340</f>
        <v>-6.3640000000000327</v>
      </c>
      <c r="J356" s="12">
        <f t="shared" si="564"/>
        <v>116.02600000000001</v>
      </c>
      <c r="K356" s="12">
        <f t="shared" si="564"/>
        <v>130.846</v>
      </c>
      <c r="L356" s="12">
        <f t="shared" si="564"/>
        <v>-10.592000000000041</v>
      </c>
      <c r="M356" s="12">
        <f t="shared" si="564"/>
        <v>23.770000000000039</v>
      </c>
      <c r="N356" s="12">
        <f t="shared" si="564"/>
        <v>-4.2390000000000327</v>
      </c>
      <c r="O356" s="12">
        <f t="shared" si="564"/>
        <v>790.41100000000017</v>
      </c>
      <c r="P356" s="12">
        <f t="shared" ref="P356:Q358" si="565">+P340-O340</f>
        <v>-1.75</v>
      </c>
      <c r="Q356" s="12">
        <f t="shared" si="565"/>
        <v>-1.75</v>
      </c>
      <c r="R356" s="51"/>
      <c r="S356" s="1"/>
      <c r="T356" s="1"/>
      <c r="U356" s="1"/>
      <c r="V356" s="12"/>
      <c r="W356" s="12"/>
      <c r="X356" s="12"/>
      <c r="Y356" s="12"/>
      <c r="Z356" s="12">
        <f t="shared" ref="Z356:BB356" si="566">+Z340-Y340</f>
        <v>261.78900000000004</v>
      </c>
      <c r="AA356" s="12">
        <f t="shared" si="566"/>
        <v>-0.60800000000000409</v>
      </c>
      <c r="AB356" s="12">
        <f t="shared" si="566"/>
        <v>-0.60800000000000409</v>
      </c>
      <c r="AC356" s="12">
        <f t="shared" si="566"/>
        <v>-0.60900000000003729</v>
      </c>
      <c r="AD356" s="12">
        <f t="shared" si="566"/>
        <v>-4.5389999999999873</v>
      </c>
      <c r="AE356" s="12">
        <f t="shared" si="566"/>
        <v>-0.60800000000000409</v>
      </c>
      <c r="AF356" s="12">
        <f t="shared" si="566"/>
        <v>-0.60900000000000887</v>
      </c>
      <c r="AG356" s="12">
        <f t="shared" si="566"/>
        <v>118.114</v>
      </c>
      <c r="AH356" s="12">
        <f t="shared" si="566"/>
        <v>-0.8709999999999809</v>
      </c>
      <c r="AI356" s="12">
        <f t="shared" si="566"/>
        <v>-0.8720000000000141</v>
      </c>
      <c r="AJ356" s="12">
        <f t="shared" ref="AJ356:AK358" si="567">+AJ340-AI340</f>
        <v>-0.8720000000000141</v>
      </c>
      <c r="AK356" s="12">
        <f t="shared" si="567"/>
        <v>-0.8720000000000141</v>
      </c>
      <c r="AL356" s="12">
        <f t="shared" si="566"/>
        <v>133.46200000000005</v>
      </c>
      <c r="AM356" s="12">
        <f t="shared" si="566"/>
        <v>-8.1030000000000086</v>
      </c>
      <c r="AN356" s="12">
        <f t="shared" si="566"/>
        <v>-0.82900000000000773</v>
      </c>
      <c r="AO356" s="12">
        <f t="shared" si="566"/>
        <v>-0.82999999999998408</v>
      </c>
      <c r="AP356" s="12">
        <f t="shared" si="566"/>
        <v>-0.83000000000004093</v>
      </c>
      <c r="AQ356" s="12">
        <f t="shared" si="566"/>
        <v>-0.83199999999999363</v>
      </c>
      <c r="AR356" s="12">
        <f t="shared" si="566"/>
        <v>-0.83199999999999363</v>
      </c>
      <c r="AS356" s="12">
        <f t="shared" si="566"/>
        <v>16.589999999999918</v>
      </c>
      <c r="AT356" s="12">
        <f t="shared" si="566"/>
        <v>8.8440000000001078</v>
      </c>
      <c r="AU356" s="12">
        <f t="shared" si="566"/>
        <v>-0.34200000000009823</v>
      </c>
      <c r="AV356" s="12">
        <f t="shared" si="566"/>
        <v>-1.9069999999998117</v>
      </c>
      <c r="AW356" s="12">
        <f t="shared" si="566"/>
        <v>-0.66400000000010095</v>
      </c>
      <c r="AX356" s="12">
        <f t="shared" si="566"/>
        <v>-1.3260000000000218</v>
      </c>
      <c r="AY356" s="12">
        <f t="shared" si="566"/>
        <v>-0.91450000000008913</v>
      </c>
      <c r="AZ356" s="12">
        <f t="shared" si="566"/>
        <v>792.20050000000026</v>
      </c>
      <c r="BA356" s="12">
        <f t="shared" si="566"/>
        <v>-0.4375</v>
      </c>
      <c r="BB356" s="12">
        <f t="shared" si="566"/>
        <v>-0.4375</v>
      </c>
      <c r="BC356" s="12">
        <f t="shared" ref="BC356:BJ358" si="568">+BC340-BB340</f>
        <v>-0.4375</v>
      </c>
      <c r="BD356" s="12">
        <f t="shared" si="568"/>
        <v>-0.4375</v>
      </c>
      <c r="BE356" s="12">
        <f t="shared" si="568"/>
        <v>-0.4375</v>
      </c>
      <c r="BF356" s="12">
        <f t="shared" si="568"/>
        <v>-0.4375</v>
      </c>
      <c r="BG356" s="12">
        <f>+BG340-BF340</f>
        <v>-0.4375</v>
      </c>
      <c r="BH356" s="12">
        <f t="shared" si="568"/>
        <v>-0.4375</v>
      </c>
      <c r="BI356" s="12">
        <f t="shared" si="568"/>
        <v>-0.4375</v>
      </c>
      <c r="BJ356" s="12">
        <f t="shared" si="568"/>
        <v>-0.4375</v>
      </c>
      <c r="BK356" s="1"/>
      <c r="BL356" s="1"/>
      <c r="BM356" s="23">
        <f t="shared" si="525"/>
        <v>350</v>
      </c>
    </row>
    <row r="357" spans="1:65" ht="12.75" hidden="1" customHeight="1" outlineLevel="2">
      <c r="A357" s="118"/>
      <c r="B357" s="129" t="s">
        <v>347</v>
      </c>
      <c r="C357" s="1"/>
      <c r="D357" s="1"/>
      <c r="E357" s="1"/>
      <c r="F357" s="1"/>
      <c r="G357" s="12"/>
      <c r="H357" s="12">
        <f>+H341-G341</f>
        <v>0</v>
      </c>
      <c r="I357" s="12">
        <f t="shared" ref="I357:O357" si="569">+I341-H341</f>
        <v>0</v>
      </c>
      <c r="J357" s="12">
        <f t="shared" si="569"/>
        <v>0</v>
      </c>
      <c r="K357" s="12">
        <f t="shared" si="569"/>
        <v>0</v>
      </c>
      <c r="L357" s="12">
        <f t="shared" si="569"/>
        <v>0</v>
      </c>
      <c r="M357" s="12">
        <f t="shared" si="569"/>
        <v>0</v>
      </c>
      <c r="N357" s="12">
        <f t="shared" si="569"/>
        <v>0</v>
      </c>
      <c r="O357" s="12">
        <f t="shared" si="569"/>
        <v>0</v>
      </c>
      <c r="P357" s="12">
        <f t="shared" si="565"/>
        <v>0</v>
      </c>
      <c r="Q357" s="12">
        <f t="shared" si="565"/>
        <v>0</v>
      </c>
      <c r="R357" s="51"/>
      <c r="S357" s="1"/>
      <c r="T357" s="1"/>
      <c r="U357" s="1"/>
      <c r="V357" s="12"/>
      <c r="W357" s="12"/>
      <c r="X357" s="12"/>
      <c r="Y357" s="12"/>
      <c r="Z357" s="12">
        <f t="shared" ref="Z357:BB357" si="570">+Z341-Y341</f>
        <v>0</v>
      </c>
      <c r="AA357" s="12">
        <f t="shared" si="570"/>
        <v>0</v>
      </c>
      <c r="AB357" s="12">
        <f t="shared" si="570"/>
        <v>0</v>
      </c>
      <c r="AC357" s="12">
        <f t="shared" si="570"/>
        <v>0</v>
      </c>
      <c r="AD357" s="12">
        <f t="shared" si="570"/>
        <v>0</v>
      </c>
      <c r="AE357" s="12">
        <f t="shared" si="570"/>
        <v>10.551</v>
      </c>
      <c r="AF357" s="12">
        <f t="shared" si="570"/>
        <v>-3.6850000000000005</v>
      </c>
      <c r="AG357" s="12">
        <f t="shared" si="570"/>
        <v>-6.8659999999999997</v>
      </c>
      <c r="AH357" s="12">
        <f t="shared" si="570"/>
        <v>0</v>
      </c>
      <c r="AI357" s="12">
        <f t="shared" si="570"/>
        <v>0</v>
      </c>
      <c r="AJ357" s="12">
        <f t="shared" si="567"/>
        <v>0</v>
      </c>
      <c r="AK357" s="12">
        <f t="shared" si="567"/>
        <v>0</v>
      </c>
      <c r="AL357" s="12">
        <f t="shared" si="570"/>
        <v>0</v>
      </c>
      <c r="AM357" s="12">
        <f t="shared" si="570"/>
        <v>0</v>
      </c>
      <c r="AN357" s="12">
        <f t="shared" si="570"/>
        <v>0</v>
      </c>
      <c r="AO357" s="12">
        <f t="shared" si="570"/>
        <v>0</v>
      </c>
      <c r="AP357" s="12">
        <f t="shared" si="570"/>
        <v>0</v>
      </c>
      <c r="AQ357" s="12">
        <f t="shared" si="570"/>
        <v>0</v>
      </c>
      <c r="AR357" s="12">
        <f t="shared" si="570"/>
        <v>0</v>
      </c>
      <c r="AS357" s="12">
        <f t="shared" si="570"/>
        <v>0</v>
      </c>
      <c r="AT357" s="12">
        <f t="shared" si="570"/>
        <v>0</v>
      </c>
      <c r="AU357" s="12">
        <f t="shared" si="570"/>
        <v>0</v>
      </c>
      <c r="AV357" s="12">
        <f t="shared" si="570"/>
        <v>0</v>
      </c>
      <c r="AW357" s="12">
        <f t="shared" si="570"/>
        <v>0</v>
      </c>
      <c r="AX357" s="12">
        <f t="shared" si="570"/>
        <v>0</v>
      </c>
      <c r="AY357" s="12">
        <f t="shared" si="570"/>
        <v>0</v>
      </c>
      <c r="AZ357" s="12">
        <f t="shared" si="570"/>
        <v>0</v>
      </c>
      <c r="BA357" s="12">
        <f t="shared" si="570"/>
        <v>0</v>
      </c>
      <c r="BB357" s="12">
        <f t="shared" si="570"/>
        <v>0</v>
      </c>
      <c r="BC357" s="12">
        <f t="shared" si="568"/>
        <v>0</v>
      </c>
      <c r="BD357" s="12">
        <f t="shared" si="568"/>
        <v>0</v>
      </c>
      <c r="BE357" s="12">
        <f t="shared" si="568"/>
        <v>0</v>
      </c>
      <c r="BF357" s="12">
        <f t="shared" si="568"/>
        <v>0</v>
      </c>
      <c r="BG357" s="12">
        <f t="shared" si="568"/>
        <v>0</v>
      </c>
      <c r="BH357" s="12">
        <f t="shared" si="568"/>
        <v>0</v>
      </c>
      <c r="BI357" s="12">
        <f t="shared" si="568"/>
        <v>0</v>
      </c>
      <c r="BJ357" s="12">
        <f t="shared" si="568"/>
        <v>0</v>
      </c>
      <c r="BK357" s="1"/>
      <c r="BL357" s="1"/>
      <c r="BM357" s="23">
        <f t="shared" si="525"/>
        <v>351</v>
      </c>
    </row>
    <row r="358" spans="1:65" ht="12.75" hidden="1" customHeight="1" outlineLevel="2">
      <c r="A358" s="118"/>
      <c r="B358" s="145" t="s">
        <v>95</v>
      </c>
      <c r="C358" s="1"/>
      <c r="D358" s="1"/>
      <c r="E358" s="1"/>
      <c r="F358" s="1"/>
      <c r="G358" s="12"/>
      <c r="H358" s="12">
        <f>+H342-G342</f>
        <v>23.347000000000037</v>
      </c>
      <c r="I358" s="12">
        <f t="shared" ref="I358:O358" si="571">+I342-H342</f>
        <v>-6.3640000000000327</v>
      </c>
      <c r="J358" s="12">
        <f t="shared" si="571"/>
        <v>116.02600000000001</v>
      </c>
      <c r="K358" s="12">
        <f t="shared" si="571"/>
        <v>130.846</v>
      </c>
      <c r="L358" s="12">
        <f t="shared" si="571"/>
        <v>-10.592000000000041</v>
      </c>
      <c r="M358" s="12">
        <f t="shared" si="571"/>
        <v>23.770000000000039</v>
      </c>
      <c r="N358" s="12">
        <f t="shared" si="571"/>
        <v>-4.2390000000000327</v>
      </c>
      <c r="O358" s="12">
        <f t="shared" si="571"/>
        <v>790.41100000000017</v>
      </c>
      <c r="P358" s="12">
        <f t="shared" si="565"/>
        <v>-1.75</v>
      </c>
      <c r="Q358" s="12">
        <f t="shared" si="565"/>
        <v>-1.75</v>
      </c>
      <c r="R358" s="51"/>
      <c r="S358" s="1"/>
      <c r="T358" s="1"/>
      <c r="U358" s="1"/>
      <c r="V358" s="12"/>
      <c r="W358" s="12"/>
      <c r="X358" s="12"/>
      <c r="Y358" s="12"/>
      <c r="Z358" s="12">
        <f t="shared" ref="Z358:BB358" si="572">+Z342-Y342</f>
        <v>261.78900000000004</v>
      </c>
      <c r="AA358" s="12">
        <f t="shared" si="572"/>
        <v>-0.60800000000000409</v>
      </c>
      <c r="AB358" s="12">
        <f t="shared" si="572"/>
        <v>-0.60800000000000409</v>
      </c>
      <c r="AC358" s="12">
        <f t="shared" si="572"/>
        <v>-0.60900000000003729</v>
      </c>
      <c r="AD358" s="12">
        <f t="shared" si="572"/>
        <v>-4.5389999999999873</v>
      </c>
      <c r="AE358" s="12">
        <f t="shared" si="572"/>
        <v>9.9429999999999836</v>
      </c>
      <c r="AF358" s="12">
        <f t="shared" si="572"/>
        <v>-4.2939999999999827</v>
      </c>
      <c r="AG358" s="12">
        <f t="shared" si="572"/>
        <v>111.24799999999999</v>
      </c>
      <c r="AH358" s="12">
        <f t="shared" si="572"/>
        <v>-0.8709999999999809</v>
      </c>
      <c r="AI358" s="12">
        <f t="shared" si="572"/>
        <v>-0.8720000000000141</v>
      </c>
      <c r="AJ358" s="12">
        <f t="shared" si="567"/>
        <v>-0.8720000000000141</v>
      </c>
      <c r="AK358" s="12">
        <f t="shared" si="567"/>
        <v>-0.8720000000000141</v>
      </c>
      <c r="AL358" s="12">
        <f t="shared" si="572"/>
        <v>133.46200000000005</v>
      </c>
      <c r="AM358" s="12">
        <f t="shared" si="572"/>
        <v>-8.1030000000000086</v>
      </c>
      <c r="AN358" s="12">
        <f t="shared" si="572"/>
        <v>-0.82900000000000773</v>
      </c>
      <c r="AO358" s="12">
        <f t="shared" si="572"/>
        <v>-0.82999999999998408</v>
      </c>
      <c r="AP358" s="12">
        <f t="shared" si="572"/>
        <v>-0.83000000000004093</v>
      </c>
      <c r="AQ358" s="12">
        <f t="shared" si="572"/>
        <v>-0.83199999999999363</v>
      </c>
      <c r="AR358" s="12">
        <f t="shared" si="572"/>
        <v>-0.83199999999999363</v>
      </c>
      <c r="AS358" s="12">
        <f t="shared" si="572"/>
        <v>16.589999999999918</v>
      </c>
      <c r="AT358" s="12">
        <f t="shared" si="572"/>
        <v>8.8440000000001078</v>
      </c>
      <c r="AU358" s="12">
        <f t="shared" si="572"/>
        <v>-0.34200000000009823</v>
      </c>
      <c r="AV358" s="12">
        <f t="shared" si="572"/>
        <v>-1.9069999999998117</v>
      </c>
      <c r="AW358" s="12">
        <f t="shared" si="572"/>
        <v>-0.66400000000010095</v>
      </c>
      <c r="AX358" s="12">
        <f t="shared" si="572"/>
        <v>-1.3260000000000218</v>
      </c>
      <c r="AY358" s="12">
        <f t="shared" si="572"/>
        <v>-0.91450000000008913</v>
      </c>
      <c r="AZ358" s="12">
        <f t="shared" si="572"/>
        <v>792.20050000000026</v>
      </c>
      <c r="BA358" s="12">
        <f t="shared" si="572"/>
        <v>-0.4375</v>
      </c>
      <c r="BB358" s="12">
        <f t="shared" si="572"/>
        <v>-0.4375</v>
      </c>
      <c r="BC358" s="12">
        <f t="shared" si="568"/>
        <v>-0.4375</v>
      </c>
      <c r="BD358" s="12">
        <f t="shared" si="568"/>
        <v>-0.4375</v>
      </c>
      <c r="BE358" s="12">
        <f t="shared" si="568"/>
        <v>-0.4375</v>
      </c>
      <c r="BF358" s="12">
        <f t="shared" si="568"/>
        <v>-0.4375</v>
      </c>
      <c r="BG358" s="12">
        <f t="shared" si="568"/>
        <v>-0.4375</v>
      </c>
      <c r="BH358" s="12">
        <f t="shared" si="568"/>
        <v>-0.4375</v>
      </c>
      <c r="BI358" s="12">
        <f t="shared" si="568"/>
        <v>-0.4375</v>
      </c>
      <c r="BJ358" s="12">
        <f t="shared" si="568"/>
        <v>-0.4375</v>
      </c>
      <c r="BK358" s="1"/>
      <c r="BL358" s="1"/>
      <c r="BM358" s="23">
        <f t="shared" si="525"/>
        <v>352</v>
      </c>
    </row>
    <row r="359" spans="1:65" ht="12.75" hidden="1" customHeight="1" outlineLevel="2">
      <c r="A359" s="118"/>
      <c r="B359" s="145"/>
      <c r="C359" s="1"/>
      <c r="D359" s="1"/>
      <c r="E359" s="1"/>
      <c r="F359" s="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51"/>
      <c r="S359" s="1"/>
      <c r="T359" s="1"/>
      <c r="U359" s="1"/>
      <c r="V359" s="12"/>
      <c r="W359" s="12"/>
      <c r="X359" s="12"/>
      <c r="Y359" s="12"/>
      <c r="Z359" s="12"/>
      <c r="AA359" s="12"/>
      <c r="AB359" s="12"/>
      <c r="AC359" s="12"/>
      <c r="AD359" s="12"/>
      <c r="AE359" s="12"/>
      <c r="AF359" s="12"/>
      <c r="AG359" s="12"/>
      <c r="AH359" s="12"/>
      <c r="AI359" s="12"/>
      <c r="AJ359" s="12"/>
      <c r="AK359" s="12"/>
      <c r="AL359" s="12"/>
      <c r="AM359" s="12"/>
      <c r="AN359" s="12"/>
      <c r="AO359" s="12"/>
      <c r="AP359" s="12"/>
      <c r="AQ359" s="12"/>
      <c r="AR359" s="12"/>
      <c r="AS359" s="12"/>
      <c r="AT359" s="12"/>
      <c r="AU359" s="12"/>
      <c r="AV359" s="12"/>
      <c r="AW359" s="12"/>
      <c r="AX359" s="12"/>
      <c r="AY359" s="12"/>
      <c r="AZ359" s="12"/>
      <c r="BA359" s="12"/>
      <c r="BB359" s="12"/>
      <c r="BC359" s="12"/>
      <c r="BD359" s="12"/>
      <c r="BE359" s="12"/>
      <c r="BF359" s="12"/>
      <c r="BG359" s="12"/>
      <c r="BH359" s="12"/>
      <c r="BI359" s="12"/>
      <c r="BJ359" s="12"/>
      <c r="BK359" s="1"/>
      <c r="BL359" s="1"/>
      <c r="BM359" s="23">
        <f t="shared" si="525"/>
        <v>353</v>
      </c>
    </row>
    <row r="360" spans="1:65" ht="12.75" hidden="1" customHeight="1" outlineLevel="2">
      <c r="A360" s="118"/>
      <c r="B360" s="145" t="s">
        <v>352</v>
      </c>
      <c r="C360" s="1"/>
      <c r="D360" s="1"/>
      <c r="E360" s="1"/>
      <c r="F360" s="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51"/>
      <c r="S360" s="1"/>
      <c r="T360" s="1"/>
      <c r="U360" s="1"/>
      <c r="V360" s="12"/>
      <c r="W360" s="12"/>
      <c r="X360" s="12"/>
      <c r="Y360" s="12"/>
      <c r="Z360" s="12"/>
      <c r="AA360" s="12"/>
      <c r="AB360" s="12"/>
      <c r="AC360" s="12"/>
      <c r="AD360" s="12"/>
      <c r="AE360" s="12"/>
      <c r="AF360" s="12"/>
      <c r="AG360" s="12"/>
      <c r="AH360" s="12"/>
      <c r="AI360" s="12"/>
      <c r="AJ360" s="12"/>
      <c r="AK360" s="12"/>
      <c r="AL360" s="12"/>
      <c r="AM360" s="12"/>
      <c r="AN360" s="12"/>
      <c r="AO360" s="12"/>
      <c r="AP360" s="12"/>
      <c r="AQ360" s="12"/>
      <c r="AR360" s="12"/>
      <c r="AS360" s="12"/>
      <c r="AT360" s="12"/>
      <c r="AU360" s="12"/>
      <c r="AV360" s="12"/>
      <c r="AW360" s="12"/>
      <c r="AX360" s="12"/>
      <c r="AY360" s="12"/>
      <c r="AZ360" s="12"/>
      <c r="BA360" s="12"/>
      <c r="BB360" s="12"/>
      <c r="BC360" s="12"/>
      <c r="BD360" s="12"/>
      <c r="BE360" s="12"/>
      <c r="BF360" s="12"/>
      <c r="BG360" s="12"/>
      <c r="BH360" s="12"/>
      <c r="BI360" s="12"/>
      <c r="BJ360" s="12"/>
      <c r="BK360" s="1"/>
      <c r="BL360" s="1"/>
      <c r="BM360" s="23">
        <f t="shared" si="525"/>
        <v>354</v>
      </c>
    </row>
    <row r="361" spans="1:65" ht="12.75" hidden="1" customHeight="1" outlineLevel="2">
      <c r="A361" s="118"/>
      <c r="B361" s="129" t="s">
        <v>362</v>
      </c>
      <c r="C361" s="1"/>
      <c r="D361" s="1"/>
      <c r="E361" s="1"/>
      <c r="F361" s="1"/>
      <c r="G361" s="12"/>
      <c r="H361" s="12">
        <f t="shared" ref="H361:J362" si="573">INDEX($S361:$AH361,H$6)</f>
        <v>0</v>
      </c>
      <c r="I361" s="12">
        <f t="shared" si="573"/>
        <v>0</v>
      </c>
      <c r="J361" s="12">
        <f t="shared" si="573"/>
        <v>0</v>
      </c>
      <c r="K361" s="12">
        <f t="shared" ref="K361:Q362" si="574">INDEX($S361:$BK361,K$6)</f>
        <v>12.5</v>
      </c>
      <c r="L361" s="12">
        <f t="shared" si="574"/>
        <v>12.5</v>
      </c>
      <c r="M361" s="12">
        <f t="shared" si="574"/>
        <v>12.5</v>
      </c>
      <c r="N361" s="12">
        <f t="shared" si="574"/>
        <v>12.5</v>
      </c>
      <c r="O361" s="12">
        <f t="shared" si="574"/>
        <v>25</v>
      </c>
      <c r="P361" s="12">
        <f t="shared" si="574"/>
        <v>25</v>
      </c>
      <c r="Q361" s="12">
        <f t="shared" si="574"/>
        <v>25</v>
      </c>
      <c r="R361" s="51"/>
      <c r="S361" s="1"/>
      <c r="T361" s="1"/>
      <c r="U361" s="1"/>
      <c r="V361" s="12"/>
      <c r="W361" s="12"/>
      <c r="X361" s="12"/>
      <c r="Y361" s="12"/>
      <c r="Z361" s="12"/>
      <c r="AA361" s="12"/>
      <c r="AB361" s="12"/>
      <c r="AC361" s="12"/>
      <c r="AD361" s="12"/>
      <c r="AE361" s="12"/>
      <c r="AF361" s="12"/>
      <c r="AG361" s="12"/>
      <c r="AH361" s="12"/>
      <c r="AI361" s="12">
        <f>0.25*AI347</f>
        <v>12.5</v>
      </c>
      <c r="AJ361" s="12">
        <f t="shared" ref="AJ361:BB361" si="575">0.25*AJ347</f>
        <v>12.5</v>
      </c>
      <c r="AK361" s="12">
        <f t="shared" si="575"/>
        <v>12.5</v>
      </c>
      <c r="AL361" s="12">
        <f t="shared" si="575"/>
        <v>12.5</v>
      </c>
      <c r="AM361" s="12">
        <f t="shared" si="575"/>
        <v>12.5</v>
      </c>
      <c r="AN361" s="12">
        <f t="shared" si="575"/>
        <v>12.5</v>
      </c>
      <c r="AO361" s="12">
        <f t="shared" si="575"/>
        <v>12.5</v>
      </c>
      <c r="AP361" s="12">
        <f t="shared" si="575"/>
        <v>12.5</v>
      </c>
      <c r="AQ361" s="12">
        <f t="shared" si="575"/>
        <v>12.5</v>
      </c>
      <c r="AR361" s="12">
        <f t="shared" si="575"/>
        <v>12.5</v>
      </c>
      <c r="AS361" s="12">
        <f t="shared" ref="AS361:AX361" si="576">0.25*AS347</f>
        <v>12.5</v>
      </c>
      <c r="AT361" s="12">
        <f t="shared" si="576"/>
        <v>12.5</v>
      </c>
      <c r="AU361" s="12">
        <f t="shared" si="576"/>
        <v>12.5</v>
      </c>
      <c r="AV361" s="12">
        <f t="shared" si="576"/>
        <v>12.5</v>
      </c>
      <c r="AW361" s="12">
        <f t="shared" si="576"/>
        <v>12.5</v>
      </c>
      <c r="AX361" s="12">
        <f t="shared" si="576"/>
        <v>12.5</v>
      </c>
      <c r="AY361" s="12">
        <f t="shared" si="575"/>
        <v>12.5</v>
      </c>
      <c r="AZ361" s="12">
        <f t="shared" si="575"/>
        <v>25</v>
      </c>
      <c r="BA361" s="12">
        <f t="shared" si="575"/>
        <v>25</v>
      </c>
      <c r="BB361" s="12">
        <f t="shared" si="575"/>
        <v>25</v>
      </c>
      <c r="BC361" s="12">
        <f t="shared" ref="BC361:BJ361" si="577">0.25*BC347</f>
        <v>25</v>
      </c>
      <c r="BD361" s="12">
        <f t="shared" si="577"/>
        <v>25</v>
      </c>
      <c r="BE361" s="12">
        <f t="shared" si="577"/>
        <v>25</v>
      </c>
      <c r="BF361" s="12">
        <f t="shared" si="577"/>
        <v>25</v>
      </c>
      <c r="BG361" s="12">
        <f t="shared" si="577"/>
        <v>25</v>
      </c>
      <c r="BH361" s="12">
        <f t="shared" si="577"/>
        <v>25</v>
      </c>
      <c r="BI361" s="12">
        <f t="shared" si="577"/>
        <v>25</v>
      </c>
      <c r="BJ361" s="12">
        <f t="shared" si="577"/>
        <v>25</v>
      </c>
      <c r="BK361" s="1"/>
      <c r="BL361" s="1"/>
      <c r="BM361" s="23">
        <f t="shared" si="525"/>
        <v>355</v>
      </c>
    </row>
    <row r="362" spans="1:65" ht="12.75" hidden="1" customHeight="1" outlineLevel="2">
      <c r="A362" s="118"/>
      <c r="B362" s="129" t="s">
        <v>361</v>
      </c>
      <c r="C362" s="1"/>
      <c r="D362" s="1"/>
      <c r="E362" s="1"/>
      <c r="F362" s="1"/>
      <c r="G362" s="12"/>
      <c r="H362" s="103">
        <f t="shared" si="573"/>
        <v>0</v>
      </c>
      <c r="I362" s="103">
        <f t="shared" si="573"/>
        <v>0</v>
      </c>
      <c r="J362" s="103">
        <f t="shared" si="573"/>
        <v>0</v>
      </c>
      <c r="K362" s="103">
        <f t="shared" si="574"/>
        <v>3.75</v>
      </c>
      <c r="L362" s="103">
        <f t="shared" si="574"/>
        <v>3.75</v>
      </c>
      <c r="M362" s="103">
        <f t="shared" si="574"/>
        <v>3.75</v>
      </c>
      <c r="N362" s="103">
        <f t="shared" si="574"/>
        <v>3.75</v>
      </c>
      <c r="O362" s="103">
        <f t="shared" si="574"/>
        <v>3.75</v>
      </c>
      <c r="P362" s="103">
        <f t="shared" si="574"/>
        <v>3.75</v>
      </c>
      <c r="Q362" s="103">
        <f t="shared" si="574"/>
        <v>3.75</v>
      </c>
      <c r="R362" s="51"/>
      <c r="S362" s="1"/>
      <c r="T362" s="1"/>
      <c r="U362" s="1"/>
      <c r="V362" s="12"/>
      <c r="W362" s="12"/>
      <c r="X362" s="12"/>
      <c r="Y362" s="12"/>
      <c r="Z362" s="12"/>
      <c r="AA362" s="12"/>
      <c r="AB362" s="12"/>
      <c r="AC362" s="12"/>
      <c r="AD362" s="12"/>
      <c r="AE362" s="12"/>
      <c r="AF362" s="12"/>
      <c r="AG362" s="12"/>
      <c r="AH362" s="12"/>
      <c r="AI362" s="106">
        <v>3.75</v>
      </c>
      <c r="AJ362" s="106">
        <v>3.75</v>
      </c>
      <c r="AK362" s="106">
        <v>3.75</v>
      </c>
      <c r="AL362" s="106">
        <v>3.75</v>
      </c>
      <c r="AM362" s="106">
        <v>3.75</v>
      </c>
      <c r="AN362" s="106">
        <v>3.75</v>
      </c>
      <c r="AO362" s="106">
        <v>3.75</v>
      </c>
      <c r="AP362" s="106">
        <v>3.75</v>
      </c>
      <c r="AQ362" s="106">
        <v>3.75</v>
      </c>
      <c r="AR362" s="106">
        <v>3.75</v>
      </c>
      <c r="AS362" s="106">
        <v>3.75</v>
      </c>
      <c r="AT362" s="188">
        <v>3.75</v>
      </c>
      <c r="AU362" s="188">
        <v>3.75</v>
      </c>
      <c r="AV362" s="188">
        <v>3.75</v>
      </c>
      <c r="AW362" s="188">
        <v>3.75</v>
      </c>
      <c r="AX362" s="188">
        <v>3.75</v>
      </c>
      <c r="AY362" s="106">
        <v>3.75</v>
      </c>
      <c r="AZ362" s="106">
        <v>3.75</v>
      </c>
      <c r="BA362" s="106">
        <v>3.75</v>
      </c>
      <c r="BB362" s="106">
        <v>3.75</v>
      </c>
      <c r="BC362" s="106">
        <v>3.75</v>
      </c>
      <c r="BD362" s="106">
        <v>3.75</v>
      </c>
      <c r="BE362" s="106">
        <v>3.75</v>
      </c>
      <c r="BF362" s="106">
        <v>3.75</v>
      </c>
      <c r="BG362" s="106">
        <v>3.75</v>
      </c>
      <c r="BH362" s="106">
        <v>3.75</v>
      </c>
      <c r="BI362" s="106">
        <v>3.75</v>
      </c>
      <c r="BJ362" s="106">
        <v>3.75</v>
      </c>
      <c r="BK362" s="1"/>
      <c r="BL362" s="1"/>
      <c r="BM362" s="23">
        <f t="shared" si="525"/>
        <v>356</v>
      </c>
    </row>
    <row r="363" spans="1:65" ht="12.75" hidden="1" customHeight="1" outlineLevel="2">
      <c r="A363" s="118"/>
      <c r="B363" s="129"/>
      <c r="C363" s="1"/>
      <c r="D363" s="1"/>
      <c r="E363" s="1"/>
      <c r="F363" s="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51"/>
      <c r="S363" s="1"/>
      <c r="T363" s="1"/>
      <c r="U363" s="1"/>
      <c r="V363" s="12"/>
      <c r="W363" s="12"/>
      <c r="X363" s="12"/>
      <c r="Y363" s="12"/>
      <c r="Z363" s="12"/>
      <c r="AA363" s="12"/>
      <c r="AB363" s="12"/>
      <c r="AC363" s="12"/>
      <c r="AD363" s="12"/>
      <c r="AE363" s="12"/>
      <c r="AF363" s="12"/>
      <c r="AG363" s="12"/>
      <c r="AH363" s="12"/>
      <c r="AI363" s="106"/>
      <c r="AJ363" s="106"/>
      <c r="AK363" s="106"/>
      <c r="AL363" s="106"/>
      <c r="AM363" s="106"/>
      <c r="AN363" s="106"/>
      <c r="AO363" s="106"/>
      <c r="AP363" s="106"/>
      <c r="AQ363" s="106"/>
      <c r="AR363" s="106"/>
      <c r="AS363" s="106"/>
      <c r="AT363" s="106"/>
      <c r="AU363" s="106"/>
      <c r="AV363" s="106"/>
      <c r="AW363" s="106"/>
      <c r="AX363" s="106"/>
      <c r="AY363" s="106"/>
      <c r="AZ363" s="106"/>
      <c r="BA363" s="106"/>
      <c r="BB363" s="106"/>
      <c r="BC363" s="106"/>
      <c r="BD363" s="106"/>
      <c r="BE363" s="106"/>
      <c r="BF363" s="106"/>
      <c r="BG363" s="106"/>
      <c r="BH363" s="106"/>
      <c r="BI363" s="106"/>
      <c r="BJ363" s="106"/>
      <c r="BK363" s="1"/>
      <c r="BL363" s="1"/>
      <c r="BM363" s="23">
        <f t="shared" si="525"/>
        <v>357</v>
      </c>
    </row>
    <row r="364" spans="1:65" ht="12.75" hidden="1" customHeight="1" outlineLevel="2">
      <c r="A364" s="118"/>
      <c r="B364" s="129" t="s">
        <v>363</v>
      </c>
      <c r="C364" s="1"/>
      <c r="D364" s="1"/>
      <c r="E364" s="1"/>
      <c r="F364" s="1"/>
      <c r="G364" s="12"/>
      <c r="H364" s="149">
        <f t="shared" ref="H364:Q364" si="578">H201</f>
        <v>93.557000000000002</v>
      </c>
      <c r="I364" s="149">
        <f t="shared" si="578"/>
        <v>150.589</v>
      </c>
      <c r="J364" s="149">
        <f t="shared" si="578"/>
        <v>160.691</v>
      </c>
      <c r="K364" s="149">
        <f t="shared" si="578"/>
        <v>246.21300000000002</v>
      </c>
      <c r="L364" s="149">
        <f t="shared" si="578"/>
        <v>109.50800000000002</v>
      </c>
      <c r="M364" s="149">
        <f t="shared" si="578"/>
        <v>39.554000000000002</v>
      </c>
      <c r="N364" s="149">
        <f t="shared" si="578"/>
        <v>307.70300000000003</v>
      </c>
      <c r="O364" s="149">
        <f t="shared" si="578"/>
        <v>526.86814900000002</v>
      </c>
      <c r="P364" s="149">
        <f t="shared" si="578"/>
        <v>624.56677463405197</v>
      </c>
      <c r="Q364" s="149">
        <f t="shared" si="578"/>
        <v>601.63280005740057</v>
      </c>
      <c r="R364" s="51"/>
      <c r="S364" s="149">
        <f t="shared" ref="S364:BJ364" si="579">S201</f>
        <v>0</v>
      </c>
      <c r="T364" s="149">
        <f t="shared" si="579"/>
        <v>0</v>
      </c>
      <c r="U364" s="149">
        <f t="shared" si="579"/>
        <v>0</v>
      </c>
      <c r="V364" s="149">
        <f t="shared" si="579"/>
        <v>15.641</v>
      </c>
      <c r="W364" s="149">
        <f t="shared" si="579"/>
        <v>16.728999999999999</v>
      </c>
      <c r="X364" s="149">
        <f t="shared" si="579"/>
        <v>0</v>
      </c>
      <c r="Y364" s="149">
        <f t="shared" si="579"/>
        <v>0</v>
      </c>
      <c r="Z364" s="149">
        <f t="shared" si="579"/>
        <v>27.452000000000002</v>
      </c>
      <c r="AA364" s="149">
        <f t="shared" si="579"/>
        <v>36.987000000000002</v>
      </c>
      <c r="AB364" s="149">
        <f t="shared" si="579"/>
        <v>37.112000000000002</v>
      </c>
      <c r="AC364" s="149">
        <f t="shared" si="579"/>
        <v>37.518999999999998</v>
      </c>
      <c r="AD364" s="149">
        <f t="shared" si="579"/>
        <v>38.970999999999997</v>
      </c>
      <c r="AE364" s="149">
        <f t="shared" si="579"/>
        <v>38.786999999999999</v>
      </c>
      <c r="AF364" s="149">
        <f t="shared" si="579"/>
        <v>40.984999999999999</v>
      </c>
      <c r="AG364" s="149">
        <f t="shared" si="579"/>
        <v>45.024000000000001</v>
      </c>
      <c r="AH364" s="149">
        <f t="shared" si="579"/>
        <v>35.895000000000003</v>
      </c>
      <c r="AI364" s="149">
        <f t="shared" si="579"/>
        <v>41.927999999999997</v>
      </c>
      <c r="AJ364" s="149">
        <f t="shared" si="579"/>
        <v>59.784999999999997</v>
      </c>
      <c r="AK364" s="149">
        <f t="shared" si="579"/>
        <v>77.486999999999995</v>
      </c>
      <c r="AL364" s="149">
        <f t="shared" si="579"/>
        <v>67.013000000000005</v>
      </c>
      <c r="AM364" s="149">
        <f t="shared" si="579"/>
        <v>51.283000000000001</v>
      </c>
      <c r="AN364" s="149">
        <f t="shared" si="579"/>
        <v>23.443000000000001</v>
      </c>
      <c r="AO364" s="149">
        <f t="shared" si="579"/>
        <v>24.004999999999999</v>
      </c>
      <c r="AP364" s="149">
        <f t="shared" si="579"/>
        <v>10.776999999999999</v>
      </c>
      <c r="AQ364" s="149">
        <f t="shared" si="579"/>
        <v>5.2519999999999998</v>
      </c>
      <c r="AR364" s="149">
        <f t="shared" si="579"/>
        <v>5.3730000000000002</v>
      </c>
      <c r="AS364" s="149">
        <f t="shared" si="579"/>
        <v>8.2579999999999991</v>
      </c>
      <c r="AT364" s="149">
        <f t="shared" si="579"/>
        <v>20.670999999999999</v>
      </c>
      <c r="AU364" s="149">
        <f t="shared" si="579"/>
        <v>42.712000000000003</v>
      </c>
      <c r="AV364" s="149">
        <f t="shared" si="579"/>
        <v>75.072000000000003</v>
      </c>
      <c r="AW364" s="149">
        <f t="shared" si="579"/>
        <v>96.676000000000002</v>
      </c>
      <c r="AX364" s="149">
        <f t="shared" si="579"/>
        <v>93.242999999999995</v>
      </c>
      <c r="AY364" s="149">
        <f t="shared" si="579"/>
        <v>86.374274200000016</v>
      </c>
      <c r="AZ364" s="149">
        <f t="shared" si="579"/>
        <v>114.89163479999999</v>
      </c>
      <c r="BA364" s="149">
        <f t="shared" si="579"/>
        <v>158.79474859999999</v>
      </c>
      <c r="BB364" s="149">
        <f t="shared" si="579"/>
        <v>166.80749139999998</v>
      </c>
      <c r="BC364" s="149">
        <f t="shared" si="579"/>
        <v>161.36061707051999</v>
      </c>
      <c r="BD364" s="149">
        <f t="shared" si="579"/>
        <v>158.66820027837997</v>
      </c>
      <c r="BE364" s="149">
        <f t="shared" si="579"/>
        <v>155.56807034475997</v>
      </c>
      <c r="BF364" s="149">
        <f t="shared" si="579"/>
        <v>148.96988694039197</v>
      </c>
      <c r="BG364" s="149">
        <f t="shared" si="579"/>
        <v>148.62216808544503</v>
      </c>
      <c r="BH364" s="149">
        <f t="shared" si="579"/>
        <v>152.41509498066756</v>
      </c>
      <c r="BI364" s="149">
        <f t="shared" si="579"/>
        <v>152.23445566730959</v>
      </c>
      <c r="BJ364" s="149">
        <f t="shared" si="579"/>
        <v>148.36108132397828</v>
      </c>
      <c r="BK364" s="1"/>
      <c r="BL364" s="1"/>
      <c r="BM364" s="23">
        <f t="shared" si="525"/>
        <v>358</v>
      </c>
    </row>
    <row r="365" spans="1:65" ht="12.75" hidden="1" customHeight="1" outlineLevel="2">
      <c r="A365" s="118"/>
      <c r="B365" s="129" t="s">
        <v>364</v>
      </c>
      <c r="C365" s="1"/>
      <c r="D365" s="1"/>
      <c r="E365" s="1"/>
      <c r="F365" s="1"/>
      <c r="G365" s="12"/>
      <c r="H365" s="103">
        <f>INDEX($S365:$AH365,H$6)</f>
        <v>0</v>
      </c>
      <c r="I365" s="103">
        <f>INDEX($S365:$AH365,I$6)</f>
        <v>0</v>
      </c>
      <c r="J365" s="103">
        <f>INDEX($S365:$AH365,J$6)</f>
        <v>0</v>
      </c>
      <c r="K365" s="103">
        <f t="shared" ref="K365:Q365" si="580">INDEX($S365:$BK365,K$6)</f>
        <v>0.64932802085998731</v>
      </c>
      <c r="L365" s="103">
        <f t="shared" si="580"/>
        <v>1.7604101983416738</v>
      </c>
      <c r="M365" s="103">
        <f t="shared" si="580"/>
        <v>-4.9489305759215245</v>
      </c>
      <c r="N365" s="103">
        <f t="shared" si="580"/>
        <v>0.41165994481691776</v>
      </c>
      <c r="O365" s="103">
        <f t="shared" si="580"/>
        <v>1.6224959183509979</v>
      </c>
      <c r="P365" s="103">
        <f t="shared" si="580"/>
        <v>0.84988708616428588</v>
      </c>
      <c r="Q365" s="103">
        <f t="shared" si="580"/>
        <v>0.28757373143766479</v>
      </c>
      <c r="R365" s="51"/>
      <c r="S365" s="1"/>
      <c r="T365" s="1"/>
      <c r="U365" s="1"/>
      <c r="V365" s="12"/>
      <c r="W365" s="12"/>
      <c r="X365" s="12"/>
      <c r="Y365" s="12"/>
      <c r="Z365" s="12"/>
      <c r="AA365" s="12"/>
      <c r="AB365" s="12"/>
      <c r="AC365" s="12"/>
      <c r="AD365" s="12"/>
      <c r="AE365" s="12"/>
      <c r="AF365" s="12"/>
      <c r="AG365" s="12"/>
      <c r="AH365" s="12"/>
      <c r="AI365" s="150">
        <f t="shared" ref="AI365:BJ365" si="581">AI292/SUM(AF364:AI364)</f>
        <v>1.2806472484008005</v>
      </c>
      <c r="AJ365" s="150">
        <f t="shared" si="581"/>
        <v>1.0328529501949275</v>
      </c>
      <c r="AK365" s="150">
        <f t="shared" si="581"/>
        <v>0.79951649271252256</v>
      </c>
      <c r="AL365" s="150">
        <f t="shared" si="581"/>
        <v>0.64932802085998731</v>
      </c>
      <c r="AM365" s="150">
        <f t="shared" si="581"/>
        <v>0.65104394916421471</v>
      </c>
      <c r="AN365" s="150">
        <f t="shared" si="581"/>
        <v>0.7806418946657786</v>
      </c>
      <c r="AO365" s="150">
        <f t="shared" si="581"/>
        <v>1.1630164591176757</v>
      </c>
      <c r="AP365" s="150">
        <f t="shared" si="581"/>
        <v>1.7604101983416738</v>
      </c>
      <c r="AQ365" s="150">
        <f t="shared" si="581"/>
        <v>0.32512563605715594</v>
      </c>
      <c r="AR365" s="150">
        <f t="shared" si="581"/>
        <v>0.7891514524192299</v>
      </c>
      <c r="AS365" s="150">
        <f t="shared" si="581"/>
        <v>8.1783884018880659</v>
      </c>
      <c r="AT365" s="150">
        <f t="shared" si="581"/>
        <v>-4.9489305759215245</v>
      </c>
      <c r="AU365" s="150">
        <f t="shared" si="581"/>
        <v>-1.8927727426182248</v>
      </c>
      <c r="AV365" s="150">
        <f t="shared" si="581"/>
        <v>-0.58146858151629344</v>
      </c>
      <c r="AW365" s="150">
        <f t="shared" si="581"/>
        <v>0.20802021001058996</v>
      </c>
      <c r="AX365" s="150">
        <f t="shared" si="581"/>
        <v>0.41165994481691776</v>
      </c>
      <c r="AY365" s="150">
        <f t="shared" si="581"/>
        <v>0.43385494969039828</v>
      </c>
      <c r="AZ365" s="150">
        <f t="shared" si="581"/>
        <v>2.4289024991674379</v>
      </c>
      <c r="BA365" s="150">
        <f t="shared" si="581"/>
        <v>2.0447134551902968</v>
      </c>
      <c r="BB365" s="150">
        <f t="shared" si="581"/>
        <v>1.6224959183509979</v>
      </c>
      <c r="BC365" s="150">
        <f t="shared" si="581"/>
        <v>1.2786639309962591</v>
      </c>
      <c r="BD365" s="150">
        <f t="shared" si="581"/>
        <v>1.0645628252129473</v>
      </c>
      <c r="BE365" s="150">
        <f t="shared" si="581"/>
        <v>0.94615276943675231</v>
      </c>
      <c r="BF365" s="150">
        <f t="shared" si="581"/>
        <v>0.84988708616428588</v>
      </c>
      <c r="BG365" s="150">
        <f t="shared" si="581"/>
        <v>0.73996230030465915</v>
      </c>
      <c r="BH365" s="150">
        <f t="shared" si="581"/>
        <v>0.59600177208119143</v>
      </c>
      <c r="BI365" s="150">
        <f t="shared" si="581"/>
        <v>0.44312041864218576</v>
      </c>
      <c r="BJ365" s="150">
        <f t="shared" si="581"/>
        <v>0.28757373143766479</v>
      </c>
      <c r="BK365" s="1"/>
      <c r="BL365" s="1"/>
      <c r="BM365" s="23">
        <f t="shared" si="525"/>
        <v>359</v>
      </c>
    </row>
    <row r="366" spans="1:65" ht="12.75" hidden="1" customHeight="1" outlineLevel="2">
      <c r="A366" s="118"/>
      <c r="B366" s="145"/>
      <c r="C366" s="1"/>
      <c r="D366" s="1"/>
      <c r="E366" s="1"/>
      <c r="F366" s="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51"/>
      <c r="S366" s="1"/>
      <c r="T366" s="1"/>
      <c r="U366" s="1"/>
      <c r="V366" s="12"/>
      <c r="W366" s="12"/>
      <c r="X366" s="12"/>
      <c r="Y366" s="12"/>
      <c r="Z366" s="12"/>
      <c r="AA366" s="12"/>
      <c r="AB366" s="12"/>
      <c r="AC366" s="12"/>
      <c r="AD366" s="12"/>
      <c r="AE366" s="12"/>
      <c r="AF366" s="12"/>
      <c r="AG366" s="12"/>
      <c r="AH366" s="12"/>
      <c r="AI366" s="12"/>
      <c r="AJ366" s="12"/>
      <c r="AK366" s="12"/>
      <c r="AL366" s="12"/>
      <c r="AM366" s="12"/>
      <c r="AN366" s="12"/>
      <c r="AO366" s="12"/>
      <c r="AP366" s="12"/>
      <c r="AQ366" s="12"/>
      <c r="AR366" s="12"/>
      <c r="AS366" s="12"/>
      <c r="AT366" s="12"/>
      <c r="AU366" s="12"/>
      <c r="AV366" s="12"/>
      <c r="AW366" s="12"/>
      <c r="AX366" s="12"/>
      <c r="AY366" s="12"/>
      <c r="AZ366" s="12"/>
      <c r="BA366" s="12"/>
      <c r="BB366" s="12"/>
      <c r="BC366" s="12"/>
      <c r="BD366" s="12"/>
      <c r="BE366" s="12"/>
      <c r="BF366" s="12"/>
      <c r="BG366" s="12"/>
      <c r="BH366" s="12"/>
      <c r="BI366" s="12"/>
      <c r="BJ366" s="12"/>
      <c r="BK366" s="1"/>
      <c r="BL366" s="1"/>
      <c r="BM366" s="23">
        <f t="shared" si="525"/>
        <v>360</v>
      </c>
    </row>
    <row r="367" spans="1:65" ht="12.75" hidden="1" customHeight="1" outlineLevel="2">
      <c r="A367" s="118"/>
      <c r="B367" s="145" t="s">
        <v>354</v>
      </c>
      <c r="C367" s="1"/>
      <c r="D367" s="1"/>
      <c r="E367" s="1"/>
      <c r="F367" s="1"/>
      <c r="G367" s="12"/>
      <c r="H367" s="12">
        <f>SUM(INDEX($S367:$BK367,H$5):INDEX($S367:$BK367,H$6))</f>
        <v>0</v>
      </c>
      <c r="I367" s="12">
        <f>SUM(INDEX($S367:$BK367,I$5):INDEX($S367:$BK367,I$6))</f>
        <v>0</v>
      </c>
      <c r="J367" s="12">
        <f>SUM(INDEX($S367:$BK367,J$5):INDEX($S367:$BK367,J$6))</f>
        <v>0</v>
      </c>
      <c r="K367" s="12">
        <f>SUM(INDEX($S367:$BK367,K$5):INDEX($S367:$BK367,K$6))</f>
        <v>32.6</v>
      </c>
      <c r="L367" s="12">
        <f>SUM(INDEX($S367:$BK367,L$5):INDEX($S367:$BK367,L$6))</f>
        <v>47.2</v>
      </c>
      <c r="M367" s="12">
        <f>SUM(INDEX($S367:$BK367,M$5):INDEX($S367:$BK367,M$6))</f>
        <v>50.151000000000003</v>
      </c>
      <c r="N367" s="12">
        <f>SUM(INDEX($S367:$BK367,N$5):INDEX($S367:$BK367,N$6))</f>
        <v>68.300000000000011</v>
      </c>
      <c r="O367" s="12">
        <f>SUM(INDEX($S367:$BK367,O$5):INDEX($S367:$BK367,O$6))</f>
        <v>69.891999999999996</v>
      </c>
      <c r="P367" s="12">
        <f>SUM(INDEX($S367:$BK367,P$5):INDEX($S367:$BK367,P$6))</f>
        <v>62.293999999999997</v>
      </c>
      <c r="Q367" s="12">
        <f>SUM(INDEX($S367:$BK367,Q$5):INDEX($S367:$BK367,Q$6))</f>
        <v>51.161999999999999</v>
      </c>
      <c r="R367" s="51"/>
      <c r="S367" s="1"/>
      <c r="T367" s="1"/>
      <c r="U367" s="1"/>
      <c r="V367" s="12"/>
      <c r="W367" s="12"/>
      <c r="X367" s="12"/>
      <c r="Y367" s="12"/>
      <c r="Z367" s="12"/>
      <c r="AA367" s="12"/>
      <c r="AB367" s="12"/>
      <c r="AC367" s="12"/>
      <c r="AD367" s="12"/>
      <c r="AE367" s="12"/>
      <c r="AF367" s="12"/>
      <c r="AG367" s="12"/>
      <c r="AH367" s="12"/>
      <c r="AI367" s="109">
        <v>7.1</v>
      </c>
      <c r="AJ367" s="109">
        <v>8.1999999999999993</v>
      </c>
      <c r="AK367" s="109">
        <v>8.1</v>
      </c>
      <c r="AL367" s="109">
        <f>32.6-AK367-AJ367-AI367</f>
        <v>9.2000000000000011</v>
      </c>
      <c r="AM367" s="109">
        <v>10</v>
      </c>
      <c r="AN367" s="109">
        <v>11.7</v>
      </c>
      <c r="AO367" s="109">
        <v>13.2</v>
      </c>
      <c r="AP367" s="109">
        <f>47.2-AO367-AN367-AM367</f>
        <v>12.3</v>
      </c>
      <c r="AQ367" s="133">
        <v>12.9</v>
      </c>
      <c r="AR367" s="133">
        <v>12.2</v>
      </c>
      <c r="AS367" s="133">
        <v>12.6</v>
      </c>
      <c r="AT367" s="133">
        <v>12.451000000000001</v>
      </c>
      <c r="AU367" s="133">
        <v>15.4</v>
      </c>
      <c r="AV367" s="133">
        <v>15.8</v>
      </c>
      <c r="AW367" s="133">
        <v>16.7</v>
      </c>
      <c r="AX367" s="133">
        <f>68.3-AW367-AV367-AU367</f>
        <v>20.399999999999999</v>
      </c>
      <c r="AY367" s="133">
        <f>69.892/4</f>
        <v>17.472999999999999</v>
      </c>
      <c r="AZ367" s="133">
        <f>69.892/4</f>
        <v>17.472999999999999</v>
      </c>
      <c r="BA367" s="133">
        <f>69.892/4</f>
        <v>17.472999999999999</v>
      </c>
      <c r="BB367" s="133">
        <f>69.892/4</f>
        <v>17.472999999999999</v>
      </c>
      <c r="BC367" s="109">
        <f>62.294/4</f>
        <v>15.573499999999999</v>
      </c>
      <c r="BD367" s="109">
        <f>62.294/4</f>
        <v>15.573499999999999</v>
      </c>
      <c r="BE367" s="109">
        <f>62.294/4</f>
        <v>15.573499999999999</v>
      </c>
      <c r="BF367" s="109">
        <f>62.294/4</f>
        <v>15.573499999999999</v>
      </c>
      <c r="BG367" s="109">
        <f>51.162/4</f>
        <v>12.7905</v>
      </c>
      <c r="BH367" s="109">
        <f>51.162/4</f>
        <v>12.7905</v>
      </c>
      <c r="BI367" s="109">
        <f>51.162/4</f>
        <v>12.7905</v>
      </c>
      <c r="BJ367" s="109">
        <f>51.162/4</f>
        <v>12.7905</v>
      </c>
      <c r="BK367" s="1"/>
      <c r="BL367" s="1"/>
      <c r="BM367" s="23">
        <f t="shared" si="525"/>
        <v>361</v>
      </c>
    </row>
    <row r="368" spans="1:65" ht="12.75" hidden="1" customHeight="1" outlineLevel="2">
      <c r="A368" s="118"/>
      <c r="B368" s="145" t="s">
        <v>343</v>
      </c>
      <c r="C368" s="1"/>
      <c r="D368" s="1"/>
      <c r="E368" s="1"/>
      <c r="F368" s="1"/>
      <c r="G368" s="12"/>
      <c r="H368" s="12"/>
      <c r="I368" s="12"/>
      <c r="J368" s="12"/>
      <c r="K368" s="12"/>
      <c r="L368" s="12"/>
      <c r="M368" s="12">
        <f>SUM(INDEX($S368:$BK368,M$5):INDEX($S368:$BK368,M$6))</f>
        <v>29.839000000000002</v>
      </c>
      <c r="N368" s="12">
        <f>SUM(INDEX($S368:$BK368,N$5):INDEX($S368:$BK368,N$6))</f>
        <v>22.950583333333334</v>
      </c>
      <c r="O368" s="12">
        <f>SUM(INDEX($S368:$BK368,O$5):INDEX($S368:$BK368,O$6))</f>
        <v>28.099</v>
      </c>
      <c r="P368" s="12">
        <f>SUM(INDEX($S368:$BK368,P$5):INDEX($S368:$BK368,P$6))</f>
        <v>18.937999999999999</v>
      </c>
      <c r="Q368" s="12">
        <f>SUM(INDEX($S368:$BK368,Q$5):INDEX($S368:$BK368,Q$6))</f>
        <v>10.167999999999999</v>
      </c>
      <c r="R368" s="51"/>
      <c r="S368" s="1"/>
      <c r="T368" s="1"/>
      <c r="U368" s="1"/>
      <c r="V368" s="12"/>
      <c r="W368" s="12"/>
      <c r="X368" s="12"/>
      <c r="Y368" s="12"/>
      <c r="Z368" s="12"/>
      <c r="AA368" s="12"/>
      <c r="AB368" s="12"/>
      <c r="AC368" s="12"/>
      <c r="AD368" s="12"/>
      <c r="AE368" s="12"/>
      <c r="AF368" s="12"/>
      <c r="AG368" s="12"/>
      <c r="AH368" s="12"/>
      <c r="AI368" s="109"/>
      <c r="AJ368" s="109"/>
      <c r="AK368" s="109"/>
      <c r="AL368" s="109"/>
      <c r="AM368" s="109"/>
      <c r="AN368" s="109"/>
      <c r="AQ368" s="133">
        <v>7.665</v>
      </c>
      <c r="AR368" s="133">
        <f>22.109/3</f>
        <v>7.3696666666666673</v>
      </c>
      <c r="AS368" s="60">
        <f>AVERAGE(AR368,AT368)</f>
        <v>7.3913333333333338</v>
      </c>
      <c r="AT368" s="133">
        <v>7.4130000000000003</v>
      </c>
      <c r="AU368" s="133">
        <f>20.739/4</f>
        <v>5.1847500000000002</v>
      </c>
      <c r="AV368" s="133">
        <f>16.57/3</f>
        <v>5.5233333333333334</v>
      </c>
      <c r="AW368" s="133">
        <f>11.425/2</f>
        <v>5.7125000000000004</v>
      </c>
      <c r="AX368" s="133">
        <v>6.53</v>
      </c>
      <c r="AY368" s="109">
        <f>28.099/4</f>
        <v>7.02475</v>
      </c>
      <c r="AZ368" s="109">
        <f>28.099/4</f>
        <v>7.02475</v>
      </c>
      <c r="BA368" s="109">
        <f>28.099/4</f>
        <v>7.02475</v>
      </c>
      <c r="BB368" s="109">
        <f>28.099/4</f>
        <v>7.02475</v>
      </c>
      <c r="BC368" s="109">
        <f>18.938/4</f>
        <v>4.7344999999999997</v>
      </c>
      <c r="BD368" s="109">
        <f>18.938/4</f>
        <v>4.7344999999999997</v>
      </c>
      <c r="BE368" s="109">
        <f>18.938/4</f>
        <v>4.7344999999999997</v>
      </c>
      <c r="BF368" s="109">
        <f>18.938/4</f>
        <v>4.7344999999999997</v>
      </c>
      <c r="BG368" s="109">
        <f>10.168/4</f>
        <v>2.5419999999999998</v>
      </c>
      <c r="BH368" s="109">
        <f>10.168/4</f>
        <v>2.5419999999999998</v>
      </c>
      <c r="BI368" s="109">
        <f>10.168/4</f>
        <v>2.5419999999999998</v>
      </c>
      <c r="BJ368" s="109">
        <f>10.168/4</f>
        <v>2.5419999999999998</v>
      </c>
      <c r="BK368" s="1"/>
      <c r="BL368" s="1"/>
      <c r="BM368" s="23">
        <f t="shared" si="525"/>
        <v>362</v>
      </c>
    </row>
    <row r="369" spans="1:65" ht="12.75" hidden="1" customHeight="1" outlineLevel="2">
      <c r="A369" s="118"/>
      <c r="B369" s="129"/>
      <c r="C369" s="1"/>
      <c r="D369" s="1"/>
      <c r="E369" s="1"/>
      <c r="F369" s="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51"/>
      <c r="S369" s="1"/>
      <c r="T369" s="1"/>
      <c r="U369" s="1"/>
      <c r="V369" s="12"/>
      <c r="W369" s="12"/>
      <c r="X369" s="12"/>
      <c r="Y369" s="12"/>
      <c r="Z369" s="12"/>
      <c r="AA369" s="12"/>
      <c r="AB369" s="12"/>
      <c r="AC369" s="12"/>
      <c r="AD369" s="12"/>
      <c r="AE369" s="12"/>
      <c r="AF369" s="12"/>
      <c r="AG369" s="12"/>
      <c r="AH369" s="12"/>
      <c r="AI369" s="12"/>
      <c r="AJ369" s="12"/>
      <c r="AK369" s="12"/>
      <c r="AL369" s="12"/>
      <c r="AM369" s="12"/>
      <c r="AN369" s="12"/>
      <c r="AO369" s="12"/>
      <c r="AP369" s="12"/>
      <c r="AQ369" s="12"/>
      <c r="AR369" s="12"/>
      <c r="AS369" s="12"/>
      <c r="AT369" s="12"/>
      <c r="AU369" s="12"/>
      <c r="AV369" s="12"/>
      <c r="AW369" s="12"/>
      <c r="AX369" s="12"/>
      <c r="AY369" s="12"/>
      <c r="AZ369" s="12"/>
      <c r="BA369" s="12"/>
      <c r="BB369" s="12"/>
      <c r="BC369" s="12"/>
      <c r="BD369" s="12"/>
      <c r="BE369" s="12"/>
      <c r="BF369" s="12"/>
      <c r="BG369" s="12"/>
      <c r="BH369" s="12"/>
      <c r="BI369" s="12"/>
      <c r="BJ369" s="12"/>
      <c r="BK369" s="1"/>
      <c r="BL369" s="1"/>
      <c r="BM369" s="23">
        <f t="shared" si="525"/>
        <v>363</v>
      </c>
    </row>
    <row r="370" spans="1:65" ht="12.75" customHeight="1" outlineLevel="1" collapsed="1">
      <c r="A370" s="118" t="s">
        <v>29</v>
      </c>
      <c r="B370" s="111" t="s">
        <v>110</v>
      </c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5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2"/>
      <c r="BM370" s="23">
        <f t="shared" si="525"/>
        <v>364</v>
      </c>
    </row>
    <row r="371" spans="1:65" ht="12.75" hidden="1" customHeight="1" outlineLevel="2">
      <c r="A371" s="118"/>
      <c r="B371" s="40" t="s">
        <v>111</v>
      </c>
      <c r="C371" s="1"/>
      <c r="D371" s="1"/>
      <c r="E371" s="12">
        <f t="shared" ref="E371:Q371" si="582">E222</f>
        <v>17.067</v>
      </c>
      <c r="F371" s="12">
        <f t="shared" si="582"/>
        <v>17.887</v>
      </c>
      <c r="G371" s="12">
        <f t="shared" si="582"/>
        <v>19.305</v>
      </c>
      <c r="H371" s="12">
        <f t="shared" si="582"/>
        <v>20.999000000000002</v>
      </c>
      <c r="I371" s="12">
        <f t="shared" si="582"/>
        <v>25.099000000000004</v>
      </c>
      <c r="J371" s="12">
        <f t="shared" si="582"/>
        <v>36.417999999999999</v>
      </c>
      <c r="K371" s="12">
        <f t="shared" si="582"/>
        <v>45.019000000000005</v>
      </c>
      <c r="L371" s="12">
        <f t="shared" si="582"/>
        <v>57.374000000000002</v>
      </c>
      <c r="M371" s="12">
        <f t="shared" si="582"/>
        <v>68.134</v>
      </c>
      <c r="N371" s="12">
        <f t="shared" si="582"/>
        <v>97.233000000000004</v>
      </c>
      <c r="O371" s="12">
        <f t="shared" si="582"/>
        <v>147.50038926708487</v>
      </c>
      <c r="P371" s="12">
        <f t="shared" si="582"/>
        <v>162.29663155082721</v>
      </c>
      <c r="Q371" s="12">
        <f t="shared" si="582"/>
        <v>156.43574523661812</v>
      </c>
      <c r="R371" s="51"/>
      <c r="S371" s="1"/>
      <c r="T371" s="1"/>
      <c r="U371" s="1"/>
      <c r="V371" s="1"/>
      <c r="W371" s="1"/>
      <c r="X371" s="1"/>
      <c r="Y371" s="12">
        <f t="shared" ref="Y371:BJ371" si="583">Y222</f>
        <v>5.2949999999999999</v>
      </c>
      <c r="Z371" s="12">
        <f t="shared" si="583"/>
        <v>5.3630000000000004</v>
      </c>
      <c r="AA371" s="12">
        <f t="shared" si="583"/>
        <v>5.9779999999999998</v>
      </c>
      <c r="AB371" s="12">
        <f t="shared" si="583"/>
        <v>5.9740000000000002</v>
      </c>
      <c r="AC371" s="12">
        <f t="shared" si="583"/>
        <v>5.968</v>
      </c>
      <c r="AD371" s="12">
        <f t="shared" si="583"/>
        <v>7.1790000000000003</v>
      </c>
      <c r="AE371" s="12">
        <f t="shared" si="583"/>
        <v>8.2780000000000005</v>
      </c>
      <c r="AF371" s="12">
        <f t="shared" si="583"/>
        <v>8.89</v>
      </c>
      <c r="AG371" s="12">
        <f t="shared" si="583"/>
        <v>9.1519999999999992</v>
      </c>
      <c r="AH371" s="12">
        <f t="shared" si="583"/>
        <v>10.098000000000001</v>
      </c>
      <c r="AI371" s="12">
        <f t="shared" si="583"/>
        <v>9.5890000000000004</v>
      </c>
      <c r="AJ371" s="12">
        <f t="shared" si="583"/>
        <v>10.340999999999999</v>
      </c>
      <c r="AK371" s="12">
        <f t="shared" si="583"/>
        <v>12.425000000000001</v>
      </c>
      <c r="AL371" s="12">
        <f t="shared" si="583"/>
        <v>12.664</v>
      </c>
      <c r="AM371" s="12">
        <f t="shared" si="583"/>
        <v>13.243</v>
      </c>
      <c r="AN371" s="12">
        <f t="shared" si="583"/>
        <v>13.695</v>
      </c>
      <c r="AO371" s="12">
        <f t="shared" si="583"/>
        <v>15.157999999999999</v>
      </c>
      <c r="AP371" s="12">
        <f t="shared" si="583"/>
        <v>15.278</v>
      </c>
      <c r="AQ371" s="12">
        <f t="shared" si="583"/>
        <v>14.555999999999999</v>
      </c>
      <c r="AR371" s="12">
        <f t="shared" si="583"/>
        <v>15.209</v>
      </c>
      <c r="AS371" s="12">
        <f t="shared" si="583"/>
        <v>17.175000000000001</v>
      </c>
      <c r="AT371" s="12">
        <f t="shared" si="583"/>
        <v>21.193999999999999</v>
      </c>
      <c r="AU371" s="12">
        <f t="shared" si="583"/>
        <v>21.599</v>
      </c>
      <c r="AV371" s="12">
        <f t="shared" si="583"/>
        <v>23.626000000000001</v>
      </c>
      <c r="AW371" s="12">
        <f t="shared" si="583"/>
        <v>24.672999999999998</v>
      </c>
      <c r="AX371" s="12">
        <f t="shared" si="583"/>
        <v>27.335000000000001</v>
      </c>
      <c r="AY371" s="12">
        <f t="shared" si="583"/>
        <v>33.028628750000003</v>
      </c>
      <c r="AZ371" s="12">
        <f t="shared" si="583"/>
        <v>31.890504745312498</v>
      </c>
      <c r="BA371" s="12">
        <f t="shared" si="583"/>
        <v>41.366226829486322</v>
      </c>
      <c r="BB371" s="12">
        <f t="shared" si="583"/>
        <v>41.215028942286025</v>
      </c>
      <c r="BC371" s="12">
        <f t="shared" si="583"/>
        <v>41.067422004906732</v>
      </c>
      <c r="BD371" s="12">
        <f t="shared" si="583"/>
        <v>40.733320732290196</v>
      </c>
      <c r="BE371" s="12">
        <f t="shared" si="583"/>
        <v>40.407154364898304</v>
      </c>
      <c r="BF371" s="12">
        <f t="shared" si="583"/>
        <v>40.088734448731969</v>
      </c>
      <c r="BG371" s="12">
        <f t="shared" si="583"/>
        <v>39.777877005574581</v>
      </c>
      <c r="BH371" s="12">
        <f t="shared" si="583"/>
        <v>39.474402426692187</v>
      </c>
      <c r="BI371" s="12">
        <f t="shared" si="583"/>
        <v>38.881260369058246</v>
      </c>
      <c r="BJ371" s="12">
        <f t="shared" si="583"/>
        <v>38.302205435293111</v>
      </c>
      <c r="BK371" s="1"/>
      <c r="BL371" s="12"/>
      <c r="BM371" s="23">
        <f t="shared" si="525"/>
        <v>365</v>
      </c>
    </row>
    <row r="372" spans="1:65" ht="12.75" hidden="1" customHeight="1" outlineLevel="2">
      <c r="A372" s="118"/>
      <c r="B372" s="8" t="s">
        <v>316</v>
      </c>
      <c r="C372" s="11"/>
      <c r="D372" s="11"/>
      <c r="E372" s="11">
        <f t="shared" ref="E372:Q372" si="584">E371/E14</f>
        <v>7.3066104981955024E-2</v>
      </c>
      <c r="F372" s="11">
        <f t="shared" si="584"/>
        <v>9.3344744628776302E-2</v>
      </c>
      <c r="G372" s="11">
        <f t="shared" si="584"/>
        <v>7.8811037219384955E-2</v>
      </c>
      <c r="H372" s="11">
        <f t="shared" si="584"/>
        <v>7.1039426946231998E-2</v>
      </c>
      <c r="I372" s="11">
        <f t="shared" si="584"/>
        <v>5.6801002996315714E-2</v>
      </c>
      <c r="J372" s="11">
        <f t="shared" si="584"/>
        <v>6.6702810023920561E-2</v>
      </c>
      <c r="K372" s="11">
        <f t="shared" si="584"/>
        <v>5.1348117631090602E-2</v>
      </c>
      <c r="L372" s="11">
        <f t="shared" si="584"/>
        <v>8.9230142350802275E-2</v>
      </c>
      <c r="M372" s="11">
        <f t="shared" si="584"/>
        <v>0.12174938574938575</v>
      </c>
      <c r="N372" s="11">
        <f t="shared" si="584"/>
        <v>7.8359932014399808E-2</v>
      </c>
      <c r="O372" s="11">
        <f t="shared" si="584"/>
        <v>7.7238157887009953E-2</v>
      </c>
      <c r="P372" s="11">
        <f t="shared" si="584"/>
        <v>6.958925895403445E-2</v>
      </c>
      <c r="Q372" s="11">
        <f t="shared" si="584"/>
        <v>6.5421234216622229E-2</v>
      </c>
      <c r="R372" s="51"/>
      <c r="S372" s="1"/>
      <c r="T372" s="1"/>
      <c r="U372" s="1"/>
      <c r="V372" s="1"/>
      <c r="W372" s="1"/>
      <c r="X372" s="1"/>
      <c r="Y372" s="11">
        <f t="shared" ref="Y372:BJ372" si="585">Y371/Y14</f>
        <v>7.2086912719698318E-2</v>
      </c>
      <c r="Z372" s="11">
        <f t="shared" si="585"/>
        <v>6.4126619594722642E-2</v>
      </c>
      <c r="AA372" s="11">
        <f t="shared" si="585"/>
        <v>5.8270218635162921E-2</v>
      </c>
      <c r="AB372" s="11">
        <f t="shared" si="585"/>
        <v>5.7112810707456982E-2</v>
      </c>
      <c r="AC372" s="11">
        <f t="shared" si="585"/>
        <v>5.1499331233550508E-2</v>
      </c>
      <c r="AD372" s="11">
        <f t="shared" si="585"/>
        <v>6.0429292929292923E-2</v>
      </c>
      <c r="AE372" s="11">
        <f t="shared" si="585"/>
        <v>6.7686017988552741E-2</v>
      </c>
      <c r="AF372" s="11">
        <f t="shared" si="585"/>
        <v>6.8489984591679501E-2</v>
      </c>
      <c r="AG372" s="11">
        <f t="shared" si="585"/>
        <v>6.3379501385041545E-2</v>
      </c>
      <c r="AH372" s="11">
        <f t="shared" si="585"/>
        <v>6.7556899527677058E-2</v>
      </c>
      <c r="AI372" s="11">
        <f t="shared" si="585"/>
        <v>5.3244121158277577E-2</v>
      </c>
      <c r="AJ372" s="11">
        <f t="shared" si="585"/>
        <v>5.0247569253793714E-2</v>
      </c>
      <c r="AK372" s="11">
        <f t="shared" si="585"/>
        <v>5.1501309811983947E-2</v>
      </c>
      <c r="AL372" s="11">
        <f t="shared" si="585"/>
        <v>5.0739415599245156E-2</v>
      </c>
      <c r="AM372" s="11">
        <f t="shared" si="585"/>
        <v>6.4930034614969753E-2</v>
      </c>
      <c r="AN372" s="11">
        <f t="shared" si="585"/>
        <v>9.2840533926283469E-2</v>
      </c>
      <c r="AO372" s="11">
        <f t="shared" si="585"/>
        <v>9.7536806342015864E-2</v>
      </c>
      <c r="AP372" s="11">
        <f t="shared" si="585"/>
        <v>0.1122457975784648</v>
      </c>
      <c r="AQ372" s="11">
        <f t="shared" si="585"/>
        <v>0.11881479062933638</v>
      </c>
      <c r="AR372" s="11">
        <f t="shared" si="585"/>
        <v>0.12999811956168691</v>
      </c>
      <c r="AS372" s="11">
        <f t="shared" si="585"/>
        <v>0.1246842059412841</v>
      </c>
      <c r="AT372" s="11">
        <f t="shared" si="585"/>
        <v>0.11621237792875042</v>
      </c>
      <c r="AU372" s="11">
        <f t="shared" si="585"/>
        <v>8.8232290428395768E-2</v>
      </c>
      <c r="AV372" s="11">
        <f t="shared" si="585"/>
        <v>8.1338543370113439E-2</v>
      </c>
      <c r="AW372" s="11">
        <f t="shared" si="585"/>
        <v>7.1511174617344339E-2</v>
      </c>
      <c r="AX372" s="11">
        <f t="shared" si="585"/>
        <v>7.5811363245563923E-2</v>
      </c>
      <c r="AY372" s="11">
        <f t="shared" si="585"/>
        <v>8.9141781547803958E-2</v>
      </c>
      <c r="AZ372" s="11">
        <f t="shared" si="585"/>
        <v>7.6439353459384768E-2</v>
      </c>
      <c r="BA372" s="11">
        <f t="shared" si="585"/>
        <v>7.5451527812312708E-2</v>
      </c>
      <c r="BB372" s="11">
        <f t="shared" si="585"/>
        <v>7.1838748819144135E-2</v>
      </c>
      <c r="BC372" s="11">
        <f t="shared" si="585"/>
        <v>7.110664090332347E-2</v>
      </c>
      <c r="BD372" s="11">
        <f t="shared" si="585"/>
        <v>6.999730150335777E-2</v>
      </c>
      <c r="BE372" s="11">
        <f t="shared" si="585"/>
        <v>6.8815891218143341E-2</v>
      </c>
      <c r="BF372" s="11">
        <f t="shared" si="585"/>
        <v>6.8462628058563915E-2</v>
      </c>
      <c r="BG372" s="11">
        <f t="shared" si="585"/>
        <v>6.730058718961722E-2</v>
      </c>
      <c r="BH372" s="11">
        <f t="shared" si="585"/>
        <v>6.5858401734512767E-2</v>
      </c>
      <c r="BI372" s="11">
        <f t="shared" si="585"/>
        <v>6.4539128977540841E-2</v>
      </c>
      <c r="BJ372" s="11">
        <f t="shared" si="585"/>
        <v>6.4014992924884842E-2</v>
      </c>
      <c r="BK372" s="1"/>
      <c r="BL372" s="12"/>
      <c r="BM372" s="23">
        <f t="shared" si="525"/>
        <v>366</v>
      </c>
    </row>
    <row r="373" spans="1:65" ht="12.75" hidden="1" customHeight="1" outlineLevel="2">
      <c r="A373" s="118"/>
      <c r="B373" s="8" t="s">
        <v>317</v>
      </c>
      <c r="C373" s="11"/>
      <c r="D373" s="11"/>
      <c r="E373" s="11">
        <f t="shared" ref="E373:Q373" si="586">-E236/E14</f>
        <v>4.2991142334844572E-2</v>
      </c>
      <c r="F373" s="11">
        <f t="shared" si="586"/>
        <v>6.9668046111374934E-2</v>
      </c>
      <c r="G373" s="11">
        <f t="shared" si="586"/>
        <v>6.2220099366000828E-2</v>
      </c>
      <c r="H373" s="11">
        <f t="shared" si="586"/>
        <v>0.22579773091700817</v>
      </c>
      <c r="I373" s="11">
        <f t="shared" si="586"/>
        <v>0.23920737944581738</v>
      </c>
      <c r="J373" s="11">
        <f t="shared" si="586"/>
        <v>0.11075618985519459</v>
      </c>
      <c r="K373" s="11">
        <f t="shared" si="586"/>
        <v>0.10562868623687038</v>
      </c>
      <c r="L373" s="11">
        <f t="shared" si="586"/>
        <v>8.3432220457892739E-2</v>
      </c>
      <c r="M373" s="11">
        <f t="shared" si="586"/>
        <v>8.3002010274737553E-2</v>
      </c>
      <c r="N373" s="11">
        <f t="shared" si="586"/>
        <v>0.30996630538235459</v>
      </c>
      <c r="O373" s="11">
        <f t="shared" si="586"/>
        <v>0.17411267607523359</v>
      </c>
      <c r="P373" s="11">
        <f t="shared" si="586"/>
        <v>4.6308046539351694E-2</v>
      </c>
      <c r="Q373" s="11">
        <f t="shared" si="586"/>
        <v>2.948301237224045E-2</v>
      </c>
      <c r="R373" s="51"/>
      <c r="S373" s="1"/>
      <c r="T373" s="1"/>
      <c r="U373" s="1"/>
      <c r="V373" s="1"/>
      <c r="W373" s="1"/>
      <c r="X373" s="1"/>
      <c r="Y373" s="11">
        <f t="shared" ref="Y373:BJ373" si="587">-Y236/Y14</f>
        <v>0.20723455815283245</v>
      </c>
      <c r="Z373" s="11">
        <f t="shared" si="587"/>
        <v>0.45427904748139147</v>
      </c>
      <c r="AA373" s="11">
        <f t="shared" si="587"/>
        <v>0.14607519178095543</v>
      </c>
      <c r="AB373" s="11">
        <f t="shared" si="587"/>
        <v>0.23191204588910133</v>
      </c>
      <c r="AC373" s="11">
        <f t="shared" si="587"/>
        <v>0.30740820641152866</v>
      </c>
      <c r="AD373" s="11">
        <f t="shared" si="587"/>
        <v>0.25952861952861961</v>
      </c>
      <c r="AE373" s="11">
        <f t="shared" si="587"/>
        <v>0.18560915780866721</v>
      </c>
      <c r="AF373" s="11">
        <f t="shared" si="587"/>
        <v>6.5585516178736522E-2</v>
      </c>
      <c r="AG373" s="11">
        <f t="shared" si="587"/>
        <v>0.10803324099722991</v>
      </c>
      <c r="AH373" s="11">
        <f t="shared" si="587"/>
        <v>9.1367060492125729E-2</v>
      </c>
      <c r="AI373" s="11">
        <f t="shared" si="587"/>
        <v>5.8891140786806961E-2</v>
      </c>
      <c r="AJ373" s="11">
        <f t="shared" si="587"/>
        <v>3.5981360634787976E-2</v>
      </c>
      <c r="AK373" s="11">
        <f t="shared" si="587"/>
        <v>0.13912607354842985</v>
      </c>
      <c r="AL373" s="11">
        <f t="shared" si="587"/>
        <v>0.16440227734395343</v>
      </c>
      <c r="AM373" s="11">
        <f t="shared" si="587"/>
        <v>6.5587032624363856E-2</v>
      </c>
      <c r="AN373" s="11">
        <f t="shared" si="587"/>
        <v>9.3220166631641024E-2</v>
      </c>
      <c r="AO373" s="11">
        <f t="shared" si="587"/>
        <v>7.1032379285493691E-2</v>
      </c>
      <c r="AP373" s="11">
        <f t="shared" si="587"/>
        <v>0.11372252262842367</v>
      </c>
      <c r="AQ373" s="11">
        <f t="shared" si="587"/>
        <v>4.953065055913803E-2</v>
      </c>
      <c r="AR373" s="11">
        <f t="shared" si="587"/>
        <v>0.14804177992033779</v>
      </c>
      <c r="AS373" s="11">
        <f t="shared" si="587"/>
        <v>6.8008246943694284E-2</v>
      </c>
      <c r="AT373" s="11">
        <f t="shared" si="587"/>
        <v>7.5087869366627744E-2</v>
      </c>
      <c r="AU373" s="11">
        <f t="shared" si="587"/>
        <v>9.6598406026217637E-2</v>
      </c>
      <c r="AV373" s="11">
        <f t="shared" si="587"/>
        <v>0.46552940973955548</v>
      </c>
      <c r="AW373" s="11">
        <f t="shared" si="587"/>
        <v>0.37872257791509562</v>
      </c>
      <c r="AX373" s="11">
        <f t="shared" si="587"/>
        <v>0.2637159355014061</v>
      </c>
      <c r="AY373" s="11">
        <f t="shared" si="587"/>
        <v>0.41495967079695545</v>
      </c>
      <c r="AZ373" s="11">
        <f t="shared" si="587"/>
        <v>0.2606662940927571</v>
      </c>
      <c r="BA373" s="11">
        <f t="shared" si="587"/>
        <v>6.3839602396333364E-2</v>
      </c>
      <c r="BB373" s="11">
        <f t="shared" si="587"/>
        <v>6.100580960869717E-2</v>
      </c>
      <c r="BC373" s="11">
        <f t="shared" si="587"/>
        <v>4.6749447875260995E-2</v>
      </c>
      <c r="BD373" s="11">
        <f t="shared" si="587"/>
        <v>4.6397570996279544E-2</v>
      </c>
      <c r="BE373" s="11">
        <f t="shared" si="587"/>
        <v>4.5982675397303899E-2</v>
      </c>
      <c r="BF373" s="11">
        <f t="shared" si="587"/>
        <v>4.6109985336284284E-2</v>
      </c>
      <c r="BG373" s="11">
        <f t="shared" si="587"/>
        <v>4.5681569528333785E-2</v>
      </c>
      <c r="BH373" s="11">
        <f t="shared" si="587"/>
        <v>2.4191546076571129E-2</v>
      </c>
      <c r="BI373" s="11">
        <f t="shared" si="587"/>
        <v>2.4068596575615817E-2</v>
      </c>
      <c r="BJ373" s="11">
        <f t="shared" si="587"/>
        <v>2.4234045712561901E-2</v>
      </c>
      <c r="BK373" s="1"/>
      <c r="BL373" s="12"/>
      <c r="BM373" s="23">
        <f t="shared" si="525"/>
        <v>367</v>
      </c>
    </row>
    <row r="374" spans="1:65" ht="12.75" hidden="1" customHeight="1" outlineLevel="2">
      <c r="A374" s="118"/>
      <c r="B374" s="8" t="s">
        <v>112</v>
      </c>
      <c r="C374" s="11"/>
      <c r="D374" s="11"/>
      <c r="E374" s="11">
        <f t="shared" ref="E374:Q374" si="588">-E236/E371</f>
        <v>0.5883869455674694</v>
      </c>
      <c r="F374" s="11">
        <f t="shared" si="588"/>
        <v>0.74635209928998714</v>
      </c>
      <c r="G374" s="11">
        <f t="shared" si="588"/>
        <v>0.78948458948458944</v>
      </c>
      <c r="H374" s="11">
        <f t="shared" si="588"/>
        <v>3.1784846897471306</v>
      </c>
      <c r="I374" s="11">
        <f t="shared" si="588"/>
        <v>4.2113231602852697</v>
      </c>
      <c r="J374" s="11">
        <f t="shared" si="588"/>
        <v>1.6604426382558075</v>
      </c>
      <c r="K374" s="11">
        <f t="shared" si="588"/>
        <v>2.0571092205513222</v>
      </c>
      <c r="L374" s="11">
        <f t="shared" si="588"/>
        <v>0.93502283264196329</v>
      </c>
      <c r="M374" s="11">
        <f t="shared" si="588"/>
        <v>0.68174479701764179</v>
      </c>
      <c r="N374" s="11">
        <f t="shared" si="588"/>
        <v>3.9556734853393394</v>
      </c>
      <c r="O374" s="11">
        <f t="shared" si="588"/>
        <v>2.2542313389961901</v>
      </c>
      <c r="P374" s="11">
        <f t="shared" si="588"/>
        <v>0.66544819179550951</v>
      </c>
      <c r="Q374" s="11">
        <f t="shared" si="588"/>
        <v>0.45066426406167381</v>
      </c>
      <c r="R374" s="51"/>
      <c r="S374" s="1"/>
      <c r="T374" s="1"/>
      <c r="U374" s="1"/>
      <c r="V374" s="1"/>
      <c r="W374" s="1"/>
      <c r="X374" s="1"/>
      <c r="Y374" s="11">
        <f t="shared" ref="Y374:BJ374" si="589">-Y236/Y371</f>
        <v>2.874787535410765</v>
      </c>
      <c r="Z374" s="11">
        <f t="shared" si="589"/>
        <v>7.0840947231027416</v>
      </c>
      <c r="AA374" s="11">
        <f t="shared" si="589"/>
        <v>2.5068584810973573</v>
      </c>
      <c r="AB374" s="11">
        <f t="shared" si="589"/>
        <v>4.0605959156344156</v>
      </c>
      <c r="AC374" s="11">
        <f t="shared" si="589"/>
        <v>5.9691689008042887</v>
      </c>
      <c r="AD374" s="11">
        <f t="shared" si="589"/>
        <v>4.2947485722245453</v>
      </c>
      <c r="AE374" s="11">
        <f t="shared" si="589"/>
        <v>2.7422082628654261</v>
      </c>
      <c r="AF374" s="11">
        <f t="shared" si="589"/>
        <v>0.95759280089988763</v>
      </c>
      <c r="AG374" s="11">
        <f t="shared" si="589"/>
        <v>1.7045454545454546</v>
      </c>
      <c r="AH374" s="11">
        <f t="shared" si="589"/>
        <v>1.3524460289166171</v>
      </c>
      <c r="AI374" s="11">
        <f t="shared" si="589"/>
        <v>1.106059025967254</v>
      </c>
      <c r="AJ374" s="11">
        <f t="shared" si="589"/>
        <v>0.71608161686490668</v>
      </c>
      <c r="AK374" s="11">
        <f t="shared" si="589"/>
        <v>2.7014084507042249</v>
      </c>
      <c r="AL374" s="11">
        <f t="shared" si="589"/>
        <v>3.2401295009475675</v>
      </c>
      <c r="AM374" s="11">
        <f t="shared" si="589"/>
        <v>1.010118553197916</v>
      </c>
      <c r="AN374" s="11">
        <f t="shared" si="589"/>
        <v>1.0040890836071559</v>
      </c>
      <c r="AO374" s="11">
        <f t="shared" si="589"/>
        <v>0.72826230373400214</v>
      </c>
      <c r="AP374" s="11">
        <f t="shared" si="589"/>
        <v>1.0131561722738578</v>
      </c>
      <c r="AQ374" s="11">
        <f t="shared" si="589"/>
        <v>0.41687276724374828</v>
      </c>
      <c r="AR374" s="11">
        <f t="shared" si="589"/>
        <v>1.1387993950950095</v>
      </c>
      <c r="AS374" s="11">
        <f t="shared" si="589"/>
        <v>0.54544395924308586</v>
      </c>
      <c r="AT374" s="11">
        <f t="shared" si="589"/>
        <v>0.64612626214966506</v>
      </c>
      <c r="AU374" s="11">
        <f t="shared" si="589"/>
        <v>1.0948192045928051</v>
      </c>
      <c r="AV374" s="11">
        <f t="shared" si="589"/>
        <v>5.7233556251587228</v>
      </c>
      <c r="AW374" s="11">
        <f t="shared" si="589"/>
        <v>5.2959915697320978</v>
      </c>
      <c r="AX374" s="11">
        <f t="shared" si="589"/>
        <v>3.4785805743552216</v>
      </c>
      <c r="AY374" s="11">
        <f t="shared" si="589"/>
        <v>4.6550524747413258</v>
      </c>
      <c r="AZ374" s="11">
        <f t="shared" si="589"/>
        <v>3.4101059506116749</v>
      </c>
      <c r="BA374" s="11">
        <f t="shared" si="589"/>
        <v>0.84610085769417087</v>
      </c>
      <c r="BB374" s="11">
        <f t="shared" si="589"/>
        <v>0.84920479005391414</v>
      </c>
      <c r="BC374" s="11">
        <f t="shared" si="589"/>
        <v>0.65745543990499433</v>
      </c>
      <c r="BD374" s="11">
        <f t="shared" si="589"/>
        <v>0.66284799556242679</v>
      </c>
      <c r="BE374" s="11">
        <f t="shared" si="589"/>
        <v>0.66819850158651362</v>
      </c>
      <c r="BF374" s="11">
        <f t="shared" si="589"/>
        <v>0.6735059205854782</v>
      </c>
      <c r="BG374" s="11">
        <f t="shared" si="589"/>
        <v>0.67876925649441133</v>
      </c>
      <c r="BH374" s="11">
        <f t="shared" si="589"/>
        <v>0.36732664989490121</v>
      </c>
      <c r="BI374" s="11">
        <f t="shared" si="589"/>
        <v>0.37293029758724378</v>
      </c>
      <c r="BJ374" s="11">
        <f t="shared" si="589"/>
        <v>0.378568279168571</v>
      </c>
      <c r="BK374" s="1"/>
      <c r="BL374" s="12"/>
      <c r="BM374" s="23">
        <f t="shared" si="525"/>
        <v>368</v>
      </c>
    </row>
    <row r="375" spans="1:65" ht="12.75" hidden="1" customHeight="1" outlineLevel="2">
      <c r="A375" s="118"/>
      <c r="B375" s="113" t="s">
        <v>49</v>
      </c>
      <c r="C375" s="1"/>
      <c r="D375" s="1"/>
      <c r="E375" s="12">
        <f t="shared" ref="E375:Q375" si="590">-E236</f>
        <v>10.042</v>
      </c>
      <c r="F375" s="12">
        <f t="shared" si="590"/>
        <v>13.35</v>
      </c>
      <c r="G375" s="12">
        <f t="shared" si="590"/>
        <v>15.241</v>
      </c>
      <c r="H375" s="12">
        <f t="shared" si="590"/>
        <v>66.745000000000005</v>
      </c>
      <c r="I375" s="12">
        <f t="shared" si="590"/>
        <v>105.7</v>
      </c>
      <c r="J375" s="12">
        <f t="shared" si="590"/>
        <v>60.47</v>
      </c>
      <c r="K375" s="12">
        <f t="shared" si="590"/>
        <v>92.60899999999998</v>
      </c>
      <c r="L375" s="12">
        <f t="shared" si="590"/>
        <v>53.646000000000001</v>
      </c>
      <c r="M375" s="12">
        <f t="shared" si="590"/>
        <v>46.45</v>
      </c>
      <c r="N375" s="12">
        <f t="shared" si="590"/>
        <v>384.62200000000001</v>
      </c>
      <c r="O375" s="12">
        <f t="shared" si="590"/>
        <v>332.5</v>
      </c>
      <c r="P375" s="12">
        <f t="shared" si="590"/>
        <v>108</v>
      </c>
      <c r="Q375" s="12">
        <f t="shared" si="590"/>
        <v>70.5</v>
      </c>
      <c r="R375" s="51"/>
      <c r="S375" s="1"/>
      <c r="T375" s="1"/>
      <c r="U375" s="1"/>
      <c r="V375" s="1"/>
      <c r="W375" s="1"/>
      <c r="X375" s="1"/>
      <c r="Y375" s="12">
        <f t="shared" ref="Y375:BJ375" si="591">-Y236</f>
        <v>15.222</v>
      </c>
      <c r="Z375" s="12">
        <f t="shared" si="591"/>
        <v>37.992000000000004</v>
      </c>
      <c r="AA375" s="12">
        <f t="shared" si="591"/>
        <v>14.986000000000001</v>
      </c>
      <c r="AB375" s="12">
        <f t="shared" si="591"/>
        <v>24.257999999999999</v>
      </c>
      <c r="AC375" s="12">
        <f t="shared" si="591"/>
        <v>35.623999999999995</v>
      </c>
      <c r="AD375" s="12">
        <f t="shared" si="591"/>
        <v>30.832000000000011</v>
      </c>
      <c r="AE375" s="12">
        <f t="shared" si="591"/>
        <v>22.7</v>
      </c>
      <c r="AF375" s="12">
        <f t="shared" si="591"/>
        <v>8.5130000000000017</v>
      </c>
      <c r="AG375" s="12">
        <f t="shared" si="591"/>
        <v>15.6</v>
      </c>
      <c r="AH375" s="12">
        <f t="shared" si="591"/>
        <v>13.657</v>
      </c>
      <c r="AI375" s="12">
        <f t="shared" si="591"/>
        <v>10.606</v>
      </c>
      <c r="AJ375" s="12">
        <f t="shared" si="591"/>
        <v>7.4049999999999994</v>
      </c>
      <c r="AK375" s="12">
        <f t="shared" si="591"/>
        <v>33.564999999999998</v>
      </c>
      <c r="AL375" s="12">
        <f t="shared" si="591"/>
        <v>41.032999999999994</v>
      </c>
      <c r="AM375" s="12">
        <f t="shared" si="591"/>
        <v>13.377000000000001</v>
      </c>
      <c r="AN375" s="12">
        <f t="shared" si="591"/>
        <v>13.750999999999999</v>
      </c>
      <c r="AO375" s="12">
        <f t="shared" si="591"/>
        <v>11.039000000000003</v>
      </c>
      <c r="AP375" s="12">
        <f t="shared" si="591"/>
        <v>15.479000000000001</v>
      </c>
      <c r="AQ375" s="12">
        <f t="shared" si="591"/>
        <v>6.0679999999999996</v>
      </c>
      <c r="AR375" s="12">
        <f t="shared" si="591"/>
        <v>17.32</v>
      </c>
      <c r="AS375" s="12">
        <f t="shared" si="591"/>
        <v>9.3680000000000003</v>
      </c>
      <c r="AT375" s="12">
        <f t="shared" si="591"/>
        <v>13.694000000000001</v>
      </c>
      <c r="AU375" s="12">
        <f t="shared" si="591"/>
        <v>23.646999999999998</v>
      </c>
      <c r="AV375" s="12">
        <f t="shared" si="591"/>
        <v>135.22</v>
      </c>
      <c r="AW375" s="12">
        <f t="shared" si="591"/>
        <v>130.66800000000003</v>
      </c>
      <c r="AX375" s="12">
        <f t="shared" si="591"/>
        <v>95.086999999999989</v>
      </c>
      <c r="AY375" s="12">
        <f t="shared" si="591"/>
        <v>153.75</v>
      </c>
      <c r="AZ375" s="12">
        <f t="shared" si="591"/>
        <v>108.75</v>
      </c>
      <c r="BA375" s="12">
        <f t="shared" si="591"/>
        <v>35</v>
      </c>
      <c r="BB375" s="12">
        <f t="shared" si="591"/>
        <v>35</v>
      </c>
      <c r="BC375" s="12">
        <f t="shared" si="591"/>
        <v>27</v>
      </c>
      <c r="BD375" s="12">
        <f t="shared" si="591"/>
        <v>27</v>
      </c>
      <c r="BE375" s="12">
        <f t="shared" si="591"/>
        <v>27</v>
      </c>
      <c r="BF375" s="12">
        <f t="shared" si="591"/>
        <v>27</v>
      </c>
      <c r="BG375" s="12">
        <f t="shared" si="591"/>
        <v>27</v>
      </c>
      <c r="BH375" s="12">
        <f t="shared" si="591"/>
        <v>14.5</v>
      </c>
      <c r="BI375" s="12">
        <f t="shared" si="591"/>
        <v>14.5</v>
      </c>
      <c r="BJ375" s="12">
        <f t="shared" si="591"/>
        <v>14.5</v>
      </c>
      <c r="BK375" s="1"/>
      <c r="BL375" s="12"/>
      <c r="BM375" s="23">
        <f t="shared" si="525"/>
        <v>369</v>
      </c>
    </row>
    <row r="376" spans="1:65" ht="12.75" hidden="1" customHeight="1" outlineLevel="2">
      <c r="A376" s="118"/>
      <c r="B376" s="113"/>
      <c r="C376" s="1"/>
      <c r="D376" s="1"/>
      <c r="E376" s="1"/>
      <c r="F376" s="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51"/>
      <c r="S376" s="1"/>
      <c r="T376" s="1"/>
      <c r="U376" s="1"/>
      <c r="V376" s="1"/>
      <c r="W376" s="1"/>
      <c r="X376" s="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1"/>
      <c r="BE376" s="11"/>
      <c r="BF376" s="11"/>
      <c r="BG376" s="11"/>
      <c r="BH376" s="11"/>
      <c r="BI376" s="11"/>
      <c r="BJ376" s="11"/>
      <c r="BK376" s="1"/>
      <c r="BL376" s="12"/>
      <c r="BM376" s="23">
        <f t="shared" si="525"/>
        <v>370</v>
      </c>
    </row>
    <row r="377" spans="1:65" ht="12.75" hidden="1" customHeight="1" outlineLevel="2">
      <c r="A377" s="118"/>
      <c r="B377" s="40" t="s">
        <v>113</v>
      </c>
      <c r="C377" s="1"/>
      <c r="D377" s="1"/>
      <c r="E377" s="12"/>
      <c r="F377" s="12"/>
      <c r="G377" s="12"/>
      <c r="H377" s="12">
        <f t="shared" ref="H377:Q377" si="592">G258/(H371)</f>
        <v>15.440068574694031</v>
      </c>
      <c r="I377" s="12">
        <f t="shared" si="592"/>
        <v>15.681222359456552</v>
      </c>
      <c r="J377" s="12">
        <f t="shared" si="592"/>
        <v>13.622714042506454</v>
      </c>
      <c r="K377" s="12">
        <f t="shared" si="592"/>
        <v>12.448699438015058</v>
      </c>
      <c r="L377" s="12">
        <f t="shared" si="592"/>
        <v>12.707602746888835</v>
      </c>
      <c r="M377" s="12">
        <f t="shared" si="592"/>
        <v>11.475929785422844</v>
      </c>
      <c r="N377" s="12">
        <f t="shared" si="592"/>
        <v>10.795727787890943</v>
      </c>
      <c r="O377" s="12">
        <f t="shared" si="592"/>
        <v>10.341701520786415</v>
      </c>
      <c r="P377" s="12">
        <f t="shared" si="592"/>
        <v>13.758172173158814</v>
      </c>
      <c r="Q377" s="12">
        <f t="shared" si="592"/>
        <v>14.964003249124715</v>
      </c>
      <c r="R377" s="51"/>
      <c r="S377" s="1"/>
      <c r="T377" s="1"/>
      <c r="U377" s="1"/>
      <c r="V377" s="1"/>
      <c r="W377" s="1"/>
      <c r="X377" s="12"/>
      <c r="Y377" s="12"/>
      <c r="Z377" s="12">
        <f t="shared" ref="Z377:BJ377" si="593">Y258/(4*Z371)</f>
        <v>16.445599477904157</v>
      </c>
      <c r="AA377" s="12">
        <f t="shared" si="593"/>
        <v>16.459643693542994</v>
      </c>
      <c r="AB377" s="12">
        <f t="shared" si="593"/>
        <v>17.076079678607297</v>
      </c>
      <c r="AC377" s="12">
        <f t="shared" si="593"/>
        <v>18.120601541554958</v>
      </c>
      <c r="AD377" s="12">
        <f t="shared" si="593"/>
        <v>16.313936481404095</v>
      </c>
      <c r="AE377" s="12">
        <f t="shared" si="593"/>
        <v>14.982846098091326</v>
      </c>
      <c r="AF377" s="12">
        <f t="shared" si="593"/>
        <v>14.617069741282339</v>
      </c>
      <c r="AG377" s="12">
        <f t="shared" si="593"/>
        <v>14.434713723776223</v>
      </c>
      <c r="AH377" s="12">
        <f t="shared" si="593"/>
        <v>13.516587443058031</v>
      </c>
      <c r="AI377" s="12">
        <f t="shared" si="593"/>
        <v>14.61122119094796</v>
      </c>
      <c r="AJ377" s="12">
        <f t="shared" si="593"/>
        <v>13.811696160912872</v>
      </c>
      <c r="AK377" s="12">
        <f t="shared" si="593"/>
        <v>11.663822937625755</v>
      </c>
      <c r="AL377" s="12">
        <f t="shared" si="593"/>
        <v>13.569725205306382</v>
      </c>
      <c r="AM377" s="12">
        <f t="shared" si="593"/>
        <v>13.763610964283018</v>
      </c>
      <c r="AN377" s="12">
        <f t="shared" si="593"/>
        <v>13.543464768163565</v>
      </c>
      <c r="AO377" s="12">
        <f t="shared" si="593"/>
        <v>12.492842063596781</v>
      </c>
      <c r="AP377" s="12">
        <f t="shared" si="593"/>
        <v>12.578364314700876</v>
      </c>
      <c r="AQ377" s="12">
        <f t="shared" si="593"/>
        <v>13.429187276724377</v>
      </c>
      <c r="AR377" s="12">
        <f t="shared" si="593"/>
        <v>12.957229272141495</v>
      </c>
      <c r="AS377" s="12">
        <f t="shared" si="593"/>
        <v>11.731542940320232</v>
      </c>
      <c r="AT377" s="12">
        <f t="shared" si="593"/>
        <v>12.316563650089646</v>
      </c>
      <c r="AU377" s="12">
        <f t="shared" si="593"/>
        <v>12.14987962405667</v>
      </c>
      <c r="AV377" s="12">
        <f t="shared" si="593"/>
        <v>11.555383899094217</v>
      </c>
      <c r="AW377" s="12">
        <f t="shared" si="593"/>
        <v>12.429730879909213</v>
      </c>
      <c r="AX377" s="12">
        <f t="shared" si="593"/>
        <v>12.609475032010243</v>
      </c>
      <c r="AY377" s="12">
        <f t="shared" si="593"/>
        <v>11.546081821516733</v>
      </c>
      <c r="AZ377" s="12">
        <f t="shared" si="593"/>
        <v>12.575490830352807</v>
      </c>
      <c r="BA377" s="12">
        <f t="shared" si="593"/>
        <v>13.071684111507217</v>
      </c>
      <c r="BB377" s="12">
        <f t="shared" si="593"/>
        <v>13.331938957738915</v>
      </c>
      <c r="BC377" s="12">
        <f t="shared" si="593"/>
        <v>13.592921657787604</v>
      </c>
      <c r="BD377" s="12">
        <f t="shared" si="593"/>
        <v>13.870124994550981</v>
      </c>
      <c r="BE377" s="12">
        <f t="shared" si="593"/>
        <v>14.149134206210238</v>
      </c>
      <c r="BF377" s="12">
        <f t="shared" si="593"/>
        <v>14.429895529373526</v>
      </c>
      <c r="BG377" s="12">
        <f t="shared" si="593"/>
        <v>14.71235505901898</v>
      </c>
      <c r="BH377" s="12">
        <f t="shared" si="593"/>
        <v>14.99645880895493</v>
      </c>
      <c r="BI377" s="12">
        <f t="shared" si="593"/>
        <v>15.318465614195473</v>
      </c>
      <c r="BJ377" s="12">
        <f t="shared" si="593"/>
        <v>15.644693123802476</v>
      </c>
      <c r="BK377" s="1"/>
      <c r="BL377" s="12"/>
      <c r="BM377" s="23">
        <f t="shared" si="525"/>
        <v>371</v>
      </c>
    </row>
    <row r="378" spans="1:65" ht="12.75" hidden="1" customHeight="1" outlineLevel="2">
      <c r="A378" s="118"/>
      <c r="B378" s="40" t="s">
        <v>114</v>
      </c>
      <c r="C378" s="1"/>
      <c r="D378" s="1"/>
      <c r="E378" s="1"/>
      <c r="F378" s="1"/>
      <c r="G378" s="12"/>
      <c r="H378" s="12"/>
      <c r="I378" s="12">
        <f t="shared" ref="I378:Q378" si="594">-H259/(I371)</f>
        <v>2.2628391569385231</v>
      </c>
      <c r="J378" s="12">
        <f t="shared" si="594"/>
        <v>2.2487231588774783</v>
      </c>
      <c r="K378" s="12">
        <f t="shared" si="594"/>
        <v>2.6280459361602877</v>
      </c>
      <c r="L378" s="12">
        <f t="shared" si="594"/>
        <v>2.8467772858786211</v>
      </c>
      <c r="M378" s="12">
        <f t="shared" si="594"/>
        <v>3.2392784806410893</v>
      </c>
      <c r="N378" s="12">
        <f t="shared" si="594"/>
        <v>2.7396871432538332</v>
      </c>
      <c r="O378" s="12">
        <f t="shared" si="594"/>
        <v>2.4152478632102037</v>
      </c>
      <c r="P378" s="12">
        <f t="shared" si="594"/>
        <v>3.1038869042043116</v>
      </c>
      <c r="Q378" s="12">
        <f t="shared" si="594"/>
        <v>4.2576395810975134</v>
      </c>
      <c r="R378" s="51"/>
      <c r="S378" s="1"/>
      <c r="T378" s="1"/>
      <c r="U378" s="1"/>
      <c r="V378" s="1"/>
      <c r="W378" s="1"/>
      <c r="X378" s="1"/>
      <c r="Y378" s="12"/>
      <c r="Z378" s="12">
        <f t="shared" ref="Z378:BJ378" si="595">-Y259/(4*Z371)</f>
        <v>2.3975386910311394</v>
      </c>
      <c r="AA378" s="12">
        <f t="shared" si="595"/>
        <v>2.3751672800267651</v>
      </c>
      <c r="AB378" s="12">
        <f t="shared" si="595"/>
        <v>2.6269250083696019</v>
      </c>
      <c r="AC378" s="12">
        <f t="shared" si="595"/>
        <v>2.8798173592493299</v>
      </c>
      <c r="AD378" s="12">
        <f t="shared" si="595"/>
        <v>2.6018595904722108</v>
      </c>
      <c r="AE378" s="12">
        <f t="shared" si="595"/>
        <v>2.4732423290649916</v>
      </c>
      <c r="AF378" s="12">
        <f t="shared" si="595"/>
        <v>2.5357705286839147</v>
      </c>
      <c r="AG378" s="12">
        <f t="shared" si="595"/>
        <v>2.7060205419580425</v>
      </c>
      <c r="AH378" s="12">
        <f t="shared" si="595"/>
        <v>2.6790948702713409</v>
      </c>
      <c r="AI378" s="12">
        <f t="shared" si="595"/>
        <v>3.0845760767546149</v>
      </c>
      <c r="AJ378" s="12">
        <f t="shared" si="595"/>
        <v>3.0920849047480905</v>
      </c>
      <c r="AK378" s="12">
        <f t="shared" si="595"/>
        <v>2.7815291750503022</v>
      </c>
      <c r="AL378" s="12">
        <f t="shared" si="595"/>
        <v>2.9743169614655725</v>
      </c>
      <c r="AM378" s="12">
        <f t="shared" si="595"/>
        <v>3.0833459185985053</v>
      </c>
      <c r="AN378" s="12">
        <f t="shared" si="595"/>
        <v>3.2233296823658271</v>
      </c>
      <c r="AO378" s="12">
        <f t="shared" si="595"/>
        <v>3.138095395170867</v>
      </c>
      <c r="AP378" s="12">
        <f t="shared" si="595"/>
        <v>3.3614838329624295</v>
      </c>
      <c r="AQ378" s="12">
        <f t="shared" si="595"/>
        <v>3.7906189887331685</v>
      </c>
      <c r="AR378" s="12">
        <f t="shared" si="595"/>
        <v>3.867134591360379</v>
      </c>
      <c r="AS378" s="12">
        <f t="shared" si="595"/>
        <v>3.6458515283842794</v>
      </c>
      <c r="AT378" s="12">
        <f t="shared" si="595"/>
        <v>2.9912239313013118</v>
      </c>
      <c r="AU378" s="12">
        <f t="shared" si="595"/>
        <v>3.083337191536645</v>
      </c>
      <c r="AV378" s="12">
        <f t="shared" si="595"/>
        <v>3.0235968847879455</v>
      </c>
      <c r="AW378" s="12">
        <f t="shared" si="595"/>
        <v>3.1094212296842705</v>
      </c>
      <c r="AX378" s="12">
        <f t="shared" si="595"/>
        <v>3.0081854764953357</v>
      </c>
      <c r="AY378" s="12">
        <f t="shared" si="595"/>
        <v>2.6965242993928409</v>
      </c>
      <c r="AZ378" s="12">
        <f t="shared" si="595"/>
        <v>3.0516813065432826</v>
      </c>
      <c r="BA378" s="12">
        <f t="shared" si="595"/>
        <v>2.5453683220335335</v>
      </c>
      <c r="BB378" s="12">
        <f t="shared" si="595"/>
        <v>2.8056231682652308</v>
      </c>
      <c r="BC378" s="12">
        <f t="shared" si="595"/>
        <v>3.0666058683139208</v>
      </c>
      <c r="BD378" s="12">
        <f t="shared" si="595"/>
        <v>3.3438092050772976</v>
      </c>
      <c r="BE378" s="12">
        <f t="shared" si="595"/>
        <v>3.6228184167365547</v>
      </c>
      <c r="BF378" s="12">
        <f t="shared" si="595"/>
        <v>3.9035797398998433</v>
      </c>
      <c r="BG378" s="12">
        <f t="shared" si="595"/>
        <v>4.1860392695452955</v>
      </c>
      <c r="BH378" s="12">
        <f t="shared" si="595"/>
        <v>4.470143019481247</v>
      </c>
      <c r="BI378" s="12">
        <f t="shared" si="595"/>
        <v>4.7921498247217897</v>
      </c>
      <c r="BJ378" s="12">
        <f t="shared" si="595"/>
        <v>5.1183773343287919</v>
      </c>
      <c r="BK378" s="1"/>
      <c r="BL378" s="12"/>
      <c r="BM378" s="23">
        <f t="shared" si="525"/>
        <v>372</v>
      </c>
    </row>
    <row r="379" spans="1:65" ht="12.75" hidden="1" customHeight="1" outlineLevel="2">
      <c r="A379" s="118"/>
      <c r="B379" s="8" t="s">
        <v>115</v>
      </c>
      <c r="C379" s="1"/>
      <c r="D379" s="1"/>
      <c r="E379" s="1"/>
      <c r="F379" s="1"/>
      <c r="G379" s="12"/>
      <c r="H379" s="12"/>
      <c r="I379" s="12">
        <f t="shared" ref="I379:Q379" si="596">H260/(I371)</f>
        <v>13.418383202518028</v>
      </c>
      <c r="J379" s="12">
        <f t="shared" si="596"/>
        <v>11.373990883628975</v>
      </c>
      <c r="K379" s="12">
        <f t="shared" si="596"/>
        <v>9.8206535018547712</v>
      </c>
      <c r="L379" s="12">
        <f t="shared" si="596"/>
        <v>9.8608254610102133</v>
      </c>
      <c r="M379" s="12">
        <f t="shared" si="596"/>
        <v>8.2366513047817538</v>
      </c>
      <c r="N379" s="12">
        <f t="shared" si="596"/>
        <v>8.0560406446371076</v>
      </c>
      <c r="O379" s="12">
        <f t="shared" si="596"/>
        <v>7.9264536575762126</v>
      </c>
      <c r="P379" s="12">
        <f t="shared" si="596"/>
        <v>10.654285268954503</v>
      </c>
      <c r="Q379" s="12">
        <f t="shared" si="596"/>
        <v>10.706363668027201</v>
      </c>
      <c r="R379" s="51"/>
      <c r="S379" s="1"/>
      <c r="T379" s="1"/>
      <c r="U379" s="1"/>
      <c r="V379" s="1"/>
      <c r="W379" s="1"/>
      <c r="X379" s="1"/>
      <c r="Y379" s="12"/>
      <c r="Z379" s="12">
        <f t="shared" ref="Z379:BJ379" si="597">Y260/(4*Z371)</f>
        <v>14.048060786873016</v>
      </c>
      <c r="AA379" s="12">
        <f t="shared" si="597"/>
        <v>14.084476413516228</v>
      </c>
      <c r="AB379" s="12">
        <f t="shared" si="597"/>
        <v>14.449154670237697</v>
      </c>
      <c r="AC379" s="12">
        <f t="shared" si="597"/>
        <v>15.24078418230563</v>
      </c>
      <c r="AD379" s="12">
        <f t="shared" si="597"/>
        <v>13.712076890931883</v>
      </c>
      <c r="AE379" s="12">
        <f t="shared" si="597"/>
        <v>12.509603769026334</v>
      </c>
      <c r="AF379" s="12">
        <f t="shared" si="597"/>
        <v>12.081299212598424</v>
      </c>
      <c r="AG379" s="12">
        <f t="shared" si="597"/>
        <v>11.728693181818182</v>
      </c>
      <c r="AH379" s="12">
        <f t="shared" si="597"/>
        <v>10.83749257278669</v>
      </c>
      <c r="AI379" s="12">
        <f t="shared" si="597"/>
        <v>11.526645114193345</v>
      </c>
      <c r="AJ379" s="12">
        <f t="shared" si="597"/>
        <v>10.719611256164782</v>
      </c>
      <c r="AK379" s="12">
        <f t="shared" si="597"/>
        <v>8.8822937625754523</v>
      </c>
      <c r="AL379" s="12">
        <f t="shared" si="597"/>
        <v>10.59540824384081</v>
      </c>
      <c r="AM379" s="12">
        <f t="shared" si="597"/>
        <v>10.680265045684513</v>
      </c>
      <c r="AN379" s="12">
        <f t="shared" si="597"/>
        <v>10.320135085797736</v>
      </c>
      <c r="AO379" s="12">
        <f t="shared" si="597"/>
        <v>9.3547466684259142</v>
      </c>
      <c r="AP379" s="12">
        <f t="shared" si="597"/>
        <v>9.2168804817384462</v>
      </c>
      <c r="AQ379" s="12">
        <f t="shared" si="597"/>
        <v>9.6385682879912071</v>
      </c>
      <c r="AR379" s="12">
        <f t="shared" si="597"/>
        <v>9.0900946807811174</v>
      </c>
      <c r="AS379" s="12">
        <f t="shared" si="597"/>
        <v>8.0856914119359526</v>
      </c>
      <c r="AT379" s="12">
        <f t="shared" si="597"/>
        <v>9.3253397187883369</v>
      </c>
      <c r="AU379" s="12">
        <f t="shared" si="597"/>
        <v>9.0665424325200235</v>
      </c>
      <c r="AV379" s="12">
        <f t="shared" si="597"/>
        <v>8.5317870143062731</v>
      </c>
      <c r="AW379" s="12">
        <f t="shared" si="597"/>
        <v>9.3203096502249441</v>
      </c>
      <c r="AX379" s="12">
        <f t="shared" si="597"/>
        <v>9.6012895555149083</v>
      </c>
      <c r="AY379" s="12">
        <f t="shared" si="597"/>
        <v>8.8495575221238933</v>
      </c>
      <c r="AZ379" s="12">
        <f t="shared" si="597"/>
        <v>9.5238095238095237</v>
      </c>
      <c r="BA379" s="12">
        <f t="shared" si="597"/>
        <v>10.526315789473683</v>
      </c>
      <c r="BB379" s="12">
        <f t="shared" si="597"/>
        <v>10.526315789473683</v>
      </c>
      <c r="BC379" s="12">
        <f t="shared" si="597"/>
        <v>10.526315789473683</v>
      </c>
      <c r="BD379" s="12">
        <f t="shared" si="597"/>
        <v>10.526315789473683</v>
      </c>
      <c r="BE379" s="12">
        <f t="shared" si="597"/>
        <v>10.526315789473683</v>
      </c>
      <c r="BF379" s="12">
        <f t="shared" si="597"/>
        <v>10.526315789473683</v>
      </c>
      <c r="BG379" s="12">
        <f t="shared" si="597"/>
        <v>10.526315789473683</v>
      </c>
      <c r="BH379" s="12">
        <f t="shared" si="597"/>
        <v>10.526315789473683</v>
      </c>
      <c r="BI379" s="12">
        <f t="shared" si="597"/>
        <v>10.526315789473683</v>
      </c>
      <c r="BJ379" s="12">
        <f t="shared" si="597"/>
        <v>10.526315789473683</v>
      </c>
      <c r="BK379" s="1"/>
      <c r="BL379" s="12"/>
      <c r="BM379" s="23">
        <f t="shared" si="525"/>
        <v>373</v>
      </c>
    </row>
    <row r="380" spans="1:65" ht="12.75" hidden="1" customHeight="1" outlineLevel="2">
      <c r="A380" s="118"/>
      <c r="B380" s="8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5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2"/>
      <c r="BM380" s="23">
        <f t="shared" si="525"/>
        <v>374</v>
      </c>
    </row>
    <row r="381" spans="1:65" ht="12.75" customHeight="1" outlineLevel="1" collapsed="1">
      <c r="A381" s="118" t="s">
        <v>29</v>
      </c>
      <c r="B381" s="111" t="s">
        <v>318</v>
      </c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5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2"/>
      <c r="BM381" s="23">
        <f t="shared" si="525"/>
        <v>375</v>
      </c>
    </row>
    <row r="382" spans="1:65" ht="12.75" hidden="1" customHeight="1" outlineLevel="2">
      <c r="A382" s="118"/>
      <c r="B382" s="8" t="s">
        <v>117</v>
      </c>
      <c r="C382" s="1"/>
      <c r="D382" s="1"/>
      <c r="E382" s="1"/>
      <c r="F382" s="12">
        <f>G382</f>
        <v>50</v>
      </c>
      <c r="G382" s="12">
        <v>50</v>
      </c>
      <c r="H382" s="12">
        <v>50.006</v>
      </c>
      <c r="I382" s="12">
        <f>AVERAGE(INDEX($S382:$AH382,I$5):INDEX($S382:$AH382,I$6))</f>
        <v>52.410249999999998</v>
      </c>
      <c r="J382" s="12">
        <f>AVERAGE(INDEX($S382:$AH382,J$5):INDEX($S382:$AH382,J$6))</f>
        <v>52.994250000000001</v>
      </c>
      <c r="K382" s="12">
        <f>AVERAGE(INDEX($S382:$BK382,K$5):INDEX($S382:$BK382,K$6))</f>
        <v>53.588250000000002</v>
      </c>
      <c r="L382" s="12">
        <f>AVERAGE(INDEX($S382:$BK382,L$5):INDEX($S382:$BK382,L$6))</f>
        <v>53.345999999999997</v>
      </c>
      <c r="M382" s="12">
        <f>AVERAGE(INDEX($S382:$BK382,M$5):INDEX($S382:$BK382,M$6))</f>
        <v>65.025499999999994</v>
      </c>
      <c r="N382" s="12">
        <f>AVERAGE(INDEX($S382:$BK382,N$5):INDEX($S382:$BK382,N$6))</f>
        <v>81.051249999999996</v>
      </c>
      <c r="O382" s="12">
        <f>AVERAGE(INDEX($S382:$BK382,O$5):INDEX($S382:$BK382,O$6))</f>
        <v>80.524254999999997</v>
      </c>
      <c r="P382" s="12">
        <f>AVERAGE(INDEX($S382:$BK382,P$5):INDEX($S382:$BK382,P$6))</f>
        <v>80.524254999999997</v>
      </c>
      <c r="Q382" s="12">
        <f>AVERAGE(INDEX($S382:$BK382,Q$5):INDEX($S382:$BK382,Q$6))</f>
        <v>80.524254999999997</v>
      </c>
      <c r="R382" s="51"/>
      <c r="S382" s="1"/>
      <c r="T382" s="1"/>
      <c r="U382" s="1"/>
      <c r="V382" s="1"/>
      <c r="W382" s="1"/>
      <c r="X382" s="1"/>
      <c r="Y382" s="1"/>
      <c r="Z382" s="12">
        <v>50</v>
      </c>
      <c r="AA382" s="12">
        <v>51.939</v>
      </c>
      <c r="AB382" s="12">
        <v>51.938000000000002</v>
      </c>
      <c r="AC382" s="12">
        <v>52.872999999999998</v>
      </c>
      <c r="AD382" s="12">
        <v>52.890999999999998</v>
      </c>
      <c r="AE382" s="12">
        <v>52.890999999999998</v>
      </c>
      <c r="AF382" s="12">
        <v>52.948</v>
      </c>
      <c r="AG382" s="12">
        <v>53.103000000000002</v>
      </c>
      <c r="AH382" s="12">
        <v>53.034999999999997</v>
      </c>
      <c r="AI382" s="109">
        <v>53.505000000000003</v>
      </c>
      <c r="AJ382" s="109">
        <v>53.505000000000003</v>
      </c>
      <c r="AK382" s="109">
        <v>53.505000000000003</v>
      </c>
      <c r="AL382" s="109">
        <v>53.838000000000001</v>
      </c>
      <c r="AM382" s="109">
        <v>53.415999999999997</v>
      </c>
      <c r="AN382" s="109">
        <v>53.302999999999997</v>
      </c>
      <c r="AO382" s="109">
        <v>53.320999999999998</v>
      </c>
      <c r="AP382" s="109">
        <v>53.344000000000001</v>
      </c>
      <c r="AQ382" s="109">
        <v>54.47</v>
      </c>
      <c r="AR382" s="109">
        <v>63.417000000000002</v>
      </c>
      <c r="AS382" s="109">
        <v>66.676000000000002</v>
      </c>
      <c r="AT382" s="109">
        <v>75.539000000000001</v>
      </c>
      <c r="AU382" s="109">
        <v>80.983000000000004</v>
      </c>
      <c r="AV382" s="109">
        <v>81.087000000000003</v>
      </c>
      <c r="AW382" s="109">
        <v>81.120999999999995</v>
      </c>
      <c r="AX382" s="109">
        <v>81.013999999999996</v>
      </c>
      <c r="AY382" s="12">
        <f>AVERAGE(AX384:AY384)</f>
        <v>80.524254999999997</v>
      </c>
      <c r="AZ382" s="12">
        <f>AVERAGE(AY384:AZ384)</f>
        <v>80.524254999999997</v>
      </c>
      <c r="BA382" s="12">
        <f>AVERAGE(AZ384:BA384)</f>
        <v>80.524254999999997</v>
      </c>
      <c r="BB382" s="12">
        <f>AVERAGE(BA384:BB384)</f>
        <v>80.524254999999997</v>
      </c>
      <c r="BC382" s="12">
        <f t="shared" ref="BC382:BJ382" si="598">AVERAGE(BB384:BC384)</f>
        <v>80.524254999999997</v>
      </c>
      <c r="BD382" s="12">
        <f t="shared" si="598"/>
        <v>80.524254999999997</v>
      </c>
      <c r="BE382" s="12">
        <f t="shared" si="598"/>
        <v>80.524254999999997</v>
      </c>
      <c r="BF382" s="12">
        <f t="shared" si="598"/>
        <v>80.524254999999997</v>
      </c>
      <c r="BG382" s="12">
        <f t="shared" si="598"/>
        <v>80.524254999999997</v>
      </c>
      <c r="BH382" s="12">
        <f t="shared" si="598"/>
        <v>80.524254999999997</v>
      </c>
      <c r="BI382" s="12">
        <f t="shared" si="598"/>
        <v>80.524254999999997</v>
      </c>
      <c r="BJ382" s="12">
        <f t="shared" si="598"/>
        <v>80.524254999999997</v>
      </c>
      <c r="BK382" s="1"/>
      <c r="BL382" s="12"/>
      <c r="BM382" s="23">
        <f t="shared" si="525"/>
        <v>376</v>
      </c>
    </row>
    <row r="383" spans="1:65" ht="12.75" hidden="1" customHeight="1" outlineLevel="2">
      <c r="A383" s="118"/>
      <c r="B383" s="114" t="s">
        <v>15</v>
      </c>
      <c r="C383" s="1"/>
      <c r="D383" s="1"/>
      <c r="E383" s="1"/>
      <c r="F383" s="12">
        <f t="shared" ref="F383:Q383" si="599">F37</f>
        <v>0</v>
      </c>
      <c r="G383" s="12">
        <f t="shared" si="599"/>
        <v>50</v>
      </c>
      <c r="H383" s="12">
        <f t="shared" si="599"/>
        <v>50</v>
      </c>
      <c r="I383" s="12">
        <f t="shared" si="599"/>
        <v>52.447499999999998</v>
      </c>
      <c r="J383" s="12">
        <f t="shared" si="599"/>
        <v>53.1875</v>
      </c>
      <c r="K383" s="12">
        <f t="shared" si="599"/>
        <v>54.262250000000002</v>
      </c>
      <c r="L383" s="12">
        <f t="shared" si="599"/>
        <v>53.747</v>
      </c>
      <c r="M383" s="12">
        <f t="shared" si="599"/>
        <v>65.025499999999994</v>
      </c>
      <c r="N383" s="12">
        <f t="shared" si="599"/>
        <v>81.973249999999993</v>
      </c>
      <c r="O383" s="12">
        <f t="shared" si="599"/>
        <v>81.425772012923701</v>
      </c>
      <c r="P383" s="12">
        <f t="shared" si="599"/>
        <v>81.425772012923701</v>
      </c>
      <c r="Q383" s="12">
        <f t="shared" si="599"/>
        <v>81.425772012923701</v>
      </c>
      <c r="R383" s="51"/>
      <c r="S383" s="1"/>
      <c r="T383" s="12"/>
      <c r="U383" s="12"/>
      <c r="V383" s="12"/>
      <c r="W383" s="12"/>
      <c r="X383" s="12"/>
      <c r="Y383" s="12"/>
      <c r="Z383" s="12">
        <f t="shared" ref="Z383:AX383" si="600">Z37</f>
        <v>52.9</v>
      </c>
      <c r="AA383" s="12">
        <f t="shared" si="600"/>
        <v>52.030999999999999</v>
      </c>
      <c r="AB383" s="12">
        <f t="shared" si="600"/>
        <v>51.984999999999999</v>
      </c>
      <c r="AC383" s="12">
        <f t="shared" si="600"/>
        <v>52.887</v>
      </c>
      <c r="AD383" s="12">
        <f t="shared" si="600"/>
        <v>52.887</v>
      </c>
      <c r="AE383" s="12">
        <f t="shared" si="600"/>
        <v>52.887</v>
      </c>
      <c r="AF383" s="12">
        <f t="shared" si="600"/>
        <v>53.226999999999997</v>
      </c>
      <c r="AG383" s="12">
        <f t="shared" si="600"/>
        <v>53.226999999999997</v>
      </c>
      <c r="AH383" s="12">
        <f t="shared" si="600"/>
        <v>53.408999999999999</v>
      </c>
      <c r="AI383" s="139">
        <f t="shared" si="600"/>
        <v>54.054000000000002</v>
      </c>
      <c r="AJ383" s="139">
        <f t="shared" si="600"/>
        <v>54.262</v>
      </c>
      <c r="AK383" s="139">
        <f t="shared" si="600"/>
        <v>54.393000000000001</v>
      </c>
      <c r="AL383" s="139">
        <f t="shared" si="600"/>
        <v>54.34</v>
      </c>
      <c r="AM383" s="139">
        <f t="shared" si="600"/>
        <v>53.869</v>
      </c>
      <c r="AN383" s="139">
        <f t="shared" si="600"/>
        <v>53.856999999999999</v>
      </c>
      <c r="AO383" s="139">
        <f t="shared" si="600"/>
        <v>53.741999999999997</v>
      </c>
      <c r="AP383" s="139">
        <f t="shared" si="600"/>
        <v>53.52</v>
      </c>
      <c r="AQ383" s="139">
        <f t="shared" si="600"/>
        <v>54.47</v>
      </c>
      <c r="AR383" s="139">
        <f t="shared" si="600"/>
        <v>63.417000000000002</v>
      </c>
      <c r="AS383" s="139">
        <f t="shared" si="600"/>
        <v>66.676000000000002</v>
      </c>
      <c r="AT383" s="139">
        <f t="shared" si="600"/>
        <v>75.539000000000001</v>
      </c>
      <c r="AU383" s="139">
        <f t="shared" si="600"/>
        <v>82.244</v>
      </c>
      <c r="AV383" s="139">
        <f t="shared" si="600"/>
        <v>81.944999999999993</v>
      </c>
      <c r="AW383" s="139">
        <f t="shared" si="600"/>
        <v>81.783000000000001</v>
      </c>
      <c r="AX383" s="139">
        <f t="shared" si="600"/>
        <v>81.921000000000006</v>
      </c>
      <c r="AY383" s="12">
        <f>+AX383/AX382*AY382</f>
        <v>81.425772012923701</v>
      </c>
      <c r="AZ383" s="12">
        <f>+AY383/AY382*AZ382</f>
        <v>81.425772012923701</v>
      </c>
      <c r="BA383" s="12">
        <f>+AZ383/AZ382*BA382</f>
        <v>81.425772012923701</v>
      </c>
      <c r="BB383" s="12">
        <f>+BA383/BA382*BB382</f>
        <v>81.425772012923701</v>
      </c>
      <c r="BC383" s="12">
        <f t="shared" ref="BC383:BJ383" si="601">+BB383/BB382*BC382</f>
        <v>81.425772012923701</v>
      </c>
      <c r="BD383" s="12">
        <f t="shared" si="601"/>
        <v>81.425772012923701</v>
      </c>
      <c r="BE383" s="12">
        <f t="shared" si="601"/>
        <v>81.425772012923701</v>
      </c>
      <c r="BF383" s="12">
        <f t="shared" si="601"/>
        <v>81.425772012923701</v>
      </c>
      <c r="BG383" s="12">
        <f t="shared" si="601"/>
        <v>81.425772012923701</v>
      </c>
      <c r="BH383" s="12">
        <f t="shared" si="601"/>
        <v>81.425772012923701</v>
      </c>
      <c r="BI383" s="12">
        <f t="shared" si="601"/>
        <v>81.425772012923701</v>
      </c>
      <c r="BJ383" s="12">
        <f t="shared" si="601"/>
        <v>81.425772012923701</v>
      </c>
      <c r="BK383" s="1"/>
      <c r="BL383" s="12"/>
      <c r="BM383" s="23">
        <f t="shared" si="525"/>
        <v>377</v>
      </c>
    </row>
    <row r="384" spans="1:65" ht="12.75" hidden="1" customHeight="1" outlineLevel="2">
      <c r="A384" s="118"/>
      <c r="B384" s="40" t="s">
        <v>118</v>
      </c>
      <c r="C384" s="1"/>
      <c r="D384" s="1"/>
      <c r="E384" s="1"/>
      <c r="F384" s="12">
        <f>G384</f>
        <v>50</v>
      </c>
      <c r="G384" s="12">
        <v>50</v>
      </c>
      <c r="H384" s="12">
        <v>50</v>
      </c>
      <c r="I384" s="12">
        <f>INDEX($S384:$AH384,I$6)</f>
        <v>52.846176</v>
      </c>
      <c r="J384" s="12">
        <f>INDEX($S384:$AH384,J$6)</f>
        <v>53.551879</v>
      </c>
      <c r="K384" s="12">
        <f t="shared" ref="K384:Q384" si="602">INDEX($S384:$BK384,K$6)</f>
        <v>53.324845000000003</v>
      </c>
      <c r="L384" s="12">
        <f t="shared" si="602"/>
        <v>53.390135999999998</v>
      </c>
      <c r="M384" s="12">
        <f t="shared" si="602"/>
        <v>81.061840000000004</v>
      </c>
      <c r="N384" s="12">
        <f t="shared" si="602"/>
        <v>80.524254999999997</v>
      </c>
      <c r="O384" s="12">
        <f t="shared" si="602"/>
        <v>80.524254999999997</v>
      </c>
      <c r="P384" s="12">
        <f t="shared" si="602"/>
        <v>80.524254999999997</v>
      </c>
      <c r="Q384" s="12">
        <f t="shared" si="602"/>
        <v>80.524254999999997</v>
      </c>
      <c r="R384" s="51"/>
      <c r="S384" s="1"/>
      <c r="T384" s="1"/>
      <c r="U384" s="1"/>
      <c r="V384" s="1"/>
      <c r="W384" s="1"/>
      <c r="X384" s="1"/>
      <c r="Y384" s="1"/>
      <c r="Z384" s="12">
        <v>50</v>
      </c>
      <c r="AA384" s="12">
        <v>52.941175999999999</v>
      </c>
      <c r="AB384" s="12">
        <v>52.921176000000003</v>
      </c>
      <c r="AC384" s="12">
        <v>52.846176</v>
      </c>
      <c r="AD384" s="12">
        <v>52.846176</v>
      </c>
      <c r="AE384" s="12">
        <v>52.846176</v>
      </c>
      <c r="AF384" s="12">
        <v>53.177362000000002</v>
      </c>
      <c r="AG384" s="12">
        <v>53.384264000000002</v>
      </c>
      <c r="AH384" s="12">
        <v>53.551879</v>
      </c>
      <c r="AI384" s="109">
        <v>53.758091999999998</v>
      </c>
      <c r="AJ384" s="109">
        <v>53.847267000000002</v>
      </c>
      <c r="AK384" s="109">
        <v>53.847267000000002</v>
      </c>
      <c r="AL384" s="109">
        <v>53.324845000000003</v>
      </c>
      <c r="AM384" s="109">
        <v>53.391503999999998</v>
      </c>
      <c r="AN384" s="109">
        <v>53.383612999999997</v>
      </c>
      <c r="AO384" s="109">
        <v>53.386173999999997</v>
      </c>
      <c r="AP384" s="109">
        <v>53.390135999999998</v>
      </c>
      <c r="AQ384" s="109">
        <v>63.481698999999999</v>
      </c>
      <c r="AR384" s="109">
        <v>63.581009999999999</v>
      </c>
      <c r="AS384" s="109">
        <v>70.615465999999998</v>
      </c>
      <c r="AT384" s="109">
        <v>81.061840000000004</v>
      </c>
      <c r="AU384" s="109">
        <v>81.016660000000002</v>
      </c>
      <c r="AV384" s="109">
        <v>81.199037000000004</v>
      </c>
      <c r="AW384" s="109">
        <v>81.229636999999997</v>
      </c>
      <c r="AX384" s="109">
        <v>80.524254999999997</v>
      </c>
      <c r="AY384" s="12">
        <f>AX384</f>
        <v>80.524254999999997</v>
      </c>
      <c r="AZ384" s="12">
        <f>AY384</f>
        <v>80.524254999999997</v>
      </c>
      <c r="BA384" s="12">
        <f>AZ384</f>
        <v>80.524254999999997</v>
      </c>
      <c r="BB384" s="12">
        <f>BA384</f>
        <v>80.524254999999997</v>
      </c>
      <c r="BC384" s="12">
        <f t="shared" ref="BC384:BJ384" si="603">BB384</f>
        <v>80.524254999999997</v>
      </c>
      <c r="BD384" s="12">
        <f t="shared" si="603"/>
        <v>80.524254999999997</v>
      </c>
      <c r="BE384" s="12">
        <f t="shared" si="603"/>
        <v>80.524254999999997</v>
      </c>
      <c r="BF384" s="12">
        <f t="shared" si="603"/>
        <v>80.524254999999997</v>
      </c>
      <c r="BG384" s="12">
        <f t="shared" si="603"/>
        <v>80.524254999999997</v>
      </c>
      <c r="BH384" s="12">
        <f t="shared" si="603"/>
        <v>80.524254999999997</v>
      </c>
      <c r="BI384" s="12">
        <f t="shared" si="603"/>
        <v>80.524254999999997</v>
      </c>
      <c r="BJ384" s="12">
        <f t="shared" si="603"/>
        <v>80.524254999999997</v>
      </c>
      <c r="BK384" s="1"/>
      <c r="BL384" s="12"/>
      <c r="BM384" s="23">
        <f t="shared" si="525"/>
        <v>378</v>
      </c>
    </row>
    <row r="385" spans="1:65" ht="12.75" hidden="1" customHeight="1" outlineLevel="2">
      <c r="A385" s="118"/>
      <c r="B385" s="8" t="s">
        <v>319</v>
      </c>
      <c r="C385" s="11"/>
      <c r="D385" s="11"/>
      <c r="E385" s="11"/>
      <c r="F385" s="11"/>
      <c r="G385" s="11">
        <f>G383/G382</f>
        <v>1</v>
      </c>
      <c r="H385" s="11">
        <f t="shared" ref="H385:N385" si="604">H383/H382</f>
        <v>0.99988001439827223</v>
      </c>
      <c r="I385" s="11">
        <f t="shared" si="604"/>
        <v>1.0007107388344838</v>
      </c>
      <c r="J385" s="11">
        <f t="shared" si="604"/>
        <v>1.0036466220391835</v>
      </c>
      <c r="K385" s="11">
        <f t="shared" si="604"/>
        <v>1.0125773840347465</v>
      </c>
      <c r="L385" s="11">
        <f t="shared" si="604"/>
        <v>1.0075169647208788</v>
      </c>
      <c r="M385" s="11">
        <f t="shared" si="604"/>
        <v>1</v>
      </c>
      <c r="N385" s="11">
        <f t="shared" si="604"/>
        <v>1.0113755185762094</v>
      </c>
      <c r="O385" s="11">
        <f>O383/O382</f>
        <v>1.0111955958229444</v>
      </c>
      <c r="P385" s="11">
        <f>P383/P382</f>
        <v>1.0111955958229444</v>
      </c>
      <c r="Q385" s="11">
        <f>Q383/Q382</f>
        <v>1.0111955958229444</v>
      </c>
      <c r="R385" s="51"/>
      <c r="S385" s="1"/>
      <c r="T385" s="1"/>
      <c r="U385" s="1"/>
      <c r="V385" s="1"/>
      <c r="W385" s="1"/>
      <c r="X385" s="1"/>
      <c r="Y385" s="11"/>
      <c r="Z385" s="11">
        <f t="shared" ref="Z385:AX385" si="605">Z383/Z382</f>
        <v>1.0580000000000001</v>
      </c>
      <c r="AA385" s="11">
        <f t="shared" si="605"/>
        <v>1.0017713086505324</v>
      </c>
      <c r="AB385" s="11">
        <f t="shared" si="605"/>
        <v>1.0009049251030073</v>
      </c>
      <c r="AC385" s="11">
        <f t="shared" si="605"/>
        <v>1.0002647854292361</v>
      </c>
      <c r="AD385" s="11">
        <f t="shared" si="605"/>
        <v>0.99992437276663326</v>
      </c>
      <c r="AE385" s="11">
        <f t="shared" si="605"/>
        <v>0.99992437276663326</v>
      </c>
      <c r="AF385" s="11">
        <f t="shared" si="605"/>
        <v>1.0052693208430912</v>
      </c>
      <c r="AG385" s="11">
        <f t="shared" si="605"/>
        <v>1.0023350846468184</v>
      </c>
      <c r="AH385" s="11">
        <f t="shared" si="605"/>
        <v>1.0070519468275667</v>
      </c>
      <c r="AI385" s="11">
        <f t="shared" si="605"/>
        <v>1.0102607232968881</v>
      </c>
      <c r="AJ385" s="11">
        <f t="shared" si="605"/>
        <v>1.0141482104476216</v>
      </c>
      <c r="AK385" s="11">
        <f t="shared" si="605"/>
        <v>1.0165965797589009</v>
      </c>
      <c r="AL385" s="11">
        <f t="shared" si="605"/>
        <v>1.0093242691036071</v>
      </c>
      <c r="AM385" s="11">
        <f t="shared" si="605"/>
        <v>1.0084806050621538</v>
      </c>
      <c r="AN385" s="11">
        <f t="shared" si="605"/>
        <v>1.01039341125265</v>
      </c>
      <c r="AO385" s="11">
        <f t="shared" si="605"/>
        <v>1.0078955758519157</v>
      </c>
      <c r="AP385" s="11">
        <f t="shared" si="605"/>
        <v>1.0032993401319736</v>
      </c>
      <c r="AQ385" s="11">
        <f t="shared" si="605"/>
        <v>1</v>
      </c>
      <c r="AR385" s="11">
        <f t="shared" si="605"/>
        <v>1</v>
      </c>
      <c r="AS385" s="11">
        <f t="shared" si="605"/>
        <v>1</v>
      </c>
      <c r="AT385" s="11">
        <f t="shared" si="605"/>
        <v>1</v>
      </c>
      <c r="AU385" s="11">
        <f t="shared" si="605"/>
        <v>1.0155711692577454</v>
      </c>
      <c r="AV385" s="11">
        <f t="shared" si="605"/>
        <v>1.0105812275703872</v>
      </c>
      <c r="AW385" s="11">
        <f t="shared" si="605"/>
        <v>1.0081606489071882</v>
      </c>
      <c r="AX385" s="11">
        <f t="shared" si="605"/>
        <v>1.0111955958229444</v>
      </c>
      <c r="AY385" s="11">
        <f>AY383/AY382</f>
        <v>1.0111955958229444</v>
      </c>
      <c r="AZ385" s="11">
        <f>AZ383/AZ382</f>
        <v>1.0111955958229444</v>
      </c>
      <c r="BA385" s="11">
        <f>BA383/BA382</f>
        <v>1.0111955958229444</v>
      </c>
      <c r="BB385" s="11">
        <f>BB383/BB382</f>
        <v>1.0111955958229444</v>
      </c>
      <c r="BC385" s="11">
        <f t="shared" ref="BC385:BJ385" si="606">BC383/BC382</f>
        <v>1.0111955958229444</v>
      </c>
      <c r="BD385" s="11">
        <f t="shared" si="606"/>
        <v>1.0111955958229444</v>
      </c>
      <c r="BE385" s="11">
        <f t="shared" si="606"/>
        <v>1.0111955958229444</v>
      </c>
      <c r="BF385" s="11">
        <f t="shared" si="606"/>
        <v>1.0111955958229444</v>
      </c>
      <c r="BG385" s="11">
        <f t="shared" si="606"/>
        <v>1.0111955958229444</v>
      </c>
      <c r="BH385" s="11">
        <f t="shared" si="606"/>
        <v>1.0111955958229444</v>
      </c>
      <c r="BI385" s="11">
        <f t="shared" si="606"/>
        <v>1.0111955958229444</v>
      </c>
      <c r="BJ385" s="11">
        <f t="shared" si="606"/>
        <v>1.0111955958229444</v>
      </c>
      <c r="BK385" s="1"/>
      <c r="BL385" s="12"/>
      <c r="BM385" s="23">
        <f t="shared" si="525"/>
        <v>379</v>
      </c>
    </row>
    <row r="386" spans="1:65" ht="12.75" hidden="1" customHeight="1" outlineLevel="2">
      <c r="A386" s="119"/>
      <c r="B386" s="113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5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2"/>
      <c r="BM386" s="23">
        <f t="shared" si="525"/>
        <v>380</v>
      </c>
    </row>
    <row r="387" spans="1:65" ht="12.75" hidden="1" customHeight="1" outlineLevel="2">
      <c r="A387" s="119"/>
      <c r="B387" s="114" t="s">
        <v>320</v>
      </c>
      <c r="C387" s="108"/>
      <c r="D387" s="108"/>
      <c r="E387" s="108"/>
      <c r="F387" s="108">
        <f t="shared" ref="F387:Q387" si="607">F32/F382</f>
        <v>0.11077999999999978</v>
      </c>
      <c r="G387" s="108">
        <f t="shared" si="607"/>
        <v>0.22874000000000008</v>
      </c>
      <c r="H387" s="108">
        <f t="shared" si="607"/>
        <v>0.56685597728272641</v>
      </c>
      <c r="I387" s="108">
        <f t="shared" si="607"/>
        <v>1.509851603455431</v>
      </c>
      <c r="J387" s="108">
        <f t="shared" si="607"/>
        <v>1.4199653736018525</v>
      </c>
      <c r="K387" s="108">
        <f t="shared" si="607"/>
        <v>2.2922935531576423</v>
      </c>
      <c r="L387" s="108">
        <f t="shared" si="607"/>
        <v>0.22247216286132054</v>
      </c>
      <c r="M387" s="108">
        <f t="shared" si="607"/>
        <v>-0.62947612859570501</v>
      </c>
      <c r="N387" s="108">
        <f t="shared" si="607"/>
        <v>1.7915331348992156</v>
      </c>
      <c r="O387" s="108">
        <f t="shared" si="607"/>
        <v>2.9068259344176637</v>
      </c>
      <c r="P387" s="108">
        <f t="shared" si="607"/>
        <v>3.5328568447781614</v>
      </c>
      <c r="Q387" s="108">
        <f t="shared" si="607"/>
        <v>3.3621734712706601</v>
      </c>
      <c r="R387" s="315"/>
      <c r="S387" s="108"/>
      <c r="T387" s="108"/>
      <c r="U387" s="108"/>
      <c r="V387" s="108"/>
      <c r="W387" s="108"/>
      <c r="X387" s="108"/>
      <c r="Y387" s="108"/>
      <c r="Z387" s="108">
        <f t="shared" ref="Z387:BJ387" si="608">Z32/Z382</f>
        <v>0.20090000000000002</v>
      </c>
      <c r="AA387" s="108">
        <f t="shared" si="608"/>
        <v>0.36798937214809657</v>
      </c>
      <c r="AB387" s="108">
        <f t="shared" si="608"/>
        <v>0.37452347029150113</v>
      </c>
      <c r="AC387" s="108">
        <f t="shared" si="608"/>
        <v>0.35549335199440163</v>
      </c>
      <c r="AD387" s="108">
        <f t="shared" si="608"/>
        <v>0.4116144523642965</v>
      </c>
      <c r="AE387" s="108">
        <f t="shared" si="608"/>
        <v>0.32665292771927179</v>
      </c>
      <c r="AF387" s="108">
        <f t="shared" si="608"/>
        <v>0.38135529198458867</v>
      </c>
      <c r="AG387" s="108">
        <f t="shared" si="608"/>
        <v>0.4016345592527728</v>
      </c>
      <c r="AH387" s="108">
        <f t="shared" si="608"/>
        <v>0.31022909399453197</v>
      </c>
      <c r="AI387" s="108">
        <f t="shared" si="608"/>
        <v>0.3433510886833005</v>
      </c>
      <c r="AJ387" s="108">
        <f t="shared" si="608"/>
        <v>0.53553873469769186</v>
      </c>
      <c r="AK387" s="108">
        <f t="shared" si="608"/>
        <v>0.7957574058499205</v>
      </c>
      <c r="AL387" s="108">
        <f t="shared" si="608"/>
        <v>0.61737063040974771</v>
      </c>
      <c r="AM387" s="108">
        <f t="shared" si="608"/>
        <v>0.27750112325894855</v>
      </c>
      <c r="AN387" s="108">
        <f t="shared" si="608"/>
        <v>0.18672494981520732</v>
      </c>
      <c r="AO387" s="108">
        <f t="shared" si="608"/>
        <v>4.5235460700286952E-2</v>
      </c>
      <c r="AP387" s="108">
        <f t="shared" si="608"/>
        <v>-0.28719256148770245</v>
      </c>
      <c r="AQ387" s="108">
        <f t="shared" si="608"/>
        <v>-0.19570405727923626</v>
      </c>
      <c r="AR387" s="108">
        <f t="shared" si="608"/>
        <v>-0.18908179194853117</v>
      </c>
      <c r="AS387" s="108">
        <f t="shared" si="608"/>
        <v>-0.17006119143319939</v>
      </c>
      <c r="AT387" s="108">
        <f t="shared" si="608"/>
        <v>-9.1899548577555903E-2</v>
      </c>
      <c r="AU387" s="108">
        <f t="shared" si="608"/>
        <v>3.114233851549093E-2</v>
      </c>
      <c r="AV387" s="108">
        <f t="shared" si="608"/>
        <v>0.36330114568303157</v>
      </c>
      <c r="AW387" s="108">
        <f t="shared" si="608"/>
        <v>0.50878317574980569</v>
      </c>
      <c r="AX387" s="108">
        <f t="shared" si="608"/>
        <v>0.88814279013503838</v>
      </c>
      <c r="AY387" s="108">
        <f t="shared" si="608"/>
        <v>0.34630504081658392</v>
      </c>
      <c r="AZ387" s="108">
        <f t="shared" si="608"/>
        <v>0.67492718956911646</v>
      </c>
      <c r="BA387" s="108">
        <f t="shared" si="608"/>
        <v>0.90170297550863499</v>
      </c>
      <c r="BB387" s="108">
        <f t="shared" si="608"/>
        <v>0.98389072852332893</v>
      </c>
      <c r="BC387" s="108">
        <f t="shared" si="608"/>
        <v>0.93065098153527459</v>
      </c>
      <c r="BD387" s="108">
        <f t="shared" si="608"/>
        <v>0.90699450752239452</v>
      </c>
      <c r="BE387" s="108">
        <f t="shared" si="608"/>
        <v>0.87915699615833698</v>
      </c>
      <c r="BF387" s="108">
        <f t="shared" si="608"/>
        <v>0.81605435956215433</v>
      </c>
      <c r="BG387" s="108">
        <f t="shared" si="608"/>
        <v>0.81574958035557177</v>
      </c>
      <c r="BH387" s="108">
        <f t="shared" si="608"/>
        <v>0.8570216271323472</v>
      </c>
      <c r="BI387" s="108">
        <f t="shared" si="608"/>
        <v>0.86123703835053911</v>
      </c>
      <c r="BJ387" s="108">
        <f t="shared" si="608"/>
        <v>0.82816522543220039</v>
      </c>
      <c r="BK387" s="1"/>
      <c r="BL387" s="12"/>
      <c r="BM387" s="23">
        <f t="shared" si="525"/>
        <v>381</v>
      </c>
    </row>
    <row r="388" spans="1:65" ht="12.75" hidden="1" customHeight="1" outlineLevel="2">
      <c r="A388" s="119"/>
      <c r="B388" s="114" t="s">
        <v>321</v>
      </c>
      <c r="C388" s="108"/>
      <c r="D388" s="108"/>
      <c r="E388" s="108"/>
      <c r="F388" s="108">
        <f t="shared" ref="F388:Q388" si="609">F30/F382</f>
        <v>0.11077999999999978</v>
      </c>
      <c r="G388" s="108">
        <f t="shared" si="609"/>
        <v>0.43264000000000008</v>
      </c>
      <c r="H388" s="108">
        <f t="shared" si="609"/>
        <v>0.8190637123545178</v>
      </c>
      <c r="I388" s="108">
        <f t="shared" si="609"/>
        <v>1.4604337891919996</v>
      </c>
      <c r="J388" s="108">
        <f t="shared" si="609"/>
        <v>1.4900624124315369</v>
      </c>
      <c r="K388" s="108">
        <f t="shared" si="609"/>
        <v>2.2922935531576423</v>
      </c>
      <c r="L388" s="108">
        <f t="shared" si="609"/>
        <v>9.2724684137517499E-2</v>
      </c>
      <c r="M388" s="108">
        <f t="shared" si="609"/>
        <v>-0.5652434814034496</v>
      </c>
      <c r="N388" s="108">
        <f t="shared" si="609"/>
        <v>1.4444687774710452</v>
      </c>
      <c r="O388" s="108">
        <f t="shared" si="609"/>
        <v>2.9068259344176637</v>
      </c>
      <c r="P388" s="108">
        <f t="shared" si="609"/>
        <v>3.5328568447781614</v>
      </c>
      <c r="Q388" s="108">
        <f t="shared" si="609"/>
        <v>3.3621734712706601</v>
      </c>
      <c r="R388" s="315"/>
      <c r="S388" s="108"/>
      <c r="T388" s="108"/>
      <c r="U388" s="108"/>
      <c r="V388" s="108"/>
      <c r="W388" s="108"/>
      <c r="X388" s="108"/>
      <c r="Y388" s="108"/>
      <c r="Z388" s="108">
        <f t="shared" ref="Z388:BJ388" si="610">Z30/Z382</f>
        <v>0.31728200000000006</v>
      </c>
      <c r="AA388" s="108">
        <f t="shared" si="610"/>
        <v>0.36798937214809657</v>
      </c>
      <c r="AB388" s="108">
        <f t="shared" si="610"/>
        <v>0.37452347029150113</v>
      </c>
      <c r="AC388" s="108">
        <f t="shared" si="610"/>
        <v>0.35549335199440163</v>
      </c>
      <c r="AD388" s="108">
        <f t="shared" si="610"/>
        <v>0.36264581875933533</v>
      </c>
      <c r="AE388" s="108">
        <f t="shared" si="610"/>
        <v>0.34665141517460446</v>
      </c>
      <c r="AF388" s="108">
        <f t="shared" si="610"/>
        <v>0.38135529198458867</v>
      </c>
      <c r="AG388" s="108">
        <f t="shared" si="610"/>
        <v>0.42246200779616966</v>
      </c>
      <c r="AH388" s="108">
        <f t="shared" si="610"/>
        <v>0.3394739323088527</v>
      </c>
      <c r="AI388" s="108">
        <f t="shared" si="610"/>
        <v>0.3433510886833005</v>
      </c>
      <c r="AJ388" s="108">
        <f t="shared" si="610"/>
        <v>0.53553873469769186</v>
      </c>
      <c r="AK388" s="108">
        <f t="shared" si="610"/>
        <v>0.7957574058499205</v>
      </c>
      <c r="AL388" s="108">
        <f t="shared" si="610"/>
        <v>0.61737063040974771</v>
      </c>
      <c r="AM388" s="108">
        <f t="shared" si="610"/>
        <v>0.39943032050321992</v>
      </c>
      <c r="AN388" s="108">
        <f t="shared" si="610"/>
        <v>-2.869817833893034E-2</v>
      </c>
      <c r="AO388" s="108">
        <f t="shared" si="610"/>
        <v>-3.9379981620749772E-2</v>
      </c>
      <c r="AP388" s="108">
        <f t="shared" si="610"/>
        <v>-0.23920215956808638</v>
      </c>
      <c r="AQ388" s="108">
        <f t="shared" si="610"/>
        <v>-0.18863594639250961</v>
      </c>
      <c r="AR388" s="108">
        <f t="shared" si="610"/>
        <v>-0.17954176324960186</v>
      </c>
      <c r="AS388" s="108">
        <f t="shared" si="610"/>
        <v>-0.13546103545503632</v>
      </c>
      <c r="AT388" s="108">
        <f t="shared" si="610"/>
        <v>-8.0253114285335991E-2</v>
      </c>
      <c r="AU388" s="108">
        <f t="shared" si="610"/>
        <v>8.1708506723633376E-2</v>
      </c>
      <c r="AV388" s="108">
        <f t="shared" si="610"/>
        <v>0.36330114568303157</v>
      </c>
      <c r="AW388" s="108">
        <f t="shared" si="610"/>
        <v>0.50878317574980569</v>
      </c>
      <c r="AX388" s="108">
        <f t="shared" si="610"/>
        <v>0.49037203446317928</v>
      </c>
      <c r="AY388" s="108">
        <f t="shared" si="610"/>
        <v>0.34630504081658392</v>
      </c>
      <c r="AZ388" s="108">
        <f t="shared" si="610"/>
        <v>0.67492718956911646</v>
      </c>
      <c r="BA388" s="108">
        <f t="shared" si="610"/>
        <v>0.90170297550863499</v>
      </c>
      <c r="BB388" s="108">
        <f t="shared" si="610"/>
        <v>0.98389072852332893</v>
      </c>
      <c r="BC388" s="108">
        <f t="shared" si="610"/>
        <v>0.93065098153527459</v>
      </c>
      <c r="BD388" s="108">
        <f t="shared" si="610"/>
        <v>0.90699450752239452</v>
      </c>
      <c r="BE388" s="108">
        <f t="shared" si="610"/>
        <v>0.87915699615833698</v>
      </c>
      <c r="BF388" s="108">
        <f t="shared" si="610"/>
        <v>0.81605435956215433</v>
      </c>
      <c r="BG388" s="108">
        <f t="shared" si="610"/>
        <v>0.81574958035557177</v>
      </c>
      <c r="BH388" s="108">
        <f t="shared" si="610"/>
        <v>0.8570216271323472</v>
      </c>
      <c r="BI388" s="108">
        <f t="shared" si="610"/>
        <v>0.86123703835053911</v>
      </c>
      <c r="BJ388" s="108">
        <f t="shared" si="610"/>
        <v>0.82816522543220039</v>
      </c>
      <c r="BK388" s="1"/>
      <c r="BL388" s="12"/>
      <c r="BM388" s="23">
        <f t="shared" si="525"/>
        <v>382</v>
      </c>
    </row>
    <row r="389" spans="1:65" ht="12.75" hidden="1" customHeight="1" outlineLevel="2">
      <c r="A389" s="119"/>
      <c r="B389" s="113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5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2"/>
      <c r="BM389" s="23">
        <f t="shared" si="525"/>
        <v>383</v>
      </c>
    </row>
    <row r="390" spans="1:65" ht="12.75" hidden="1" customHeight="1" outlineLevel="2">
      <c r="A390" s="118"/>
      <c r="B390" s="41" t="s">
        <v>97</v>
      </c>
      <c r="C390" s="1"/>
      <c r="D390" s="1"/>
      <c r="E390" s="1"/>
      <c r="F390" s="1"/>
      <c r="G390" s="12"/>
      <c r="H390" s="12">
        <f t="shared" ref="H390:J391" si="611">INDEX($S390:$AH390,H$6)</f>
        <v>121.93400000000001</v>
      </c>
      <c r="I390" s="12">
        <f t="shared" si="611"/>
        <v>231.69399999999999</v>
      </c>
      <c r="J390" s="12">
        <f t="shared" si="611"/>
        <v>309.29400000000004</v>
      </c>
      <c r="K390" s="12">
        <f t="shared" ref="K390:Q391" si="612">INDEX($S390:$BK390,K$6)</f>
        <v>403.81600000000003</v>
      </c>
      <c r="L390" s="12">
        <f t="shared" si="612"/>
        <v>384.16699999999997</v>
      </c>
      <c r="M390" s="12">
        <f t="shared" si="612"/>
        <v>1273.29</v>
      </c>
      <c r="N390" s="12">
        <f t="shared" si="612"/>
        <v>1396.5060000000001</v>
      </c>
      <c r="O390" s="12">
        <f t="shared" si="612"/>
        <v>1636.3085980312383</v>
      </c>
      <c r="P390" s="12">
        <f t="shared" si="612"/>
        <v>1926.5528204754189</v>
      </c>
      <c r="Q390" s="12">
        <f t="shared" si="612"/>
        <v>2203.0528914270212</v>
      </c>
      <c r="R390" s="51"/>
      <c r="S390" s="1"/>
      <c r="T390" s="1"/>
      <c r="U390" s="1"/>
      <c r="V390" s="1"/>
      <c r="W390" s="1"/>
      <c r="X390" s="1"/>
      <c r="Y390" s="12">
        <f t="shared" ref="Y390:BJ390" si="613">Y284</f>
        <v>118.45199999999998</v>
      </c>
      <c r="Z390" s="12">
        <f t="shared" si="613"/>
        <v>121.93400000000001</v>
      </c>
      <c r="AA390" s="12">
        <f t="shared" si="613"/>
        <v>199.41200000000001</v>
      </c>
      <c r="AB390" s="12">
        <f t="shared" si="613"/>
        <v>219.262</v>
      </c>
      <c r="AC390" s="12">
        <f t="shared" si="613"/>
        <v>238.18799999999999</v>
      </c>
      <c r="AD390" s="12">
        <f t="shared" si="613"/>
        <v>231.69399999999999</v>
      </c>
      <c r="AE390" s="12">
        <f t="shared" si="613"/>
        <v>250.95500000000001</v>
      </c>
      <c r="AF390" s="12">
        <f t="shared" si="613"/>
        <v>267.036</v>
      </c>
      <c r="AG390" s="12">
        <f t="shared" si="613"/>
        <v>287.64599999999996</v>
      </c>
      <c r="AH390" s="12">
        <f t="shared" si="613"/>
        <v>309.29400000000004</v>
      </c>
      <c r="AI390" s="12">
        <f t="shared" si="613"/>
        <v>326.64799999999997</v>
      </c>
      <c r="AJ390" s="12">
        <f t="shared" si="613"/>
        <v>353.48399999999998</v>
      </c>
      <c r="AK390" s="12">
        <f t="shared" si="613"/>
        <v>391.14300000000003</v>
      </c>
      <c r="AL390" s="12">
        <f t="shared" si="613"/>
        <v>403.81600000000003</v>
      </c>
      <c r="AM390" s="12">
        <f t="shared" si="613"/>
        <v>398.04799999999994</v>
      </c>
      <c r="AN390" s="12">
        <f t="shared" si="613"/>
        <v>403.99899999999997</v>
      </c>
      <c r="AO390" s="12">
        <f t="shared" si="613"/>
        <v>397.66699999999997</v>
      </c>
      <c r="AP390" s="12">
        <f t="shared" si="613"/>
        <v>384.16699999999997</v>
      </c>
      <c r="AQ390" s="12">
        <f t="shared" si="613"/>
        <v>554.99300000000005</v>
      </c>
      <c r="AR390" s="12">
        <f t="shared" si="613"/>
        <v>541.346</v>
      </c>
      <c r="AS390" s="12">
        <f t="shared" si="613"/>
        <v>810.79499999999996</v>
      </c>
      <c r="AT390" s="12">
        <f t="shared" si="613"/>
        <v>1273.29</v>
      </c>
      <c r="AU390" s="12">
        <f t="shared" si="613"/>
        <v>1273.8959999999997</v>
      </c>
      <c r="AV390" s="12">
        <f t="shared" si="613"/>
        <v>1302.2079999999999</v>
      </c>
      <c r="AW390" s="12">
        <f t="shared" si="613"/>
        <v>1348.7950000000001</v>
      </c>
      <c r="AX390" s="12">
        <f t="shared" si="613"/>
        <v>1396.5060000000001</v>
      </c>
      <c r="AY390" s="12">
        <f t="shared" si="613"/>
        <v>1425.8018929145001</v>
      </c>
      <c r="AZ390" s="12">
        <f t="shared" si="613"/>
        <v>1481.5907912829891</v>
      </c>
      <c r="BA390" s="12">
        <f t="shared" si="613"/>
        <v>1555.6406408662976</v>
      </c>
      <c r="BB390" s="12">
        <f t="shared" si="613"/>
        <v>1636.3085980312383</v>
      </c>
      <c r="BC390" s="12">
        <f t="shared" si="613"/>
        <v>1712.6894642335772</v>
      </c>
      <c r="BD390" s="12">
        <f t="shared" si="613"/>
        <v>1787.165410490102</v>
      </c>
      <c r="BE390" s="12">
        <f t="shared" si="613"/>
        <v>1859.3997618829821</v>
      </c>
      <c r="BF390" s="12">
        <f t="shared" si="613"/>
        <v>1926.5528204754189</v>
      </c>
      <c r="BG390" s="12">
        <f t="shared" si="613"/>
        <v>1993.6813369493061</v>
      </c>
      <c r="BH390" s="12">
        <f t="shared" si="613"/>
        <v>2064.1332542422183</v>
      </c>
      <c r="BI390" s="12">
        <f t="shared" si="613"/>
        <v>2134.9246143829937</v>
      </c>
      <c r="BJ390" s="12">
        <f t="shared" si="613"/>
        <v>2203.0528914270212</v>
      </c>
      <c r="BK390" s="1"/>
      <c r="BL390" s="86"/>
      <c r="BM390" s="23">
        <f t="shared" si="525"/>
        <v>384</v>
      </c>
    </row>
    <row r="391" spans="1:65" ht="12.75" hidden="1" customHeight="1" outlineLevel="2">
      <c r="A391" s="118"/>
      <c r="B391" s="41" t="s">
        <v>98</v>
      </c>
      <c r="C391" s="1"/>
      <c r="D391" s="1"/>
      <c r="E391" s="1"/>
      <c r="F391" s="1"/>
      <c r="G391" s="12"/>
      <c r="H391" s="12">
        <f t="shared" si="611"/>
        <v>36.153000000000006</v>
      </c>
      <c r="I391" s="12">
        <f t="shared" si="611"/>
        <v>146.32399999999996</v>
      </c>
      <c r="J391" s="12">
        <f t="shared" si="611"/>
        <v>224.33500000000004</v>
      </c>
      <c r="K391" s="12">
        <f t="shared" si="612"/>
        <v>313.27100000000002</v>
      </c>
      <c r="L391" s="12">
        <f t="shared" si="612"/>
        <v>294.59299999999996</v>
      </c>
      <c r="M391" s="12">
        <f t="shared" si="612"/>
        <v>891.83699999999988</v>
      </c>
      <c r="N391" s="12">
        <f t="shared" si="612"/>
        <v>974.42000000000007</v>
      </c>
      <c r="O391" s="12">
        <f t="shared" si="612"/>
        <v>914.22259803123825</v>
      </c>
      <c r="P391" s="12">
        <f t="shared" si="612"/>
        <v>1204.4668204754189</v>
      </c>
      <c r="Q391" s="12">
        <f t="shared" si="612"/>
        <v>1480.9668914270212</v>
      </c>
      <c r="R391" s="51"/>
      <c r="S391" s="1"/>
      <c r="T391" s="1"/>
      <c r="U391" s="1"/>
      <c r="V391" s="1"/>
      <c r="W391" s="1"/>
      <c r="X391" s="1"/>
      <c r="Y391" s="12">
        <f t="shared" ref="Y391:BJ391" si="614">(Y284-Y262-Y261)</f>
        <v>32.567999999999969</v>
      </c>
      <c r="Z391" s="12">
        <f t="shared" si="614"/>
        <v>36.153000000000006</v>
      </c>
      <c r="AA391" s="12">
        <f t="shared" si="614"/>
        <v>113.73399999999999</v>
      </c>
      <c r="AB391" s="12">
        <f t="shared" si="614"/>
        <v>133.68599999999998</v>
      </c>
      <c r="AC391" s="12">
        <f t="shared" si="614"/>
        <v>152.71499999999997</v>
      </c>
      <c r="AD391" s="12">
        <f t="shared" si="614"/>
        <v>146.32399999999996</v>
      </c>
      <c r="AE391" s="12">
        <f t="shared" si="614"/>
        <v>165.68799999999999</v>
      </c>
      <c r="AF391" s="12">
        <f t="shared" si="614"/>
        <v>181.87200000000001</v>
      </c>
      <c r="AG391" s="12">
        <f t="shared" si="614"/>
        <v>202.58399999999995</v>
      </c>
      <c r="AH391" s="12">
        <f t="shared" si="614"/>
        <v>224.33500000000004</v>
      </c>
      <c r="AI391" s="12">
        <f t="shared" si="614"/>
        <v>241.79099999999994</v>
      </c>
      <c r="AJ391" s="12">
        <f t="shared" si="614"/>
        <v>268.72999999999996</v>
      </c>
      <c r="AK391" s="12">
        <f t="shared" si="614"/>
        <v>299.91100000000006</v>
      </c>
      <c r="AL391" s="12">
        <f t="shared" si="614"/>
        <v>313.27100000000002</v>
      </c>
      <c r="AM391" s="12">
        <f t="shared" si="614"/>
        <v>307.66299999999995</v>
      </c>
      <c r="AN391" s="12">
        <f t="shared" si="614"/>
        <v>313.738</v>
      </c>
      <c r="AO391" s="12">
        <f t="shared" si="614"/>
        <v>307.529</v>
      </c>
      <c r="AP391" s="12">
        <f t="shared" si="614"/>
        <v>294.59299999999996</v>
      </c>
      <c r="AQ391" s="12">
        <f t="shared" si="614"/>
        <v>465.54300000000006</v>
      </c>
      <c r="AR391" s="12">
        <f t="shared" si="614"/>
        <v>452.02000000000004</v>
      </c>
      <c r="AS391" s="12">
        <f t="shared" si="614"/>
        <v>430.88099999999997</v>
      </c>
      <c r="AT391" s="12">
        <f t="shared" si="614"/>
        <v>891.83699999999988</v>
      </c>
      <c r="AU391" s="12">
        <f t="shared" si="614"/>
        <v>891.87099999999987</v>
      </c>
      <c r="AV391" s="12">
        <f t="shared" si="614"/>
        <v>905.06699999999978</v>
      </c>
      <c r="AW391" s="12">
        <f t="shared" si="614"/>
        <v>897.71400000000006</v>
      </c>
      <c r="AX391" s="12">
        <f t="shared" si="614"/>
        <v>974.42000000000007</v>
      </c>
      <c r="AY391" s="12">
        <f t="shared" si="614"/>
        <v>1003.7158929145</v>
      </c>
      <c r="AZ391" s="12">
        <f t="shared" si="614"/>
        <v>759.50479128298912</v>
      </c>
      <c r="BA391" s="12">
        <f t="shared" si="614"/>
        <v>833.55464086629763</v>
      </c>
      <c r="BB391" s="12">
        <f t="shared" si="614"/>
        <v>914.22259803123825</v>
      </c>
      <c r="BC391" s="12">
        <f t="shared" si="614"/>
        <v>990.60346423357714</v>
      </c>
      <c r="BD391" s="12">
        <f t="shared" si="614"/>
        <v>1065.079410490102</v>
      </c>
      <c r="BE391" s="12">
        <f t="shared" si="614"/>
        <v>1137.3137618829821</v>
      </c>
      <c r="BF391" s="12">
        <f t="shared" si="614"/>
        <v>1204.4668204754189</v>
      </c>
      <c r="BG391" s="12">
        <f t="shared" si="614"/>
        <v>1271.5953369493061</v>
      </c>
      <c r="BH391" s="12">
        <f t="shared" si="614"/>
        <v>1342.0472542422183</v>
      </c>
      <c r="BI391" s="12">
        <f t="shared" si="614"/>
        <v>1412.8386143829937</v>
      </c>
      <c r="BJ391" s="12">
        <f t="shared" si="614"/>
        <v>1480.9668914270212</v>
      </c>
      <c r="BK391" s="1"/>
      <c r="BL391" s="86"/>
      <c r="BM391" s="23">
        <f t="shared" si="525"/>
        <v>385</v>
      </c>
    </row>
    <row r="392" spans="1:65" ht="12.75" hidden="1" customHeight="1" outlineLevel="2">
      <c r="A392" s="119"/>
      <c r="B392" s="114" t="s">
        <v>322</v>
      </c>
      <c r="C392" s="112"/>
      <c r="D392" s="112"/>
      <c r="E392" s="112"/>
      <c r="F392" s="112"/>
      <c r="G392" s="112"/>
      <c r="H392" s="112">
        <f t="shared" ref="H392:Q392" si="615">H284/H37</f>
        <v>2.4386800000000002</v>
      </c>
      <c r="I392" s="112">
        <f t="shared" si="615"/>
        <v>4.4176366843033508</v>
      </c>
      <c r="J392" s="112">
        <f t="shared" si="615"/>
        <v>5.8151633372502944</v>
      </c>
      <c r="K392" s="112">
        <f t="shared" si="615"/>
        <v>7.4419324668623217</v>
      </c>
      <c r="L392" s="112">
        <f t="shared" si="615"/>
        <v>7.1476919642026528</v>
      </c>
      <c r="M392" s="112">
        <f t="shared" si="615"/>
        <v>19.581394991195761</v>
      </c>
      <c r="N392" s="112">
        <f t="shared" si="615"/>
        <v>17.036118489873225</v>
      </c>
      <c r="O392" s="112">
        <f t="shared" si="615"/>
        <v>20.095708736682624</v>
      </c>
      <c r="P392" s="112">
        <f t="shared" si="615"/>
        <v>23.66023401251438</v>
      </c>
      <c r="Q392" s="112">
        <f t="shared" si="615"/>
        <v>27.055965660078211</v>
      </c>
      <c r="R392" s="316"/>
      <c r="S392" s="112"/>
      <c r="T392" s="112"/>
      <c r="U392" s="112"/>
      <c r="V392" s="112"/>
      <c r="W392" s="112"/>
      <c r="X392" s="112"/>
      <c r="Y392" s="112"/>
      <c r="Z392" s="112">
        <f t="shared" ref="Z392:BJ392" si="616">Z284/Z37</f>
        <v>2.3049905482041591</v>
      </c>
      <c r="AA392" s="112">
        <f t="shared" si="616"/>
        <v>3.8325613576521693</v>
      </c>
      <c r="AB392" s="112">
        <f t="shared" si="616"/>
        <v>4.2177935943060501</v>
      </c>
      <c r="AC392" s="112">
        <f t="shared" si="616"/>
        <v>4.5037154688297685</v>
      </c>
      <c r="AD392" s="112">
        <f t="shared" si="616"/>
        <v>4.3809253691833527</v>
      </c>
      <c r="AE392" s="112">
        <f t="shared" si="616"/>
        <v>4.7451169474540063</v>
      </c>
      <c r="AF392" s="112">
        <f t="shared" si="616"/>
        <v>5.0169274992015334</v>
      </c>
      <c r="AG392" s="112">
        <f t="shared" si="616"/>
        <v>5.4041369981400411</v>
      </c>
      <c r="AH392" s="112">
        <f t="shared" si="616"/>
        <v>5.7910464528450269</v>
      </c>
      <c r="AI392" s="112">
        <f t="shared" si="616"/>
        <v>6.0429940429940423</v>
      </c>
      <c r="AJ392" s="112">
        <f t="shared" si="616"/>
        <v>6.5143931296303119</v>
      </c>
      <c r="AK392" s="112">
        <f t="shared" si="616"/>
        <v>7.1910539959185931</v>
      </c>
      <c r="AL392" s="112">
        <f t="shared" si="616"/>
        <v>7.4312845049687155</v>
      </c>
      <c r="AM392" s="112">
        <f t="shared" si="616"/>
        <v>7.3891848744175679</v>
      </c>
      <c r="AN392" s="112">
        <f t="shared" si="616"/>
        <v>7.501327589728354</v>
      </c>
      <c r="AO392" s="112">
        <f t="shared" si="616"/>
        <v>7.3995571433887832</v>
      </c>
      <c r="AP392" s="112">
        <f t="shared" si="616"/>
        <v>7.178008221225709</v>
      </c>
      <c r="AQ392" s="112">
        <f t="shared" si="616"/>
        <v>10.188966403524876</v>
      </c>
      <c r="AR392" s="112">
        <f t="shared" si="616"/>
        <v>8.5362915306621243</v>
      </c>
      <c r="AS392" s="112">
        <f t="shared" si="616"/>
        <v>12.160222568840361</v>
      </c>
      <c r="AT392" s="112">
        <f t="shared" si="616"/>
        <v>16.856061107507379</v>
      </c>
      <c r="AU392" s="112">
        <f t="shared" si="616"/>
        <v>15.489227177666452</v>
      </c>
      <c r="AV392" s="112">
        <f t="shared" si="616"/>
        <v>15.89124412715846</v>
      </c>
      <c r="AW392" s="112">
        <f t="shared" si="616"/>
        <v>16.492363938715872</v>
      </c>
      <c r="AX392" s="112">
        <f t="shared" si="616"/>
        <v>17.046984289742557</v>
      </c>
      <c r="AY392" s="112">
        <f t="shared" si="616"/>
        <v>17.510449795774736</v>
      </c>
      <c r="AZ392" s="112">
        <f t="shared" si="616"/>
        <v>18.1956001724839</v>
      </c>
      <c r="BA392" s="112">
        <f t="shared" si="616"/>
        <v>19.10501555477288</v>
      </c>
      <c r="BB392" s="112">
        <f t="shared" si="616"/>
        <v>20.095708736682624</v>
      </c>
      <c r="BC392" s="112">
        <f t="shared" si="616"/>
        <v>21.033751623033346</v>
      </c>
      <c r="BD392" s="112">
        <f t="shared" si="616"/>
        <v>21.948399951386982</v>
      </c>
      <c r="BE392" s="112">
        <f t="shared" si="616"/>
        <v>22.835518975341895</v>
      </c>
      <c r="BF392" s="112">
        <f t="shared" si="616"/>
        <v>23.66023401251438</v>
      </c>
      <c r="BG392" s="112">
        <f t="shared" si="616"/>
        <v>24.484647644886607</v>
      </c>
      <c r="BH392" s="112">
        <f t="shared" si="616"/>
        <v>25.349876374701171</v>
      </c>
      <c r="BI392" s="112">
        <f t="shared" si="616"/>
        <v>26.219273844209223</v>
      </c>
      <c r="BJ392" s="112">
        <f t="shared" si="616"/>
        <v>27.055965660078211</v>
      </c>
      <c r="BK392" s="1"/>
      <c r="BL392" s="117"/>
      <c r="BM392" s="23">
        <f t="shared" si="525"/>
        <v>386</v>
      </c>
    </row>
    <row r="393" spans="1:65" ht="12.75" hidden="1" customHeight="1" outlineLevel="2">
      <c r="A393" s="119"/>
      <c r="B393" s="114" t="s">
        <v>323</v>
      </c>
      <c r="C393" s="112"/>
      <c r="D393" s="112"/>
      <c r="E393" s="112"/>
      <c r="F393" s="112"/>
      <c r="G393" s="112"/>
      <c r="H393" s="112">
        <f t="shared" ref="H393:Q393" si="617">(H284-H262-H261)/H37</f>
        <v>0.72306000000000015</v>
      </c>
      <c r="I393" s="112">
        <f t="shared" si="617"/>
        <v>2.7899137232470559</v>
      </c>
      <c r="J393" s="112">
        <f t="shared" si="617"/>
        <v>4.2178143360752065</v>
      </c>
      <c r="K393" s="112">
        <f t="shared" si="617"/>
        <v>5.7732770019672977</v>
      </c>
      <c r="L393" s="112">
        <f t="shared" si="617"/>
        <v>5.4811059221910057</v>
      </c>
      <c r="M393" s="112">
        <f t="shared" si="617"/>
        <v>13.715188656757732</v>
      </c>
      <c r="N393" s="112">
        <f t="shared" si="617"/>
        <v>11.887048518876586</v>
      </c>
      <c r="O393" s="112">
        <f t="shared" si="617"/>
        <v>11.227681057615703</v>
      </c>
      <c r="P393" s="112">
        <f t="shared" si="617"/>
        <v>14.79220633344746</v>
      </c>
      <c r="Q393" s="112">
        <f t="shared" si="617"/>
        <v>18.187937981011292</v>
      </c>
      <c r="R393" s="316"/>
      <c r="S393" s="112"/>
      <c r="T393" s="112"/>
      <c r="U393" s="112"/>
      <c r="V393" s="112"/>
      <c r="W393" s="112"/>
      <c r="X393" s="112"/>
      <c r="Y393" s="112"/>
      <c r="Z393" s="112">
        <f t="shared" ref="Z393:BJ393" si="618">(Z284-Z262-Z261)/Z37</f>
        <v>0.6834215500945181</v>
      </c>
      <c r="AA393" s="112">
        <f t="shared" si="618"/>
        <v>2.1858891814495203</v>
      </c>
      <c r="AB393" s="112">
        <f t="shared" si="618"/>
        <v>2.5716264307011634</v>
      </c>
      <c r="AC393" s="112">
        <f t="shared" si="618"/>
        <v>2.8875716149526345</v>
      </c>
      <c r="AD393" s="112">
        <f t="shared" si="618"/>
        <v>2.7667290638531199</v>
      </c>
      <c r="AE393" s="112">
        <f t="shared" si="618"/>
        <v>3.132868190670675</v>
      </c>
      <c r="AF393" s="112">
        <f t="shared" si="618"/>
        <v>3.4169124692355388</v>
      </c>
      <c r="AG393" s="112">
        <f t="shared" si="618"/>
        <v>3.8060382888383706</v>
      </c>
      <c r="AH393" s="112">
        <f t="shared" si="618"/>
        <v>4.2003220431013508</v>
      </c>
      <c r="AI393" s="112">
        <f t="shared" si="618"/>
        <v>4.4731379731379715</v>
      </c>
      <c r="AJ393" s="112">
        <f t="shared" si="618"/>
        <v>4.9524529136412214</v>
      </c>
      <c r="AK393" s="112">
        <f t="shared" si="618"/>
        <v>5.5137793466071008</v>
      </c>
      <c r="AL393" s="112">
        <f t="shared" si="618"/>
        <v>5.7650165623849832</v>
      </c>
      <c r="AM393" s="112">
        <f t="shared" si="618"/>
        <v>5.71131819785034</v>
      </c>
      <c r="AN393" s="112">
        <f t="shared" si="618"/>
        <v>5.8253894572664651</v>
      </c>
      <c r="AO393" s="112">
        <f t="shared" si="618"/>
        <v>5.7223214617989653</v>
      </c>
      <c r="AP393" s="112">
        <f t="shared" si="618"/>
        <v>5.5043535127055296</v>
      </c>
      <c r="AQ393" s="112">
        <f t="shared" si="618"/>
        <v>8.5467780429594278</v>
      </c>
      <c r="AR393" s="112">
        <f t="shared" si="618"/>
        <v>7.1277417727107881</v>
      </c>
      <c r="AS393" s="112">
        <f t="shared" si="618"/>
        <v>6.462310276561281</v>
      </c>
      <c r="AT393" s="112">
        <f t="shared" si="618"/>
        <v>11.806311971299591</v>
      </c>
      <c r="AU393" s="112">
        <f t="shared" si="618"/>
        <v>10.844207480180923</v>
      </c>
      <c r="AV393" s="112">
        <f t="shared" si="618"/>
        <v>11.044810543657329</v>
      </c>
      <c r="AW393" s="112">
        <f t="shared" si="618"/>
        <v>10.976780015406625</v>
      </c>
      <c r="AX393" s="112">
        <f t="shared" si="618"/>
        <v>11.894630192502532</v>
      </c>
      <c r="AY393" s="112">
        <f t="shared" si="618"/>
        <v>12.326759306073177</v>
      </c>
      <c r="AZ393" s="112">
        <f t="shared" si="618"/>
        <v>9.3275724934169784</v>
      </c>
      <c r="BA393" s="112">
        <f t="shared" si="618"/>
        <v>10.23698787570596</v>
      </c>
      <c r="BB393" s="112">
        <f t="shared" si="618"/>
        <v>11.227681057615703</v>
      </c>
      <c r="BC393" s="112">
        <f t="shared" si="618"/>
        <v>12.165723943966425</v>
      </c>
      <c r="BD393" s="112">
        <f t="shared" si="618"/>
        <v>13.08037227232006</v>
      </c>
      <c r="BE393" s="112">
        <f t="shared" si="618"/>
        <v>13.967491296274973</v>
      </c>
      <c r="BF393" s="112">
        <f t="shared" si="618"/>
        <v>14.79220633344746</v>
      </c>
      <c r="BG393" s="112">
        <f t="shared" si="618"/>
        <v>15.616619965819686</v>
      </c>
      <c r="BH393" s="112">
        <f t="shared" si="618"/>
        <v>16.481848695634248</v>
      </c>
      <c r="BI393" s="112">
        <f t="shared" si="618"/>
        <v>17.3512461651423</v>
      </c>
      <c r="BJ393" s="112">
        <f t="shared" si="618"/>
        <v>18.187937981011292</v>
      </c>
      <c r="BK393" s="1"/>
      <c r="BL393" s="117"/>
      <c r="BM393" s="23">
        <f t="shared" si="525"/>
        <v>387</v>
      </c>
    </row>
    <row r="394" spans="1:65" ht="12.75" hidden="1" customHeight="1" outlineLevel="2">
      <c r="A394" s="118"/>
      <c r="B394" s="113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5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2"/>
      <c r="BM394" s="23">
        <f t="shared" ref="BM394:BM425" si="619">BM393+1</f>
        <v>388</v>
      </c>
    </row>
    <row r="395" spans="1:65" ht="12.75" customHeight="1" outlineLevel="1" collapsed="1">
      <c r="A395" s="118" t="s">
        <v>29</v>
      </c>
      <c r="B395" s="116" t="s">
        <v>324</v>
      </c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5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2"/>
      <c r="BM395" s="23">
        <f t="shared" si="619"/>
        <v>389</v>
      </c>
    </row>
    <row r="396" spans="1:65" ht="12.75" hidden="1" customHeight="1" outlineLevel="2">
      <c r="A396" s="118"/>
      <c r="B396" s="54" t="s">
        <v>297</v>
      </c>
      <c r="F396" s="102"/>
      <c r="G396" s="102">
        <f t="shared" ref="G396:Q396" si="620">SUM(G253:G256,G260:G263)-SUM(G268:G269,G271,G274:G275,G277)</f>
        <v>324.69300000000004</v>
      </c>
      <c r="H396" s="102">
        <f t="shared" si="620"/>
        <v>382.19000000000011</v>
      </c>
      <c r="I396" s="102">
        <f t="shared" si="620"/>
        <v>484.23299999999995</v>
      </c>
      <c r="J396" s="102">
        <f t="shared" si="620"/>
        <v>568.97</v>
      </c>
      <c r="K396" s="102">
        <f t="shared" si="620"/>
        <v>627.83600000000024</v>
      </c>
      <c r="L396" s="102">
        <f t="shared" si="620"/>
        <v>632.83900000000017</v>
      </c>
      <c r="M396" s="102">
        <f t="shared" si="620"/>
        <v>1134.2860000000001</v>
      </c>
      <c r="N396" s="102">
        <f t="shared" si="620"/>
        <v>1576.0419999999999</v>
      </c>
      <c r="O396" s="102">
        <f t="shared" si="620"/>
        <v>2544.0170192928827</v>
      </c>
      <c r="P396" s="102">
        <f t="shared" si="620"/>
        <v>2510.2310566841793</v>
      </c>
      <c r="Q396" s="102">
        <f t="shared" si="620"/>
        <v>2428.9336806948186</v>
      </c>
      <c r="R396" s="51"/>
      <c r="S396" s="102"/>
      <c r="T396" s="102"/>
      <c r="U396" s="102"/>
      <c r="V396" s="102">
        <f t="shared" ref="V396:BJ396" si="621">SUM(V253:V256,V260:V263)-SUM(V268:V269,V271,V274:V275,V277)</f>
        <v>324.69300000000004</v>
      </c>
      <c r="W396" s="102">
        <f t="shared" si="621"/>
        <v>324.69300000000004</v>
      </c>
      <c r="X396" s="102">
        <f t="shared" si="621"/>
        <v>324.69300000000004</v>
      </c>
      <c r="Y396" s="102">
        <f t="shared" si="621"/>
        <v>348.51799999999992</v>
      </c>
      <c r="Z396" s="102">
        <f t="shared" si="621"/>
        <v>382.19000000000011</v>
      </c>
      <c r="AA396" s="102">
        <f t="shared" si="621"/>
        <v>430.44999999999987</v>
      </c>
      <c r="AB396" s="102">
        <f t="shared" si="621"/>
        <v>430.42800000000011</v>
      </c>
      <c r="AC396" s="102">
        <f t="shared" si="621"/>
        <v>459.27</v>
      </c>
      <c r="AD396" s="102">
        <f t="shared" si="621"/>
        <v>484.23299999999995</v>
      </c>
      <c r="AE396" s="102">
        <f t="shared" si="621"/>
        <v>530.548</v>
      </c>
      <c r="AF396" s="102">
        <f t="shared" si="621"/>
        <v>538.07399999999996</v>
      </c>
      <c r="AG396" s="102">
        <f t="shared" si="621"/>
        <v>560.88400000000001</v>
      </c>
      <c r="AH396" s="102">
        <f t="shared" si="621"/>
        <v>568.97</v>
      </c>
      <c r="AI396" s="102">
        <f t="shared" si="621"/>
        <v>575.17699999999991</v>
      </c>
      <c r="AJ396" s="102">
        <f t="shared" si="621"/>
        <v>580.01300000000003</v>
      </c>
      <c r="AK396" s="102">
        <f t="shared" si="621"/>
        <v>601.38699999999994</v>
      </c>
      <c r="AL396" s="102">
        <f t="shared" si="621"/>
        <v>627.83600000000024</v>
      </c>
      <c r="AM396" s="102">
        <f t="shared" si="621"/>
        <v>632.74399999999991</v>
      </c>
      <c r="AN396" s="102">
        <f t="shared" si="621"/>
        <v>632.73400000000015</v>
      </c>
      <c r="AO396" s="102">
        <f t="shared" si="621"/>
        <v>652.93399999999997</v>
      </c>
      <c r="AP396" s="102">
        <f t="shared" si="621"/>
        <v>632.83900000000017</v>
      </c>
      <c r="AQ396" s="102">
        <f t="shared" si="621"/>
        <v>636.23100000000011</v>
      </c>
      <c r="AR396" s="102">
        <f t="shared" si="621"/>
        <v>641.06599999999992</v>
      </c>
      <c r="AS396" s="102">
        <f t="shared" si="621"/>
        <v>1117.0810000000001</v>
      </c>
      <c r="AT396" s="102">
        <f t="shared" si="621"/>
        <v>1134.2860000000001</v>
      </c>
      <c r="AU396" s="102">
        <f t="shared" si="621"/>
        <v>1184.489</v>
      </c>
      <c r="AV396" s="102">
        <f t="shared" si="621"/>
        <v>1276.31</v>
      </c>
      <c r="AW396" s="102">
        <f t="shared" si="621"/>
        <v>1450.1790000000003</v>
      </c>
      <c r="AX396" s="102">
        <f t="shared" si="621"/>
        <v>1576.0419999999999</v>
      </c>
      <c r="AY396" s="102">
        <f t="shared" si="621"/>
        <v>1631.110456275494</v>
      </c>
      <c r="AZ396" s="102">
        <f t="shared" si="621"/>
        <v>2484.6077943896748</v>
      </c>
      <c r="BA396" s="102">
        <f t="shared" si="621"/>
        <v>2535.3837288479926</v>
      </c>
      <c r="BB396" s="102">
        <f t="shared" si="621"/>
        <v>2544.0170192928827</v>
      </c>
      <c r="BC396" s="102">
        <f t="shared" si="621"/>
        <v>2535.1260946964912</v>
      </c>
      <c r="BD396" s="102">
        <f t="shared" si="621"/>
        <v>2527.347232946669</v>
      </c>
      <c r="BE396" s="102">
        <f t="shared" si="621"/>
        <v>2520.0794442607457</v>
      </c>
      <c r="BF396" s="102">
        <f t="shared" si="621"/>
        <v>2510.2310566841793</v>
      </c>
      <c r="BG396" s="102">
        <f t="shared" si="621"/>
        <v>2499.2782321880704</v>
      </c>
      <c r="BH396" s="102">
        <f t="shared" si="621"/>
        <v>2477.9241587000301</v>
      </c>
      <c r="BI396" s="102">
        <f t="shared" si="621"/>
        <v>2454.6571668129163</v>
      </c>
      <c r="BJ396" s="102">
        <f t="shared" si="621"/>
        <v>2428.9336806948186</v>
      </c>
      <c r="BK396" s="1"/>
      <c r="BL396" s="12"/>
      <c r="BM396" s="23">
        <f t="shared" si="619"/>
        <v>390</v>
      </c>
    </row>
    <row r="397" spans="1:65" ht="12.75" hidden="1" customHeight="1" outlineLevel="2">
      <c r="A397" s="118"/>
      <c r="B397" s="54" t="s">
        <v>325</v>
      </c>
      <c r="F397" s="102"/>
      <c r="G397" s="102">
        <f t="shared" ref="G397:Q397" si="622">SUM(G270,G273,G284,G267,G276)-G252</f>
        <v>324.69299999999993</v>
      </c>
      <c r="H397" s="102">
        <f t="shared" si="622"/>
        <v>382.19</v>
      </c>
      <c r="I397" s="102">
        <f t="shared" si="622"/>
        <v>484.23399999999998</v>
      </c>
      <c r="J397" s="102">
        <f t="shared" si="622"/>
        <v>568.97000000000014</v>
      </c>
      <c r="K397" s="102">
        <f t="shared" si="622"/>
        <v>627.83600000000013</v>
      </c>
      <c r="L397" s="102">
        <f t="shared" si="622"/>
        <v>632.83899999999994</v>
      </c>
      <c r="M397" s="102">
        <f t="shared" si="622"/>
        <v>1134.2860000000001</v>
      </c>
      <c r="N397" s="102">
        <f t="shared" si="622"/>
        <v>1576.0420000000001</v>
      </c>
      <c r="O397" s="102">
        <f t="shared" si="622"/>
        <v>2544.017019292884</v>
      </c>
      <c r="P397" s="102">
        <f t="shared" si="622"/>
        <v>2510.2310566841797</v>
      </c>
      <c r="Q397" s="102">
        <f t="shared" si="622"/>
        <v>2428.9336806948186</v>
      </c>
      <c r="R397" s="51"/>
      <c r="S397" s="102"/>
      <c r="T397" s="102"/>
      <c r="U397" s="102"/>
      <c r="V397" s="102">
        <f t="shared" ref="V397:BJ397" si="623">SUM(V270,V273,V284,V267,V276)-V252</f>
        <v>324.69299999999993</v>
      </c>
      <c r="W397" s="102">
        <f t="shared" si="623"/>
        <v>324.69299999999993</v>
      </c>
      <c r="X397" s="102">
        <f t="shared" si="623"/>
        <v>324.69299999999998</v>
      </c>
      <c r="Y397" s="102">
        <f t="shared" si="623"/>
        <v>348.51800000000003</v>
      </c>
      <c r="Z397" s="102">
        <f t="shared" si="623"/>
        <v>382.19</v>
      </c>
      <c r="AA397" s="102">
        <f t="shared" si="623"/>
        <v>430.45</v>
      </c>
      <c r="AB397" s="102">
        <f t="shared" si="623"/>
        <v>430.428</v>
      </c>
      <c r="AC397" s="102">
        <f t="shared" si="623"/>
        <v>459.27</v>
      </c>
      <c r="AD397" s="102">
        <f t="shared" si="623"/>
        <v>484.23399999999998</v>
      </c>
      <c r="AE397" s="102">
        <f t="shared" si="623"/>
        <v>530.548</v>
      </c>
      <c r="AF397" s="102">
        <f t="shared" si="623"/>
        <v>538.07400000000007</v>
      </c>
      <c r="AG397" s="102">
        <f t="shared" si="623"/>
        <v>560.8839999999999</v>
      </c>
      <c r="AH397" s="102">
        <f t="shared" si="623"/>
        <v>568.97000000000014</v>
      </c>
      <c r="AI397" s="102">
        <f t="shared" si="623"/>
        <v>575.17699999999979</v>
      </c>
      <c r="AJ397" s="102">
        <f t="shared" si="623"/>
        <v>580.01300000000015</v>
      </c>
      <c r="AK397" s="102">
        <f t="shared" si="623"/>
        <v>601.38699999999994</v>
      </c>
      <c r="AL397" s="102">
        <f t="shared" si="623"/>
        <v>627.83600000000013</v>
      </c>
      <c r="AM397" s="102">
        <f t="shared" si="623"/>
        <v>632.74399999999991</v>
      </c>
      <c r="AN397" s="102">
        <f t="shared" si="623"/>
        <v>632.73399999999992</v>
      </c>
      <c r="AO397" s="102">
        <f t="shared" si="623"/>
        <v>652.93399999999997</v>
      </c>
      <c r="AP397" s="102">
        <f t="shared" si="623"/>
        <v>632.83899999999994</v>
      </c>
      <c r="AQ397" s="102">
        <f t="shared" si="623"/>
        <v>636.23099999999999</v>
      </c>
      <c r="AR397" s="102">
        <f t="shared" si="623"/>
        <v>641.0659999999998</v>
      </c>
      <c r="AS397" s="102">
        <f t="shared" si="623"/>
        <v>1117.0809999999999</v>
      </c>
      <c r="AT397" s="102">
        <f t="shared" si="623"/>
        <v>1134.2860000000001</v>
      </c>
      <c r="AU397" s="102">
        <f t="shared" si="623"/>
        <v>1184.4889999999998</v>
      </c>
      <c r="AV397" s="102">
        <f t="shared" si="623"/>
        <v>1276.31</v>
      </c>
      <c r="AW397" s="102">
        <f t="shared" si="623"/>
        <v>1450.1790000000001</v>
      </c>
      <c r="AX397" s="102">
        <f t="shared" si="623"/>
        <v>1576.0420000000001</v>
      </c>
      <c r="AY397" s="102">
        <f t="shared" si="623"/>
        <v>1631.110456275494</v>
      </c>
      <c r="AZ397" s="102">
        <f t="shared" si="623"/>
        <v>2484.6077943896762</v>
      </c>
      <c r="BA397" s="102">
        <f t="shared" si="623"/>
        <v>2535.3837288479931</v>
      </c>
      <c r="BB397" s="102">
        <f t="shared" si="623"/>
        <v>2544.017019292884</v>
      </c>
      <c r="BC397" s="102">
        <f t="shared" si="623"/>
        <v>2535.1260946964921</v>
      </c>
      <c r="BD397" s="102">
        <f t="shared" si="623"/>
        <v>2527.3472329466695</v>
      </c>
      <c r="BE397" s="102">
        <f t="shared" si="623"/>
        <v>2520.0794442607462</v>
      </c>
      <c r="BF397" s="102">
        <f t="shared" si="623"/>
        <v>2510.2310566841797</v>
      </c>
      <c r="BG397" s="102">
        <f t="shared" si="623"/>
        <v>2499.2782321880713</v>
      </c>
      <c r="BH397" s="102">
        <f t="shared" si="623"/>
        <v>2477.9241587000306</v>
      </c>
      <c r="BI397" s="102">
        <f t="shared" si="623"/>
        <v>2454.6571668129168</v>
      </c>
      <c r="BJ397" s="102">
        <f t="shared" si="623"/>
        <v>2428.9336806948186</v>
      </c>
      <c r="BK397" s="1"/>
      <c r="BL397" s="12"/>
      <c r="BM397" s="23">
        <f t="shared" si="619"/>
        <v>391</v>
      </c>
    </row>
    <row r="398" spans="1:65" ht="12.75" hidden="1" customHeight="1" outlineLevel="2">
      <c r="A398" s="118"/>
      <c r="B398" s="53" t="s">
        <v>6</v>
      </c>
      <c r="G398" s="52">
        <f t="shared" ref="G398:Q398" si="624">G25</f>
        <v>45.991000000000007</v>
      </c>
      <c r="H398" s="52">
        <f t="shared" si="624"/>
        <v>70.053000000000011</v>
      </c>
      <c r="I398" s="52">
        <f t="shared" si="624"/>
        <v>118.96569999999998</v>
      </c>
      <c r="J398" s="52">
        <f t="shared" si="624"/>
        <v>114.40899999999999</v>
      </c>
      <c r="K398" s="52">
        <f t="shared" si="624"/>
        <v>177.46700000000001</v>
      </c>
      <c r="L398" s="52">
        <f t="shared" si="624"/>
        <v>31.64914000000001</v>
      </c>
      <c r="M398" s="52">
        <f t="shared" si="624"/>
        <v>-44.992999999999995</v>
      </c>
      <c r="N398" s="52">
        <f t="shared" si="624"/>
        <v>174.01100000000002</v>
      </c>
      <c r="O398" s="52">
        <f t="shared" si="624"/>
        <v>340.36775973291515</v>
      </c>
      <c r="P398" s="52">
        <f t="shared" si="624"/>
        <v>426.27014308322475</v>
      </c>
      <c r="Q398" s="52">
        <f t="shared" si="624"/>
        <v>409.19705482078245</v>
      </c>
      <c r="R398" s="51"/>
      <c r="S398" s="52"/>
      <c r="T398" s="52"/>
      <c r="U398" s="52"/>
      <c r="V398" s="52">
        <f t="shared" ref="V398:BJ398" si="625">V25</f>
        <v>8.0970000000000013</v>
      </c>
      <c r="W398" s="52">
        <f t="shared" si="625"/>
        <v>10.744000000000003</v>
      </c>
      <c r="X398" s="52">
        <f t="shared" si="625"/>
        <v>20.247000000000003</v>
      </c>
      <c r="Y398" s="52">
        <f t="shared" si="625"/>
        <v>17.701000000000001</v>
      </c>
      <c r="Z398" s="52">
        <f t="shared" si="625"/>
        <v>21.361000000000004</v>
      </c>
      <c r="AA398" s="52">
        <f t="shared" si="625"/>
        <v>29.78799999999999</v>
      </c>
      <c r="AB398" s="52">
        <f t="shared" si="625"/>
        <v>29.987999999999989</v>
      </c>
      <c r="AC398" s="52">
        <f t="shared" si="625"/>
        <v>30.075999999999997</v>
      </c>
      <c r="AD398" s="52">
        <f t="shared" si="625"/>
        <v>29.113700000000001</v>
      </c>
      <c r="AE398" s="52">
        <f t="shared" si="625"/>
        <v>27.217000000000006</v>
      </c>
      <c r="AF398" s="52">
        <f t="shared" si="625"/>
        <v>30.542000000000002</v>
      </c>
      <c r="AG398" s="52">
        <f t="shared" si="625"/>
        <v>32.536999999999992</v>
      </c>
      <c r="AH398" s="52">
        <f t="shared" si="625"/>
        <v>24.113</v>
      </c>
      <c r="AI398" s="52">
        <f t="shared" si="625"/>
        <v>28.290999999999997</v>
      </c>
      <c r="AJ398" s="52">
        <f t="shared" si="625"/>
        <v>43.776000000000003</v>
      </c>
      <c r="AK398" s="52">
        <f t="shared" si="625"/>
        <v>61.834000000000003</v>
      </c>
      <c r="AL398" s="52">
        <f t="shared" si="625"/>
        <v>43.566000000000003</v>
      </c>
      <c r="AM398" s="52">
        <f t="shared" si="625"/>
        <v>34.100999999999992</v>
      </c>
      <c r="AN398" s="52">
        <f t="shared" si="625"/>
        <v>2.3181399999999961</v>
      </c>
      <c r="AO398" s="52">
        <f t="shared" si="625"/>
        <v>4.5920000000000005</v>
      </c>
      <c r="AP398" s="52">
        <f t="shared" si="625"/>
        <v>-9.3620000000000001</v>
      </c>
      <c r="AQ398" s="52">
        <f t="shared" si="625"/>
        <v>-12.1</v>
      </c>
      <c r="AR398" s="52">
        <f t="shared" si="625"/>
        <v>-14.407000000000002</v>
      </c>
      <c r="AS398" s="52">
        <f t="shared" si="625"/>
        <v>-13.657999999999999</v>
      </c>
      <c r="AT398" s="52">
        <f t="shared" si="625"/>
        <v>-4.8279999999999959</v>
      </c>
      <c r="AU398" s="52">
        <f t="shared" si="625"/>
        <v>13.382000000000001</v>
      </c>
      <c r="AV398" s="52">
        <f t="shared" si="625"/>
        <v>43.415999999999983</v>
      </c>
      <c r="AW398" s="52">
        <f t="shared" si="625"/>
        <v>62.824999999999989</v>
      </c>
      <c r="AX398" s="52">
        <f t="shared" si="625"/>
        <v>54.387999999999998</v>
      </c>
      <c r="AY398" s="52">
        <f t="shared" si="625"/>
        <v>41.345645450000013</v>
      </c>
      <c r="AZ398" s="52">
        <f t="shared" si="625"/>
        <v>74.001130054687493</v>
      </c>
      <c r="BA398" s="52">
        <f t="shared" si="625"/>
        <v>108.42852177051367</v>
      </c>
      <c r="BB398" s="52">
        <f t="shared" si="625"/>
        <v>116.59246245771395</v>
      </c>
      <c r="BC398" s="52">
        <f t="shared" si="625"/>
        <v>111.29319506561326</v>
      </c>
      <c r="BD398" s="52">
        <f t="shared" si="625"/>
        <v>108.93487954608977</v>
      </c>
      <c r="BE398" s="52">
        <f t="shared" si="625"/>
        <v>106.16091597986167</v>
      </c>
      <c r="BF398" s="52">
        <f t="shared" si="625"/>
        <v>99.881152491660004</v>
      </c>
      <c r="BG398" s="52">
        <f t="shared" si="625"/>
        <v>99.844291079870445</v>
      </c>
      <c r="BH398" s="52">
        <f t="shared" si="625"/>
        <v>103.94069255397537</v>
      </c>
      <c r="BI398" s="52">
        <f t="shared" si="625"/>
        <v>104.35319529825134</v>
      </c>
      <c r="BJ398" s="52">
        <f t="shared" si="625"/>
        <v>101.05887588868518</v>
      </c>
      <c r="BK398" s="1"/>
      <c r="BL398" s="12"/>
      <c r="BM398" s="23">
        <f t="shared" si="619"/>
        <v>392</v>
      </c>
    </row>
    <row r="399" spans="1:65" ht="12.75" hidden="1" customHeight="1" outlineLevel="2">
      <c r="A399" s="118"/>
      <c r="B399" s="53" t="s">
        <v>296</v>
      </c>
      <c r="G399" s="100">
        <f t="shared" ref="G399:Q399" si="626">G398*(1-G197)</f>
        <v>41.52069245857853</v>
      </c>
      <c r="H399" s="100">
        <f t="shared" si="626"/>
        <v>54.436476043484873</v>
      </c>
      <c r="I399" s="100">
        <f t="shared" si="626"/>
        <v>85.837152709065663</v>
      </c>
      <c r="J399" s="100">
        <f t="shared" si="626"/>
        <v>89.226007750987847</v>
      </c>
      <c r="K399" s="100">
        <f t="shared" si="626"/>
        <v>136.23070608600014</v>
      </c>
      <c r="L399" s="100">
        <f t="shared" si="626"/>
        <v>30.731818553816755</v>
      </c>
      <c r="M399" s="100">
        <f t="shared" si="626"/>
        <v>-23.388469505423792</v>
      </c>
      <c r="N399" s="100">
        <f t="shared" si="626"/>
        <v>137.3495667381309</v>
      </c>
      <c r="O399" s="100">
        <f t="shared" si="626"/>
        <v>275.69788538366129</v>
      </c>
      <c r="P399" s="100">
        <f t="shared" si="626"/>
        <v>345.27881589741207</v>
      </c>
      <c r="Q399" s="100">
        <f t="shared" si="626"/>
        <v>331.44961440483382</v>
      </c>
      <c r="R399" s="51"/>
      <c r="S399" s="100"/>
      <c r="T399" s="100"/>
      <c r="U399" s="100"/>
      <c r="V399" s="100">
        <f t="shared" ref="V399:BJ399" si="627">V398*(1-V197)</f>
        <v>7.6748152624309407</v>
      </c>
      <c r="W399" s="100">
        <f t="shared" si="627"/>
        <v>7.3245437191442724</v>
      </c>
      <c r="X399" s="100">
        <f t="shared" si="627"/>
        <v>14.406221809561442</v>
      </c>
      <c r="Y399" s="100">
        <f t="shared" si="627"/>
        <v>13.289466827811744</v>
      </c>
      <c r="Z399" s="100">
        <f t="shared" si="627"/>
        <v>18.839886590315231</v>
      </c>
      <c r="AA399" s="100">
        <f t="shared" si="627"/>
        <v>21.776173034997122</v>
      </c>
      <c r="AB399" s="100">
        <f t="shared" si="627"/>
        <v>21.815571861326141</v>
      </c>
      <c r="AC399" s="100">
        <f t="shared" si="627"/>
        <v>20.861631707137054</v>
      </c>
      <c r="AD399" s="100">
        <f t="shared" si="627"/>
        <v>21.394872382349902</v>
      </c>
      <c r="AE399" s="100">
        <f t="shared" si="627"/>
        <v>19.685376563189735</v>
      </c>
      <c r="AF399" s="100">
        <f t="shared" si="627"/>
        <v>22.781827262652385</v>
      </c>
      <c r="AG399" s="100">
        <f t="shared" si="627"/>
        <v>23.752009999999995</v>
      </c>
      <c r="AH399" s="100">
        <f t="shared" si="627"/>
        <v>21.513972545715841</v>
      </c>
      <c r="AI399" s="100">
        <f t="shared" si="627"/>
        <v>21.195463521063573</v>
      </c>
      <c r="AJ399" s="100">
        <f t="shared" si="627"/>
        <v>31.371486194477793</v>
      </c>
      <c r="AK399" s="100">
        <f t="shared" si="627"/>
        <v>46.184587362290365</v>
      </c>
      <c r="AL399" s="100">
        <f t="shared" si="627"/>
        <v>37.597930830347408</v>
      </c>
      <c r="AM399" s="100">
        <f t="shared" si="627"/>
        <v>26.674655850197968</v>
      </c>
      <c r="AN399" s="100">
        <f t="shared" si="627"/>
        <v>0.86239717302145513</v>
      </c>
      <c r="AO399" s="100">
        <f t="shared" si="627"/>
        <v>5.4078461918115508</v>
      </c>
      <c r="AP399" s="100">
        <f t="shared" si="627"/>
        <v>-7.3346300730644076</v>
      </c>
      <c r="AQ399" s="100">
        <f t="shared" si="627"/>
        <v>-6.7375223540887657</v>
      </c>
      <c r="AR399" s="100">
        <f t="shared" si="627"/>
        <v>-8.0229923701457508</v>
      </c>
      <c r="AS399" s="100">
        <f t="shared" si="627"/>
        <v>-6.2148751070582922</v>
      </c>
      <c r="AT399" s="100">
        <f t="shared" si="627"/>
        <v>-2.4474031875574846</v>
      </c>
      <c r="AU399" s="100">
        <f t="shared" si="627"/>
        <v>12.45761029825549</v>
      </c>
      <c r="AV399" s="100">
        <f t="shared" si="627"/>
        <v>34.974758511307378</v>
      </c>
      <c r="AW399" s="100">
        <f t="shared" si="627"/>
        <v>46.319689621293307</v>
      </c>
      <c r="AX399" s="100">
        <f t="shared" si="627"/>
        <v>44.395242885615076</v>
      </c>
      <c r="AY399" s="100">
        <f t="shared" si="627"/>
        <v>33.489972814500014</v>
      </c>
      <c r="AZ399" s="100">
        <f t="shared" si="627"/>
        <v>59.940915344296876</v>
      </c>
      <c r="BA399" s="100">
        <f t="shared" si="627"/>
        <v>87.827102634116073</v>
      </c>
      <c r="BB399" s="100">
        <f t="shared" si="627"/>
        <v>94.43989459074831</v>
      </c>
      <c r="BC399" s="100">
        <f t="shared" si="627"/>
        <v>90.147488003146748</v>
      </c>
      <c r="BD399" s="100">
        <f t="shared" si="627"/>
        <v>88.237252432332724</v>
      </c>
      <c r="BE399" s="100">
        <f t="shared" si="627"/>
        <v>85.990341943687952</v>
      </c>
      <c r="BF399" s="100">
        <f t="shared" si="627"/>
        <v>80.903733518244607</v>
      </c>
      <c r="BG399" s="100">
        <f t="shared" si="627"/>
        <v>80.873875774695065</v>
      </c>
      <c r="BH399" s="100">
        <f t="shared" si="627"/>
        <v>84.191960968720053</v>
      </c>
      <c r="BI399" s="100">
        <f t="shared" si="627"/>
        <v>84.526088191583582</v>
      </c>
      <c r="BJ399" s="100">
        <f t="shared" si="627"/>
        <v>81.857689469834995</v>
      </c>
      <c r="BK399" s="1"/>
      <c r="BL399" s="12"/>
      <c r="BM399" s="23">
        <f t="shared" si="619"/>
        <v>393</v>
      </c>
    </row>
    <row r="400" spans="1:65" ht="12.75" hidden="1" customHeight="1" outlineLevel="2">
      <c r="A400" s="118"/>
      <c r="B400" s="53" t="s">
        <v>298</v>
      </c>
      <c r="G400" s="87">
        <f t="shared" ref="G400:Q400" si="628">+G399/G14</f>
        <v>0.16950473135082458</v>
      </c>
      <c r="H400" s="87">
        <f t="shared" si="628"/>
        <v>0.18415810577177255</v>
      </c>
      <c r="I400" s="87">
        <f t="shared" si="628"/>
        <v>0.19425620017621609</v>
      </c>
      <c r="J400" s="87">
        <f t="shared" si="628"/>
        <v>0.1634253787744249</v>
      </c>
      <c r="K400" s="87">
        <f t="shared" si="628"/>
        <v>0.15538306761746074</v>
      </c>
      <c r="L400" s="87">
        <f t="shared" si="628"/>
        <v>4.7795247747343658E-2</v>
      </c>
      <c r="M400" s="87">
        <f t="shared" si="628"/>
        <v>-4.1793110574802401E-2</v>
      </c>
      <c r="N400" s="87">
        <f t="shared" si="628"/>
        <v>0.11068981427917689</v>
      </c>
      <c r="O400" s="87">
        <f t="shared" si="628"/>
        <v>0.14436841086445804</v>
      </c>
      <c r="P400" s="87">
        <f t="shared" si="628"/>
        <v>0.14804803218175558</v>
      </c>
      <c r="Q400" s="87">
        <f t="shared" si="628"/>
        <v>0.13861181676981621</v>
      </c>
      <c r="R400" s="51"/>
      <c r="S400" s="87"/>
      <c r="T400" s="87"/>
      <c r="U400" s="87"/>
      <c r="V400" s="87">
        <f t="shared" ref="V400:BJ400" si="629">+V399/V14</f>
        <v>0.12905139080276004</v>
      </c>
      <c r="W400" s="87">
        <f t="shared" si="629"/>
        <v>0.11367866462540775</v>
      </c>
      <c r="X400" s="87">
        <f t="shared" si="629"/>
        <v>0.19446843695412311</v>
      </c>
      <c r="Y400" s="87">
        <f t="shared" si="629"/>
        <v>0.18092476587493697</v>
      </c>
      <c r="Z400" s="87">
        <f t="shared" si="629"/>
        <v>0.22527283993750902</v>
      </c>
      <c r="AA400" s="87">
        <f t="shared" si="629"/>
        <v>0.21226202137611602</v>
      </c>
      <c r="AB400" s="87">
        <f t="shared" si="629"/>
        <v>0.20856187247921743</v>
      </c>
      <c r="AC400" s="87">
        <f t="shared" si="629"/>
        <v>0.18002012087101052</v>
      </c>
      <c r="AD400" s="87">
        <f t="shared" si="629"/>
        <v>0.18009151836994866</v>
      </c>
      <c r="AE400" s="87">
        <f t="shared" si="629"/>
        <v>0.16095974295330936</v>
      </c>
      <c r="AF400" s="87">
        <f t="shared" si="629"/>
        <v>0.17551484794031111</v>
      </c>
      <c r="AG400" s="87">
        <f t="shared" si="629"/>
        <v>0.16448760387811631</v>
      </c>
      <c r="AH400" s="87">
        <f t="shared" si="629"/>
        <v>0.14393120238781221</v>
      </c>
      <c r="AI400" s="87">
        <f t="shared" si="629"/>
        <v>0.11769046070720215</v>
      </c>
      <c r="AJ400" s="87">
        <f t="shared" si="629"/>
        <v>0.15243602409355539</v>
      </c>
      <c r="AK400" s="87">
        <f t="shared" si="629"/>
        <v>0.19143394304096212</v>
      </c>
      <c r="AL400" s="87">
        <f t="shared" si="629"/>
        <v>0.15063937445299036</v>
      </c>
      <c r="AM400" s="87">
        <f t="shared" si="629"/>
        <v>0.13078504324516799</v>
      </c>
      <c r="AN400" s="87">
        <f t="shared" si="629"/>
        <v>5.8463244979795074E-3</v>
      </c>
      <c r="AO400" s="87">
        <f t="shared" si="629"/>
        <v>3.4797733654712441E-2</v>
      </c>
      <c r="AP400" s="87">
        <f t="shared" si="629"/>
        <v>-5.388672617450635E-2</v>
      </c>
      <c r="AQ400" s="87">
        <f t="shared" si="629"/>
        <v>-5.4995693038027642E-2</v>
      </c>
      <c r="AR400" s="87">
        <f t="shared" si="629"/>
        <v>-6.8576101083352575E-2</v>
      </c>
      <c r="AS400" s="87">
        <f t="shared" si="629"/>
        <v>-4.5117715734952907E-2</v>
      </c>
      <c r="AT400" s="87">
        <f t="shared" si="629"/>
        <v>-1.3419767112223218E-2</v>
      </c>
      <c r="AU400" s="87">
        <f t="shared" si="629"/>
        <v>5.0889554603428519E-2</v>
      </c>
      <c r="AV400" s="87">
        <f t="shared" si="629"/>
        <v>0.12040954507877842</v>
      </c>
      <c r="AW400" s="87">
        <f t="shared" si="629"/>
        <v>0.13425101984880228</v>
      </c>
      <c r="AX400" s="87">
        <f t="shared" si="629"/>
        <v>0.12312653684932877</v>
      </c>
      <c r="AY400" s="87">
        <f t="shared" si="629"/>
        <v>9.0386914433196186E-2</v>
      </c>
      <c r="AZ400" s="87">
        <f t="shared" si="629"/>
        <v>0.14367426452713145</v>
      </c>
      <c r="BA400" s="87">
        <f t="shared" si="629"/>
        <v>0.16019563747954094</v>
      </c>
      <c r="BB400" s="87">
        <f t="shared" si="629"/>
        <v>0.16461092082481776</v>
      </c>
      <c r="BC400" s="87">
        <f t="shared" si="629"/>
        <v>0.15608686264773425</v>
      </c>
      <c r="BD400" s="87">
        <f t="shared" si="629"/>
        <v>0.15162941423132584</v>
      </c>
      <c r="BE400" s="87">
        <f t="shared" si="629"/>
        <v>0.14644688818147295</v>
      </c>
      <c r="BF400" s="87">
        <f t="shared" si="629"/>
        <v>0.13816555430284852</v>
      </c>
      <c r="BG400" s="87">
        <f t="shared" si="629"/>
        <v>0.13683131774916898</v>
      </c>
      <c r="BH400" s="87">
        <f t="shared" si="629"/>
        <v>0.14046439331390823</v>
      </c>
      <c r="BI400" s="87">
        <f t="shared" si="629"/>
        <v>0.14030512529642408</v>
      </c>
      <c r="BJ400" s="87">
        <f t="shared" si="629"/>
        <v>0.13680986127839159</v>
      </c>
      <c r="BK400" s="1"/>
      <c r="BL400" s="12"/>
      <c r="BM400" s="23">
        <f t="shared" si="619"/>
        <v>394</v>
      </c>
    </row>
    <row r="401" spans="1:65" ht="12.75" hidden="1" customHeight="1" outlineLevel="2">
      <c r="A401" s="118"/>
      <c r="B401" s="115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5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2"/>
      <c r="BM401" s="23">
        <f t="shared" si="619"/>
        <v>395</v>
      </c>
    </row>
    <row r="402" spans="1:65" ht="12.75" hidden="1" customHeight="1" outlineLevel="2">
      <c r="A402" s="118"/>
      <c r="B402" s="53" t="s">
        <v>326</v>
      </c>
      <c r="G402" s="87">
        <f t="shared" ref="G402:Q402" si="630">G14/AVERAGE(F396:G396)</f>
        <v>0.75441416969260178</v>
      </c>
      <c r="H402" s="87">
        <f t="shared" si="630"/>
        <v>0.83633760042326644</v>
      </c>
      <c r="I402" s="87">
        <f t="shared" si="630"/>
        <v>1.0200006232521528</v>
      </c>
      <c r="J402" s="87">
        <f t="shared" si="630"/>
        <v>1.0367877797537606</v>
      </c>
      <c r="K402" s="87">
        <f t="shared" si="630"/>
        <v>1.4651347001936819</v>
      </c>
      <c r="L402" s="87">
        <f t="shared" si="630"/>
        <v>1.0200709937136849</v>
      </c>
      <c r="M402" s="87">
        <f t="shared" si="630"/>
        <v>0.63337341727382035</v>
      </c>
      <c r="N402" s="87">
        <f t="shared" si="630"/>
        <v>0.91564637195202936</v>
      </c>
      <c r="O402" s="87">
        <f t="shared" si="630"/>
        <v>0.92701725390708345</v>
      </c>
      <c r="P402" s="87">
        <f t="shared" si="630"/>
        <v>0.92287044018750475</v>
      </c>
      <c r="Q402" s="87">
        <f t="shared" si="630"/>
        <v>0.9682639137292437</v>
      </c>
      <c r="R402" s="51"/>
      <c r="S402" s="87"/>
      <c r="T402" s="87"/>
      <c r="U402" s="87"/>
      <c r="V402" s="87">
        <f t="shared" ref="V402:BJ402" si="631">+V14*4/AVERAGE(U396:V396)</f>
        <v>0.73264283492406657</v>
      </c>
      <c r="W402" s="87">
        <f t="shared" si="631"/>
        <v>0.7937590277585288</v>
      </c>
      <c r="X402" s="87">
        <f t="shared" si="631"/>
        <v>0.91261591718946822</v>
      </c>
      <c r="Y402" s="87">
        <f t="shared" si="631"/>
        <v>0.8728674962233236</v>
      </c>
      <c r="Z402" s="87">
        <f t="shared" si="631"/>
        <v>0.91562064189799475</v>
      </c>
      <c r="AA402" s="87">
        <f t="shared" si="631"/>
        <v>1.0099527466036622</v>
      </c>
      <c r="AB402" s="87">
        <f t="shared" si="631"/>
        <v>0.97203088010147787</v>
      </c>
      <c r="AC402" s="87">
        <f t="shared" si="631"/>
        <v>1.0420165044767997</v>
      </c>
      <c r="AD402" s="87">
        <f t="shared" si="631"/>
        <v>1.0073099926550315</v>
      </c>
      <c r="AE402" s="87">
        <f t="shared" si="631"/>
        <v>0.96414891488902532</v>
      </c>
      <c r="AF402" s="87">
        <f t="shared" si="631"/>
        <v>0.97171871812483768</v>
      </c>
      <c r="AG402" s="87">
        <f t="shared" si="631"/>
        <v>1.051177570025424</v>
      </c>
      <c r="AH402" s="87">
        <f t="shared" si="631"/>
        <v>1.0583597526760093</v>
      </c>
      <c r="AI402" s="87">
        <f t="shared" si="631"/>
        <v>1.259243785982046</v>
      </c>
      <c r="AJ402" s="87">
        <f t="shared" si="631"/>
        <v>1.4252270189319505</v>
      </c>
      <c r="AK402" s="87">
        <f t="shared" si="631"/>
        <v>1.6336956153715931</v>
      </c>
      <c r="AL402" s="87">
        <f t="shared" si="631"/>
        <v>1.624369215349859</v>
      </c>
      <c r="AM402" s="87">
        <f t="shared" si="631"/>
        <v>1.2943756048802928</v>
      </c>
      <c r="AN402" s="87">
        <f t="shared" si="631"/>
        <v>0.93252352075658362</v>
      </c>
      <c r="AO402" s="87">
        <f t="shared" si="631"/>
        <v>0.96701792375636619</v>
      </c>
      <c r="AP402" s="87">
        <f t="shared" si="631"/>
        <v>0.84688043690449233</v>
      </c>
      <c r="AQ402" s="87">
        <f t="shared" si="631"/>
        <v>0.77228206481911932</v>
      </c>
      <c r="AR402" s="87">
        <f t="shared" si="631"/>
        <v>0.73275988278372217</v>
      </c>
      <c r="AS402" s="87">
        <f t="shared" si="631"/>
        <v>0.62678717991157729</v>
      </c>
      <c r="AT402" s="87">
        <f t="shared" si="631"/>
        <v>0.64804361083732676</v>
      </c>
      <c r="AU402" s="87">
        <f t="shared" si="631"/>
        <v>0.84457353559530346</v>
      </c>
      <c r="AV402" s="87">
        <f t="shared" si="631"/>
        <v>0.94429492209644117</v>
      </c>
      <c r="AW402" s="87">
        <f t="shared" si="631"/>
        <v>1.0123583847211559</v>
      </c>
      <c r="AX402" s="87">
        <f t="shared" si="631"/>
        <v>0.95317823780880484</v>
      </c>
      <c r="AY402" s="87">
        <f t="shared" si="631"/>
        <v>0.92422905178704751</v>
      </c>
      <c r="AZ402" s="87">
        <f t="shared" si="631"/>
        <v>0.81094002920646668</v>
      </c>
      <c r="BA402" s="87">
        <f t="shared" si="631"/>
        <v>0.87370510657181999</v>
      </c>
      <c r="BB402" s="87">
        <f t="shared" si="631"/>
        <v>0.90359612064078587</v>
      </c>
      <c r="BC402" s="87">
        <f t="shared" si="631"/>
        <v>0.90967616372894888</v>
      </c>
      <c r="BD402" s="87">
        <f t="shared" si="631"/>
        <v>0.919593214598599</v>
      </c>
      <c r="BE402" s="87">
        <f t="shared" si="631"/>
        <v>0.93065667429887611</v>
      </c>
      <c r="BF402" s="87">
        <f t="shared" si="631"/>
        <v>0.93124504273976005</v>
      </c>
      <c r="BG402" s="87">
        <f t="shared" si="631"/>
        <v>0.94388166058757383</v>
      </c>
      <c r="BH402" s="87">
        <f t="shared" si="631"/>
        <v>0.96340537111758429</v>
      </c>
      <c r="BI402" s="87">
        <f t="shared" si="631"/>
        <v>0.97708639743121339</v>
      </c>
      <c r="BJ402" s="87">
        <f t="shared" si="631"/>
        <v>0.98015056664761702</v>
      </c>
      <c r="BK402" s="1"/>
      <c r="BL402" s="12"/>
      <c r="BM402" s="23">
        <f t="shared" si="619"/>
        <v>396</v>
      </c>
    </row>
    <row r="403" spans="1:65" ht="12.75" hidden="1" customHeight="1" outlineLevel="2">
      <c r="A403" s="118"/>
      <c r="B403" s="53" t="s">
        <v>304</v>
      </c>
      <c r="G403" s="87">
        <f t="shared" ref="G403:O403" si="632">+G399/AVERAGE(F396:G396)</f>
        <v>0.12787677116099985</v>
      </c>
      <c r="H403" s="87">
        <f t="shared" si="632"/>
        <v>0.15401834827965832</v>
      </c>
      <c r="I403" s="87">
        <f t="shared" si="632"/>
        <v>0.19814144525033536</v>
      </c>
      <c r="J403" s="87">
        <f t="shared" si="632"/>
        <v>0.16943743561495334</v>
      </c>
      <c r="K403" s="87">
        <f t="shared" si="632"/>
        <v>0.22765712418888293</v>
      </c>
      <c r="L403" s="87">
        <f t="shared" si="632"/>
        <v>4.8754545864424605E-2</v>
      </c>
      <c r="M403" s="87">
        <f t="shared" si="632"/>
        <v>-2.6470645263265234E-2</v>
      </c>
      <c r="N403" s="87">
        <f t="shared" si="632"/>
        <v>0.10135272685677224</v>
      </c>
      <c r="O403" s="87">
        <f t="shared" si="632"/>
        <v>0.13383200779049945</v>
      </c>
      <c r="P403" s="87">
        <f>+P399/AVERAGE(O396:P396)</f>
        <v>0.13662915262847064</v>
      </c>
      <c r="Q403" s="87">
        <f>+Q399/AVERAGE(P396:Q396)</f>
        <v>0.13421282019466305</v>
      </c>
      <c r="R403" s="51"/>
      <c r="S403" s="87"/>
      <c r="T403" s="87"/>
      <c r="U403" s="87"/>
      <c r="V403" s="87">
        <f t="shared" ref="V403:AX403" si="633">+V399*4/AVERAGE(U396:V396)</f>
        <v>9.4548576808627716E-2</v>
      </c>
      <c r="W403" s="87">
        <f t="shared" si="633"/>
        <v>9.0233466309951507E-2</v>
      </c>
      <c r="X403" s="87">
        <f t="shared" si="633"/>
        <v>0.17747499095528935</v>
      </c>
      <c r="Y403" s="87">
        <f t="shared" si="633"/>
        <v>0.15792334739404726</v>
      </c>
      <c r="Z403" s="87">
        <f t="shared" si="633"/>
        <v>0.20626446230576623</v>
      </c>
      <c r="AA403" s="87">
        <f t="shared" si="633"/>
        <v>0.21437461148845366</v>
      </c>
      <c r="AB403" s="87">
        <f t="shared" si="633"/>
        <v>0.2027285804615859</v>
      </c>
      <c r="AC403" s="87">
        <f t="shared" si="633"/>
        <v>0.18758393708550139</v>
      </c>
      <c r="AD403" s="87">
        <f t="shared" si="633"/>
        <v>0.18140798604646644</v>
      </c>
      <c r="AE403" s="87">
        <f t="shared" si="633"/>
        <v>0.15518916150924966</v>
      </c>
      <c r="AF403" s="87">
        <f t="shared" si="633"/>
        <v>0.17055106305243492</v>
      </c>
      <c r="AG403" s="87">
        <f t="shared" si="633"/>
        <v>0.17290567974390281</v>
      </c>
      <c r="AH403" s="87">
        <f t="shared" si="633"/>
        <v>0.15233099176152559</v>
      </c>
      <c r="AI403" s="87">
        <f t="shared" si="633"/>
        <v>0.14820098131490847</v>
      </c>
      <c r="AJ403" s="87">
        <f>+AJ399*4/AVERAGE(AI396:AJ396)</f>
        <v>0.21725594019669695</v>
      </c>
      <c r="AK403" s="87">
        <f t="shared" si="633"/>
        <v>0.31274479337931516</v>
      </c>
      <c r="AL403" s="87">
        <f t="shared" si="633"/>
        <v>0.24469396248099753</v>
      </c>
      <c r="AM403" s="87">
        <f t="shared" si="633"/>
        <v>0.16928496945975957</v>
      </c>
      <c r="AN403" s="87">
        <f t="shared" si="633"/>
        <v>5.4518351043413163E-3</v>
      </c>
      <c r="AO403" s="87">
        <f t="shared" si="633"/>
        <v>3.3650032150207052E-2</v>
      </c>
      <c r="AP403" s="87">
        <f t="shared" si="633"/>
        <v>-4.5635614206018679E-2</v>
      </c>
      <c r="AQ403" s="87">
        <f t="shared" si="633"/>
        <v>-4.2472187375566454E-2</v>
      </c>
      <c r="AR403" s="87">
        <f t="shared" si="633"/>
        <v>-5.0249815791602113E-2</v>
      </c>
      <c r="AS403" s="87">
        <f t="shared" si="633"/>
        <v>-2.8279205809563328E-2</v>
      </c>
      <c r="AT403" s="87">
        <f t="shared" si="633"/>
        <v>-8.6965943360011386E-3</v>
      </c>
      <c r="AU403" s="87">
        <f t="shared" si="633"/>
        <v>4.2979971056287876E-2</v>
      </c>
      <c r="AV403" s="87">
        <f t="shared" si="633"/>
        <v>0.11370212198983298</v>
      </c>
      <c r="AW403" s="87">
        <f t="shared" si="633"/>
        <v>0.1359101456013013</v>
      </c>
      <c r="AX403" s="87">
        <f t="shared" si="633"/>
        <v>0.11736153542154408</v>
      </c>
      <c r="AY403" s="87">
        <f>+AY399*4/AVERAGE(AX396:AY396)</f>
        <v>8.3538212220549898E-2</v>
      </c>
      <c r="AZ403" s="87">
        <f>+AZ399*4/AVERAGE(AY396:AZ396)</f>
        <v>0.1165112122718496</v>
      </c>
      <c r="BA403" s="87">
        <f>+BA399*4/AVERAGE(AZ396:BA396)</f>
        <v>0.13996374651640298</v>
      </c>
      <c r="BB403" s="87">
        <f>+BB399*4/AVERAGE(BA396:BB396)</f>
        <v>0.14874178947241287</v>
      </c>
      <c r="BC403" s="87">
        <f t="shared" ref="BC403:BJ403" si="634">+BC399*4/AVERAGE(BB396:BC396)</f>
        <v>0.14198849842187825</v>
      </c>
      <c r="BD403" s="87">
        <f t="shared" si="634"/>
        <v>0.13943738046068746</v>
      </c>
      <c r="BE403" s="87">
        <f t="shared" si="634"/>
        <v>0.136291773916389</v>
      </c>
      <c r="BF403" s="87">
        <f t="shared" si="634"/>
        <v>0.12866598752191882</v>
      </c>
      <c r="BG403" s="87">
        <f t="shared" si="634"/>
        <v>0.12915257141747158</v>
      </c>
      <c r="BH403" s="87">
        <f t="shared" si="634"/>
        <v>0.13532415096939207</v>
      </c>
      <c r="BI403" s="87">
        <f t="shared" si="634"/>
        <v>0.13709022941701801</v>
      </c>
      <c r="BJ403" s="87">
        <f t="shared" si="634"/>
        <v>0.13409426305499741</v>
      </c>
      <c r="BK403" s="1"/>
      <c r="BL403" s="12"/>
      <c r="BM403" s="23">
        <f t="shared" si="619"/>
        <v>397</v>
      </c>
    </row>
    <row r="404" spans="1:65" ht="12.75" hidden="1" customHeight="1" outlineLevel="2">
      <c r="A404" s="118"/>
      <c r="B404" s="53" t="s">
        <v>327</v>
      </c>
      <c r="G404" s="87">
        <f t="shared" ref="G404:Q404" si="635">+G30/AVERAGE(F284:G284)</f>
        <v>0.22172112664507404</v>
      </c>
      <c r="H404" s="87">
        <f t="shared" si="635"/>
        <v>0.37319793346636426</v>
      </c>
      <c r="I404" s="87">
        <f t="shared" si="635"/>
        <v>0.4328938884929926</v>
      </c>
      <c r="J404" s="87">
        <f t="shared" si="635"/>
        <v>0.29192788010085241</v>
      </c>
      <c r="K404" s="87">
        <f t="shared" si="635"/>
        <v>0.34451907840305146</v>
      </c>
      <c r="L404" s="87">
        <f t="shared" si="635"/>
        <v>1.2554816537920255E-2</v>
      </c>
      <c r="M404" s="87">
        <f t="shared" si="635"/>
        <v>-4.4351364771454113E-2</v>
      </c>
      <c r="N404" s="87">
        <f t="shared" si="635"/>
        <v>8.7704079262984916E-2</v>
      </c>
      <c r="O404" s="87">
        <f t="shared" si="635"/>
        <v>0.15435826043280623</v>
      </c>
      <c r="P404" s="87">
        <f t="shared" si="635"/>
        <v>0.15969224285274039</v>
      </c>
      <c r="Q404" s="87">
        <f t="shared" si="635"/>
        <v>0.13111978859120188</v>
      </c>
      <c r="R404" s="51"/>
      <c r="S404" s="87"/>
      <c r="T404" s="87"/>
      <c r="U404" s="87"/>
      <c r="V404" s="87">
        <f t="shared" ref="V404:BJ404" si="636">+V30*4/AVERAGE(U284:V284)</f>
        <v>0.11254151121315241</v>
      </c>
      <c r="W404" s="87">
        <f t="shared" si="636"/>
        <v>0.1528596613504983</v>
      </c>
      <c r="X404" s="87">
        <f t="shared" si="636"/>
        <v>0.4429994670165226</v>
      </c>
      <c r="Y404" s="87">
        <f t="shared" si="636"/>
        <v>0.39109695578105325</v>
      </c>
      <c r="Z404" s="87">
        <f t="shared" si="636"/>
        <v>0.52795420698376783</v>
      </c>
      <c r="AA404" s="87">
        <f t="shared" si="636"/>
        <v>0.47582356712079787</v>
      </c>
      <c r="AB404" s="87">
        <f t="shared" si="636"/>
        <v>0.37168775706157992</v>
      </c>
      <c r="AC404" s="87">
        <f t="shared" si="636"/>
        <v>0.32870914854082406</v>
      </c>
      <c r="AD404" s="87">
        <f t="shared" si="636"/>
        <v>0.32656198790334606</v>
      </c>
      <c r="AE404" s="87">
        <f t="shared" si="636"/>
        <v>0.30390184171105716</v>
      </c>
      <c r="AF404" s="87">
        <f t="shared" si="636"/>
        <v>0.31185097810579721</v>
      </c>
      <c r="AG404" s="87">
        <f t="shared" si="636"/>
        <v>0.32355836317024883</v>
      </c>
      <c r="AH404" s="87">
        <f t="shared" si="636"/>
        <v>0.24128388112708143</v>
      </c>
      <c r="AI404" s="87">
        <f t="shared" si="636"/>
        <v>0.23110283642218937</v>
      </c>
      <c r="AJ404" s="87">
        <f t="shared" si="636"/>
        <v>0.3370404568524934</v>
      </c>
      <c r="AK404" s="87">
        <f t="shared" si="636"/>
        <v>0.45743170741861361</v>
      </c>
      <c r="AL404" s="87">
        <f t="shared" si="636"/>
        <v>0.33448769056014205</v>
      </c>
      <c r="AM404" s="87">
        <f t="shared" si="636"/>
        <v>0.21286372751489022</v>
      </c>
      <c r="AN404" s="87">
        <f t="shared" si="636"/>
        <v>-1.5257948723703264E-2</v>
      </c>
      <c r="AO404" s="87">
        <f t="shared" si="636"/>
        <v>-2.0954162955644857E-2</v>
      </c>
      <c r="AP404" s="87">
        <f t="shared" si="636"/>
        <v>-0.13056480020055408</v>
      </c>
      <c r="AQ404" s="87">
        <f t="shared" si="636"/>
        <v>-8.7525022360407156E-2</v>
      </c>
      <c r="AR404" s="87">
        <f t="shared" si="636"/>
        <v>-8.3083790688828929E-2</v>
      </c>
      <c r="AS404" s="87">
        <f t="shared" si="636"/>
        <v>-5.3438213914081455E-2</v>
      </c>
      <c r="AT404" s="87">
        <f t="shared" si="636"/>
        <v>-2.3270605565511946E-2</v>
      </c>
      <c r="AU404" s="87">
        <f t="shared" si="636"/>
        <v>2.0782149399376417E-2</v>
      </c>
      <c r="AV404" s="87">
        <f t="shared" si="636"/>
        <v>9.1483884191010889E-2</v>
      </c>
      <c r="AW404" s="87">
        <f t="shared" si="636"/>
        <v>0.12455059462399701</v>
      </c>
      <c r="AX404" s="87">
        <f t="shared" si="636"/>
        <v>0.11576726923568673</v>
      </c>
      <c r="AY404" s="87">
        <f t="shared" si="636"/>
        <v>7.9044403297056698E-2</v>
      </c>
      <c r="AZ404" s="87">
        <f t="shared" si="636"/>
        <v>0.14954432379139937</v>
      </c>
      <c r="BA404" s="87">
        <f t="shared" si="636"/>
        <v>0.19125038563883051</v>
      </c>
      <c r="BB404" s="87">
        <f t="shared" si="636"/>
        <v>0.19856723772490181</v>
      </c>
      <c r="BC404" s="87">
        <f t="shared" si="636"/>
        <v>0.17901467975760449</v>
      </c>
      <c r="BD404" s="87">
        <f t="shared" si="636"/>
        <v>0.16694419539461386</v>
      </c>
      <c r="BE404" s="87">
        <f t="shared" si="636"/>
        <v>0.15530990682416354</v>
      </c>
      <c r="BF404" s="87">
        <f t="shared" si="636"/>
        <v>0.13885471180901102</v>
      </c>
      <c r="BG404" s="87">
        <f t="shared" si="636"/>
        <v>0.13404837484064264</v>
      </c>
      <c r="BH404" s="87">
        <f t="shared" si="636"/>
        <v>0.13605555698582247</v>
      </c>
      <c r="BI404" s="87">
        <f t="shared" si="636"/>
        <v>0.13212577308783638</v>
      </c>
      <c r="BJ404" s="87">
        <f t="shared" si="636"/>
        <v>0.12298337223836331</v>
      </c>
      <c r="BK404" s="1"/>
      <c r="BL404" s="12"/>
      <c r="BM404" s="23">
        <f t="shared" si="619"/>
        <v>398</v>
      </c>
    </row>
    <row r="405" spans="1:65" ht="12.75" hidden="1" customHeight="1" outlineLevel="2">
      <c r="A405" s="118"/>
      <c r="B405" s="53" t="s">
        <v>328</v>
      </c>
      <c r="G405" s="87">
        <f t="shared" ref="G405:Q405" si="637">+G32/AVERAGE(F284:G284)</f>
        <v>0.11722561600590385</v>
      </c>
      <c r="H405" s="87">
        <f t="shared" si="637"/>
        <v>0.25828208001895248</v>
      </c>
      <c r="I405" s="87">
        <f t="shared" si="637"/>
        <v>0.44754204983768253</v>
      </c>
      <c r="J405" s="87">
        <f t="shared" si="637"/>
        <v>0.27819471041871524</v>
      </c>
      <c r="K405" s="87">
        <f t="shared" si="637"/>
        <v>0.34451907840305146</v>
      </c>
      <c r="L405" s="87">
        <f t="shared" si="637"/>
        <v>3.0122477261565302E-2</v>
      </c>
      <c r="M405" s="87">
        <f t="shared" si="637"/>
        <v>-4.9391326592484769E-2</v>
      </c>
      <c r="N405" s="87">
        <f t="shared" si="637"/>
        <v>0.10877685036609541</v>
      </c>
      <c r="O405" s="87">
        <f t="shared" si="637"/>
        <v>0.15435826043280623</v>
      </c>
      <c r="P405" s="87">
        <f t="shared" si="637"/>
        <v>0.15969224285274039</v>
      </c>
      <c r="Q405" s="87">
        <f t="shared" si="637"/>
        <v>0.13111978859120188</v>
      </c>
      <c r="R405" s="51"/>
      <c r="S405" s="87"/>
      <c r="T405" s="87"/>
      <c r="U405" s="87"/>
      <c r="V405" s="87">
        <f t="shared" ref="V405:BJ405" si="638">+V32*4/AVERAGE(U284:V284)</f>
        <v>0.11254151121315241</v>
      </c>
      <c r="W405" s="87">
        <f t="shared" si="638"/>
        <v>0.14390553892829339</v>
      </c>
      <c r="X405" s="87">
        <f t="shared" si="638"/>
        <v>0.1824115452420976</v>
      </c>
      <c r="Y405" s="87">
        <f t="shared" si="638"/>
        <v>0.38300866602473888</v>
      </c>
      <c r="Z405" s="87">
        <f t="shared" si="638"/>
        <v>0.33429567445691521</v>
      </c>
      <c r="AA405" s="87">
        <f t="shared" si="638"/>
        <v>0.47582356712079787</v>
      </c>
      <c r="AB405" s="87">
        <f t="shared" si="638"/>
        <v>0.37168775706157992</v>
      </c>
      <c r="AC405" s="87">
        <f t="shared" si="638"/>
        <v>0.32870914854082406</v>
      </c>
      <c r="AD405" s="87">
        <f t="shared" si="638"/>
        <v>0.37065816524148631</v>
      </c>
      <c r="AE405" s="87">
        <f t="shared" si="638"/>
        <v>0.28636959778223936</v>
      </c>
      <c r="AF405" s="87">
        <f t="shared" si="638"/>
        <v>0.31185097810579721</v>
      </c>
      <c r="AG405" s="87">
        <f t="shared" si="638"/>
        <v>0.30760688105977835</v>
      </c>
      <c r="AH405" s="87">
        <f t="shared" si="638"/>
        <v>0.22049787248299663</v>
      </c>
      <c r="AI405" s="87">
        <f t="shared" si="638"/>
        <v>0.23110283642218937</v>
      </c>
      <c r="AJ405" s="87">
        <f t="shared" si="638"/>
        <v>0.3370404568524934</v>
      </c>
      <c r="AK405" s="87">
        <f t="shared" si="638"/>
        <v>0.45743170741861361</v>
      </c>
      <c r="AL405" s="87">
        <f t="shared" si="638"/>
        <v>0.33448769056014205</v>
      </c>
      <c r="AM405" s="87">
        <f t="shared" si="638"/>
        <v>0.14788542695519433</v>
      </c>
      <c r="AN405" s="87">
        <f t="shared" si="638"/>
        <v>9.9275977592335585E-2</v>
      </c>
      <c r="AO405" s="87">
        <f t="shared" si="638"/>
        <v>2.4069874486382113E-2</v>
      </c>
      <c r="AP405" s="87">
        <f t="shared" si="638"/>
        <v>-0.15675961904956809</v>
      </c>
      <c r="AQ405" s="87">
        <f t="shared" si="638"/>
        <v>-9.0804548745687608E-2</v>
      </c>
      <c r="AR405" s="87">
        <f t="shared" si="638"/>
        <v>-8.7498483589473708E-2</v>
      </c>
      <c r="AS405" s="87">
        <f t="shared" si="638"/>
        <v>-6.7087677986245528E-2</v>
      </c>
      <c r="AT405" s="87">
        <f t="shared" si="638"/>
        <v>-2.6647665522279543E-2</v>
      </c>
      <c r="AU405" s="87">
        <f t="shared" si="638"/>
        <v>7.9208978064420968E-3</v>
      </c>
      <c r="AV405" s="87">
        <f t="shared" si="638"/>
        <v>9.1483884191010889E-2</v>
      </c>
      <c r="AW405" s="87">
        <f t="shared" si="638"/>
        <v>0.12455059462399701</v>
      </c>
      <c r="AX405" s="87">
        <f t="shared" si="638"/>
        <v>0.2096731833777061</v>
      </c>
      <c r="AY405" s="87">
        <f t="shared" si="638"/>
        <v>7.9044403297056698E-2</v>
      </c>
      <c r="AZ405" s="87">
        <f t="shared" si="638"/>
        <v>0.14954432379139937</v>
      </c>
      <c r="BA405" s="87">
        <f t="shared" si="638"/>
        <v>0.19125038563883051</v>
      </c>
      <c r="BB405" s="87">
        <f t="shared" si="638"/>
        <v>0.19856723772490181</v>
      </c>
      <c r="BC405" s="87">
        <f t="shared" si="638"/>
        <v>0.17901467975760449</v>
      </c>
      <c r="BD405" s="87">
        <f t="shared" si="638"/>
        <v>0.16694419539461386</v>
      </c>
      <c r="BE405" s="87">
        <f t="shared" si="638"/>
        <v>0.15530990682416354</v>
      </c>
      <c r="BF405" s="87">
        <f t="shared" si="638"/>
        <v>0.13885471180901102</v>
      </c>
      <c r="BG405" s="87">
        <f t="shared" si="638"/>
        <v>0.13404837484064264</v>
      </c>
      <c r="BH405" s="87">
        <f t="shared" si="638"/>
        <v>0.13605555698582247</v>
      </c>
      <c r="BI405" s="87">
        <f t="shared" si="638"/>
        <v>0.13212577308783638</v>
      </c>
      <c r="BJ405" s="87">
        <f t="shared" si="638"/>
        <v>0.12298337223836331</v>
      </c>
      <c r="BK405" s="1"/>
      <c r="BL405" s="12"/>
      <c r="BM405" s="23">
        <f t="shared" si="619"/>
        <v>399</v>
      </c>
    </row>
    <row r="406" spans="1:65" ht="12.75" hidden="1" customHeight="1" outlineLevel="2">
      <c r="A406" s="118"/>
      <c r="B406" s="53"/>
      <c r="G406" s="87"/>
      <c r="H406" s="87"/>
      <c r="I406" s="87"/>
      <c r="J406" s="87"/>
      <c r="K406" s="87"/>
      <c r="L406" s="87"/>
      <c r="M406" s="87"/>
      <c r="N406" s="87"/>
      <c r="O406" s="87"/>
      <c r="P406" s="87"/>
      <c r="Q406" s="87"/>
      <c r="R406" s="51"/>
      <c r="S406" s="87"/>
      <c r="T406" s="87"/>
      <c r="U406" s="87"/>
      <c r="V406" s="87"/>
      <c r="W406" s="87"/>
      <c r="X406" s="87"/>
      <c r="Y406" s="87"/>
      <c r="Z406" s="87"/>
      <c r="AA406" s="87"/>
      <c r="AB406" s="87"/>
      <c r="AC406" s="87"/>
      <c r="AD406" s="87"/>
      <c r="AE406" s="87"/>
      <c r="AF406" s="87"/>
      <c r="AG406" s="87"/>
      <c r="AH406" s="87"/>
      <c r="AI406" s="87"/>
      <c r="AJ406" s="87"/>
      <c r="AK406" s="87"/>
      <c r="AL406" s="87"/>
      <c r="AM406" s="87"/>
      <c r="AN406" s="87"/>
      <c r="AO406" s="87"/>
      <c r="AP406" s="87"/>
      <c r="AQ406" s="87"/>
      <c r="AR406" s="87"/>
      <c r="AS406" s="87"/>
      <c r="AT406" s="87"/>
      <c r="AU406" s="87"/>
      <c r="AV406" s="87"/>
      <c r="AW406" s="87"/>
      <c r="AX406" s="87"/>
      <c r="AY406" s="87"/>
      <c r="AZ406" s="87"/>
      <c r="BA406" s="87"/>
      <c r="BB406" s="87"/>
      <c r="BC406" s="87"/>
      <c r="BD406" s="87"/>
      <c r="BE406" s="87"/>
      <c r="BF406" s="87"/>
      <c r="BG406" s="87"/>
      <c r="BH406" s="87"/>
      <c r="BI406" s="87"/>
      <c r="BJ406" s="87"/>
      <c r="BK406" s="1"/>
      <c r="BL406" s="12"/>
      <c r="BM406" s="23">
        <f t="shared" si="619"/>
        <v>400</v>
      </c>
    </row>
    <row r="407" spans="1:65" ht="12.75" hidden="1" customHeight="1" outlineLevel="2">
      <c r="A407" s="118"/>
      <c r="B407" s="53" t="s">
        <v>299</v>
      </c>
      <c r="G407" s="100"/>
      <c r="H407" s="100">
        <f t="shared" ref="H407:O407" si="639">H396-G396</f>
        <v>57.497000000000071</v>
      </c>
      <c r="I407" s="100">
        <f t="shared" si="639"/>
        <v>102.04299999999984</v>
      </c>
      <c r="J407" s="100">
        <f t="shared" si="639"/>
        <v>84.73700000000008</v>
      </c>
      <c r="K407" s="100">
        <f t="shared" si="639"/>
        <v>58.866000000000213</v>
      </c>
      <c r="L407" s="100">
        <f t="shared" si="639"/>
        <v>5.0029999999999291</v>
      </c>
      <c r="M407" s="100">
        <f t="shared" si="639"/>
        <v>501.44699999999989</v>
      </c>
      <c r="N407" s="100">
        <f t="shared" si="639"/>
        <v>441.75599999999986</v>
      </c>
      <c r="O407" s="100">
        <f t="shared" si="639"/>
        <v>967.97501929288273</v>
      </c>
      <c r="P407" s="100">
        <f>P396-O396</f>
        <v>-33.785962608703358</v>
      </c>
      <c r="Q407" s="100">
        <f>Q396-P396</f>
        <v>-81.297375989360717</v>
      </c>
      <c r="R407" s="51"/>
      <c r="S407" s="100"/>
      <c r="T407" s="100"/>
      <c r="U407" s="100"/>
      <c r="V407" s="100">
        <f t="shared" ref="V407:AX407" si="640">V396-U396</f>
        <v>324.69300000000004</v>
      </c>
      <c r="W407" s="100">
        <f t="shared" si="640"/>
        <v>0</v>
      </c>
      <c r="X407" s="100">
        <f t="shared" si="640"/>
        <v>0</v>
      </c>
      <c r="Y407" s="100">
        <f t="shared" si="640"/>
        <v>23.824999999999875</v>
      </c>
      <c r="Z407" s="100">
        <f t="shared" si="640"/>
        <v>33.672000000000196</v>
      </c>
      <c r="AA407" s="100">
        <f t="shared" si="640"/>
        <v>48.259999999999764</v>
      </c>
      <c r="AB407" s="100">
        <f t="shared" si="640"/>
        <v>-2.1999999999763986E-2</v>
      </c>
      <c r="AC407" s="100">
        <f t="shared" si="640"/>
        <v>28.841999999999871</v>
      </c>
      <c r="AD407" s="100">
        <f t="shared" si="640"/>
        <v>24.962999999999965</v>
      </c>
      <c r="AE407" s="100">
        <f t="shared" si="640"/>
        <v>46.315000000000055</v>
      </c>
      <c r="AF407" s="100">
        <f t="shared" si="640"/>
        <v>7.5259999999999536</v>
      </c>
      <c r="AG407" s="100">
        <f t="shared" si="640"/>
        <v>22.810000000000059</v>
      </c>
      <c r="AH407" s="100">
        <f t="shared" si="640"/>
        <v>8.0860000000000127</v>
      </c>
      <c r="AI407" s="100">
        <f t="shared" si="640"/>
        <v>6.2069999999998799</v>
      </c>
      <c r="AJ407" s="100">
        <f>AJ396-AI396</f>
        <v>4.8360000000001264</v>
      </c>
      <c r="AK407" s="100">
        <f>AK396-AJ396</f>
        <v>21.37399999999991</v>
      </c>
      <c r="AL407" s="100">
        <f t="shared" si="640"/>
        <v>26.449000000000296</v>
      </c>
      <c r="AM407" s="100">
        <f t="shared" si="640"/>
        <v>4.9079999999996744</v>
      </c>
      <c r="AN407" s="100">
        <f t="shared" si="640"/>
        <v>-9.9999999997635314E-3</v>
      </c>
      <c r="AO407" s="100">
        <f t="shared" si="640"/>
        <v>20.199999999999818</v>
      </c>
      <c r="AP407" s="100">
        <f t="shared" si="640"/>
        <v>-20.0949999999998</v>
      </c>
      <c r="AQ407" s="100">
        <f t="shared" si="640"/>
        <v>3.3919999999999391</v>
      </c>
      <c r="AR407" s="100">
        <f t="shared" si="640"/>
        <v>4.834999999999809</v>
      </c>
      <c r="AS407" s="100">
        <f t="shared" si="640"/>
        <v>476.01500000000021</v>
      </c>
      <c r="AT407" s="100">
        <f t="shared" si="640"/>
        <v>17.204999999999927</v>
      </c>
      <c r="AU407" s="100">
        <f t="shared" si="640"/>
        <v>50.202999999999975</v>
      </c>
      <c r="AV407" s="100">
        <f t="shared" si="640"/>
        <v>91.820999999999913</v>
      </c>
      <c r="AW407" s="100">
        <f t="shared" si="640"/>
        <v>173.86900000000037</v>
      </c>
      <c r="AX407" s="100">
        <f t="shared" si="640"/>
        <v>125.8629999999996</v>
      </c>
      <c r="AY407" s="100">
        <f>AY396-AX396</f>
        <v>55.0684562754941</v>
      </c>
      <c r="AZ407" s="100">
        <f>AZ396-AY396</f>
        <v>853.49733811418082</v>
      </c>
      <c r="BA407" s="100">
        <f>BA396-AZ396</f>
        <v>50.775934458317806</v>
      </c>
      <c r="BB407" s="100">
        <f>BB396-BA396</f>
        <v>8.6332904448900081</v>
      </c>
      <c r="BC407" s="100">
        <f t="shared" ref="BC407:BJ407" si="641">BC396-BB396</f>
        <v>-8.8909245963914145</v>
      </c>
      <c r="BD407" s="100">
        <f t="shared" si="641"/>
        <v>-7.7788617498222266</v>
      </c>
      <c r="BE407" s="100">
        <f t="shared" si="641"/>
        <v>-7.2677886859232785</v>
      </c>
      <c r="BF407" s="100">
        <f t="shared" si="641"/>
        <v>-9.8483875765664379</v>
      </c>
      <c r="BG407" s="100">
        <f t="shared" si="641"/>
        <v>-10.95282449610886</v>
      </c>
      <c r="BH407" s="100">
        <f t="shared" si="641"/>
        <v>-21.354073488040285</v>
      </c>
      <c r="BI407" s="100">
        <f t="shared" si="641"/>
        <v>-23.266991887113818</v>
      </c>
      <c r="BJ407" s="100">
        <f t="shared" si="641"/>
        <v>-25.723486118097753</v>
      </c>
      <c r="BK407" s="1"/>
      <c r="BL407" s="12"/>
      <c r="BM407" s="23">
        <f t="shared" si="619"/>
        <v>401</v>
      </c>
    </row>
    <row r="408" spans="1:65" ht="12.75" hidden="1" customHeight="1" outlineLevel="2">
      <c r="A408" s="118"/>
      <c r="B408" s="53" t="s">
        <v>300</v>
      </c>
      <c r="C408" s="1"/>
      <c r="D408" s="1"/>
      <c r="E408" s="1"/>
      <c r="F408" s="1"/>
      <c r="G408" s="1"/>
      <c r="H408" s="103">
        <f t="shared" ref="H408:N408" si="642">+H407/H399</f>
        <v>1.0562219338751906</v>
      </c>
      <c r="I408" s="103">
        <f t="shared" si="642"/>
        <v>1.1887975868195662</v>
      </c>
      <c r="J408" s="103">
        <f t="shared" si="642"/>
        <v>0.94968946987389935</v>
      </c>
      <c r="K408" s="103">
        <f t="shared" si="642"/>
        <v>0.43210522569588022</v>
      </c>
      <c r="L408" s="103">
        <f t="shared" si="642"/>
        <v>0.16279544249029085</v>
      </c>
      <c r="M408" s="103">
        <f t="shared" si="642"/>
        <v>-21.439923629193189</v>
      </c>
      <c r="N408" s="103">
        <f t="shared" si="642"/>
        <v>3.2162897233032175</v>
      </c>
      <c r="O408" s="103">
        <f>+O407/O399</f>
        <v>3.5109990703985572</v>
      </c>
      <c r="P408" s="103">
        <f>+P407/P399</f>
        <v>-9.785124674066803E-2</v>
      </c>
      <c r="Q408" s="103">
        <f>+Q407/Q399</f>
        <v>-0.24527823372292051</v>
      </c>
      <c r="R408" s="51"/>
      <c r="S408" s="103"/>
      <c r="T408" s="103"/>
      <c r="U408" s="103"/>
      <c r="V408" s="103">
        <f t="shared" ref="V408:AM408" si="643">+V407/V399</f>
        <v>42.306295187248054</v>
      </c>
      <c r="W408" s="103">
        <f t="shared" si="643"/>
        <v>0</v>
      </c>
      <c r="X408" s="103">
        <f t="shared" si="643"/>
        <v>0</v>
      </c>
      <c r="Y408" s="103">
        <f t="shared" si="643"/>
        <v>1.7927732021678797</v>
      </c>
      <c r="Z408" s="103">
        <f t="shared" si="643"/>
        <v>1.7872719051987027</v>
      </c>
      <c r="AA408" s="103">
        <f t="shared" si="643"/>
        <v>2.216183712465901</v>
      </c>
      <c r="AB408" s="103">
        <f t="shared" si="643"/>
        <v>-1.0084539676342289E-3</v>
      </c>
      <c r="AC408" s="103">
        <f t="shared" si="643"/>
        <v>1.3825380682055</v>
      </c>
      <c r="AD408" s="103">
        <f t="shared" si="643"/>
        <v>1.1667748960537692</v>
      </c>
      <c r="AE408" s="103">
        <f t="shared" si="643"/>
        <v>2.3527616985801449</v>
      </c>
      <c r="AF408" s="103">
        <f t="shared" si="643"/>
        <v>0.3303510255447234</v>
      </c>
      <c r="AG408" s="103">
        <f t="shared" si="643"/>
        <v>0.96033977755988076</v>
      </c>
      <c r="AH408" s="103">
        <f t="shared" si="643"/>
        <v>0.37584876446308418</v>
      </c>
      <c r="AI408" s="103">
        <f t="shared" si="643"/>
        <v>0.29284568340916456</v>
      </c>
      <c r="AJ408" s="103">
        <f t="shared" si="643"/>
        <v>0.15415272231671923</v>
      </c>
      <c r="AK408" s="103">
        <f t="shared" si="643"/>
        <v>0.46279508426336496</v>
      </c>
      <c r="AL408" s="103">
        <f t="shared" si="643"/>
        <v>0.70346956377322278</v>
      </c>
      <c r="AM408" s="103">
        <f t="shared" si="643"/>
        <v>0.18399487616869289</v>
      </c>
      <c r="AN408" s="103">
        <f t="shared" ref="AN408:AS408" si="644">+AN407/AN399</f>
        <v>-1.159558532030896E-2</v>
      </c>
      <c r="AO408" s="103">
        <f t="shared" si="644"/>
        <v>3.7353133361274664</v>
      </c>
      <c r="AP408" s="103">
        <f t="shared" si="644"/>
        <v>2.7397428090881357</v>
      </c>
      <c r="AQ408" s="103">
        <f t="shared" si="644"/>
        <v>-0.50344916450502808</v>
      </c>
      <c r="AR408" s="103">
        <f t="shared" si="644"/>
        <v>-0.6026429762031511</v>
      </c>
      <c r="AS408" s="103">
        <f t="shared" si="644"/>
        <v>-76.59285050787031</v>
      </c>
      <c r="AT408" s="103">
        <f t="shared" ref="AT408:BB408" si="645">+AT407/AT399</f>
        <v>-7.0299001355680044</v>
      </c>
      <c r="AU408" s="103">
        <f t="shared" si="645"/>
        <v>4.0299061214838439</v>
      </c>
      <c r="AV408" s="103">
        <f t="shared" si="645"/>
        <v>2.625350507289824</v>
      </c>
      <c r="AW408" s="103">
        <f t="shared" si="645"/>
        <v>3.7536736843778904</v>
      </c>
      <c r="AX408" s="103">
        <f t="shared" si="645"/>
        <v>2.8350560064349071</v>
      </c>
      <c r="AY408" s="103">
        <f t="shared" si="645"/>
        <v>1.6443266938589851</v>
      </c>
      <c r="AZ408" s="103">
        <f t="shared" si="645"/>
        <v>14.238977386510456</v>
      </c>
      <c r="BA408" s="103">
        <f t="shared" si="645"/>
        <v>0.57813514206256078</v>
      </c>
      <c r="BB408" s="103">
        <f t="shared" si="645"/>
        <v>9.1415714537823697E-2</v>
      </c>
      <c r="BC408" s="103">
        <f t="shared" ref="BC408:BJ408" si="646">+BC407/BC399</f>
        <v>-9.8626426463276073E-2</v>
      </c>
      <c r="BD408" s="103">
        <f t="shared" si="646"/>
        <v>-8.8158476554873133E-2</v>
      </c>
      <c r="BE408" s="103">
        <f t="shared" si="646"/>
        <v>-8.4518662464241598E-2</v>
      </c>
      <c r="BF408" s="103">
        <f t="shared" si="646"/>
        <v>-0.12172970453020598</v>
      </c>
      <c r="BG408" s="103">
        <f t="shared" si="646"/>
        <v>-0.13543093355167146</v>
      </c>
      <c r="BH408" s="103">
        <f t="shared" si="646"/>
        <v>-0.25363554004846128</v>
      </c>
      <c r="BI408" s="103">
        <f t="shared" si="646"/>
        <v>-0.27526403250056658</v>
      </c>
      <c r="BJ408" s="103">
        <f t="shared" si="646"/>
        <v>-0.31424642308743639</v>
      </c>
      <c r="BK408" s="1"/>
      <c r="BL408" s="1"/>
      <c r="BM408" s="23">
        <f t="shared" si="619"/>
        <v>402</v>
      </c>
    </row>
    <row r="409" spans="1:65" ht="12.75" hidden="1" customHeight="1" outlineLevel="2">
      <c r="A409" s="118"/>
      <c r="B409" s="55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5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23">
        <f t="shared" si="619"/>
        <v>403</v>
      </c>
    </row>
    <row r="410" spans="1:65" ht="12.75" customHeight="1" outlineLevel="1" collapsed="1">
      <c r="A410" s="118" t="s">
        <v>29</v>
      </c>
      <c r="B410" s="39" t="s">
        <v>116</v>
      </c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5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2"/>
      <c r="BM410" s="23">
        <f t="shared" si="619"/>
        <v>404</v>
      </c>
    </row>
    <row r="411" spans="1:65" ht="12.75" hidden="1" customHeight="1" outlineLevel="2">
      <c r="A411" s="118"/>
      <c r="B411" s="1" t="s">
        <v>133</v>
      </c>
      <c r="C411" s="1"/>
      <c r="D411" s="1"/>
      <c r="E411" s="1"/>
      <c r="F411" s="11">
        <v>0.35</v>
      </c>
      <c r="G411" s="11">
        <v>0.35</v>
      </c>
      <c r="H411" s="11">
        <v>0.35</v>
      </c>
      <c r="I411" s="11">
        <v>0.35</v>
      </c>
      <c r="J411" s="11">
        <v>0.35</v>
      </c>
      <c r="K411" s="11">
        <v>0.35</v>
      </c>
      <c r="L411" s="11">
        <v>0.35</v>
      </c>
      <c r="M411" s="11">
        <v>0.35</v>
      </c>
      <c r="N411" s="11">
        <v>0.35</v>
      </c>
      <c r="O411" s="11">
        <v>0.24</v>
      </c>
      <c r="P411" s="11">
        <v>0.24</v>
      </c>
      <c r="Q411" s="11">
        <v>0.24</v>
      </c>
      <c r="R411" s="51"/>
      <c r="S411" s="11">
        <v>0.35</v>
      </c>
      <c r="T411" s="50">
        <f t="shared" ref="T411:Y411" si="647">S411</f>
        <v>0.35</v>
      </c>
      <c r="U411" s="50">
        <f t="shared" si="647"/>
        <v>0.35</v>
      </c>
      <c r="V411" s="50">
        <f t="shared" si="647"/>
        <v>0.35</v>
      </c>
      <c r="W411" s="50">
        <f t="shared" si="647"/>
        <v>0.35</v>
      </c>
      <c r="X411" s="50">
        <f t="shared" si="647"/>
        <v>0.35</v>
      </c>
      <c r="Y411" s="50">
        <f t="shared" si="647"/>
        <v>0.35</v>
      </c>
      <c r="Z411" s="50">
        <f t="shared" ref="Z411:AE411" si="648">Y411</f>
        <v>0.35</v>
      </c>
      <c r="AA411" s="50">
        <f t="shared" si="648"/>
        <v>0.35</v>
      </c>
      <c r="AB411" s="50">
        <f t="shared" si="648"/>
        <v>0.35</v>
      </c>
      <c r="AC411" s="50">
        <f t="shared" si="648"/>
        <v>0.35</v>
      </c>
      <c r="AD411" s="50">
        <f t="shared" si="648"/>
        <v>0.35</v>
      </c>
      <c r="AE411" s="50">
        <f t="shared" si="648"/>
        <v>0.35</v>
      </c>
      <c r="AF411" s="50">
        <f t="shared" ref="AF411:AX411" si="649">AE411</f>
        <v>0.35</v>
      </c>
      <c r="AG411" s="50">
        <f t="shared" si="649"/>
        <v>0.35</v>
      </c>
      <c r="AH411" s="50">
        <f t="shared" si="649"/>
        <v>0.35</v>
      </c>
      <c r="AI411" s="50">
        <f t="shared" si="649"/>
        <v>0.35</v>
      </c>
      <c r="AJ411" s="50">
        <f>AI411</f>
        <v>0.35</v>
      </c>
      <c r="AK411" s="50">
        <f>AJ411</f>
        <v>0.35</v>
      </c>
      <c r="AL411" s="50">
        <f t="shared" si="649"/>
        <v>0.35</v>
      </c>
      <c r="AM411" s="50">
        <f t="shared" si="649"/>
        <v>0.35</v>
      </c>
      <c r="AN411" s="50">
        <f t="shared" si="649"/>
        <v>0.35</v>
      </c>
      <c r="AO411" s="50">
        <f t="shared" si="649"/>
        <v>0.35</v>
      </c>
      <c r="AP411" s="50">
        <f t="shared" si="649"/>
        <v>0.35</v>
      </c>
      <c r="AQ411" s="50">
        <f t="shared" si="649"/>
        <v>0.35</v>
      </c>
      <c r="AR411" s="50">
        <f t="shared" si="649"/>
        <v>0.35</v>
      </c>
      <c r="AS411" s="50">
        <f t="shared" si="649"/>
        <v>0.35</v>
      </c>
      <c r="AT411" s="50">
        <f t="shared" si="649"/>
        <v>0.35</v>
      </c>
      <c r="AU411" s="50">
        <f t="shared" si="649"/>
        <v>0.35</v>
      </c>
      <c r="AV411" s="50">
        <f t="shared" si="649"/>
        <v>0.35</v>
      </c>
      <c r="AW411" s="50">
        <f t="shared" si="649"/>
        <v>0.35</v>
      </c>
      <c r="AX411" s="50">
        <f t="shared" si="649"/>
        <v>0.35</v>
      </c>
      <c r="AY411" s="50">
        <v>0.24</v>
      </c>
      <c r="AZ411" s="50">
        <f>AY411</f>
        <v>0.24</v>
      </c>
      <c r="BA411" s="50">
        <f>AZ411</f>
        <v>0.24</v>
      </c>
      <c r="BB411" s="50">
        <f>BA411</f>
        <v>0.24</v>
      </c>
      <c r="BC411" s="50">
        <f t="shared" ref="BC411:BJ411" si="650">BB411</f>
        <v>0.24</v>
      </c>
      <c r="BD411" s="50">
        <f t="shared" si="650"/>
        <v>0.24</v>
      </c>
      <c r="BE411" s="50">
        <f t="shared" si="650"/>
        <v>0.24</v>
      </c>
      <c r="BF411" s="50">
        <f t="shared" si="650"/>
        <v>0.24</v>
      </c>
      <c r="BG411" s="50">
        <f t="shared" si="650"/>
        <v>0.24</v>
      </c>
      <c r="BH411" s="50">
        <f t="shared" si="650"/>
        <v>0.24</v>
      </c>
      <c r="BI411" s="50">
        <f t="shared" si="650"/>
        <v>0.24</v>
      </c>
      <c r="BJ411" s="50">
        <f t="shared" si="650"/>
        <v>0.24</v>
      </c>
      <c r="BK411" s="1"/>
      <c r="BL411" s="12"/>
      <c r="BM411" s="23">
        <f t="shared" si="619"/>
        <v>405</v>
      </c>
    </row>
    <row r="412" spans="1:65" ht="12.75" hidden="1" customHeight="1" outlineLevel="2">
      <c r="A412" s="118"/>
      <c r="B412" s="1" t="s">
        <v>134</v>
      </c>
      <c r="C412" s="1"/>
      <c r="D412" s="1"/>
      <c r="E412" s="1"/>
      <c r="F412" s="1"/>
      <c r="G412" s="1">
        <v>0</v>
      </c>
      <c r="H412" s="1">
        <v>0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51"/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0</v>
      </c>
      <c r="AL412" s="1">
        <v>0</v>
      </c>
      <c r="AM412" s="1">
        <v>0</v>
      </c>
      <c r="AN412" s="1">
        <v>0</v>
      </c>
      <c r="AO412" s="1">
        <v>0</v>
      </c>
      <c r="AP412" s="1">
        <v>0</v>
      </c>
      <c r="AQ412" s="1">
        <v>0</v>
      </c>
      <c r="AR412" s="1">
        <v>0</v>
      </c>
      <c r="AS412" s="1">
        <v>0</v>
      </c>
      <c r="AT412" s="1">
        <v>0</v>
      </c>
      <c r="AU412" s="1">
        <v>0</v>
      </c>
      <c r="AV412" s="1">
        <v>0</v>
      </c>
      <c r="AW412" s="1">
        <v>0</v>
      </c>
      <c r="AX412" s="1">
        <v>0</v>
      </c>
      <c r="AY412" s="1">
        <v>0</v>
      </c>
      <c r="AZ412" s="1">
        <v>0</v>
      </c>
      <c r="BA412" s="1">
        <v>0</v>
      </c>
      <c r="BB412" s="1">
        <v>0</v>
      </c>
      <c r="BC412" s="1">
        <v>0</v>
      </c>
      <c r="BD412" s="1">
        <v>0</v>
      </c>
      <c r="BE412" s="1">
        <v>0</v>
      </c>
      <c r="BF412" s="1">
        <v>0</v>
      </c>
      <c r="BG412" s="1">
        <v>0</v>
      </c>
      <c r="BH412" s="1">
        <v>0</v>
      </c>
      <c r="BI412" s="1">
        <v>0</v>
      </c>
      <c r="BJ412" s="1">
        <v>0</v>
      </c>
      <c r="BK412" s="1"/>
      <c r="BL412" s="12"/>
      <c r="BM412" s="23">
        <f t="shared" si="619"/>
        <v>406</v>
      </c>
    </row>
    <row r="413" spans="1:65" ht="12.75" hidden="1" customHeight="1" outlineLevel="2">
      <c r="A413" s="118"/>
      <c r="B413" s="1" t="s">
        <v>124</v>
      </c>
      <c r="C413" s="1"/>
      <c r="D413" s="1"/>
      <c r="E413" s="1"/>
      <c r="F413" s="12">
        <f>(F20-F14)</f>
        <v>-130.68899999999999</v>
      </c>
      <c r="G413" s="12">
        <f t="shared" ref="G413:Q413" si="651">-G189</f>
        <v>-157.99399999999997</v>
      </c>
      <c r="H413" s="12">
        <f t="shared" si="651"/>
        <v>-181.19641599999997</v>
      </c>
      <c r="I413" s="12">
        <f t="shared" si="651"/>
        <v>-256.51230000000004</v>
      </c>
      <c r="J413" s="12">
        <f t="shared" si="651"/>
        <v>-348.52599999999995</v>
      </c>
      <c r="K413" s="12">
        <f t="shared" si="651"/>
        <v>-566.58299999999997</v>
      </c>
      <c r="L413" s="12">
        <f t="shared" si="651"/>
        <v>-495.06600000000003</v>
      </c>
      <c r="M413" s="12">
        <f t="shared" si="651"/>
        <v>-477.29499999999996</v>
      </c>
      <c r="N413" s="12">
        <f t="shared" si="651"/>
        <v>-862.01499999999987</v>
      </c>
      <c r="O413" s="12">
        <f t="shared" si="651"/>
        <v>-1277.7319499999999</v>
      </c>
      <c r="P413" s="12">
        <f t="shared" si="651"/>
        <v>-1571.5161232500002</v>
      </c>
      <c r="Q413" s="12">
        <f t="shared" si="651"/>
        <v>-1639.2608640600006</v>
      </c>
      <c r="R413" s="51"/>
      <c r="S413" s="12">
        <f>(S20-S14)</f>
        <v>-36.760999999999996</v>
      </c>
      <c r="T413" s="12">
        <f>(T20-T14)</f>
        <v>-39.639000000000003</v>
      </c>
      <c r="U413" s="12">
        <f>(U20-U14)</f>
        <v>-40.167999999999999</v>
      </c>
      <c r="V413" s="12">
        <f>(V20-V14)</f>
        <v>-39.23599999999999</v>
      </c>
      <c r="W413" s="12">
        <f t="shared" ref="W413:BJ413" si="652">-W189</f>
        <v>-43.274999999999999</v>
      </c>
      <c r="X413" s="12">
        <f t="shared" si="652"/>
        <v>-42.629000000000012</v>
      </c>
      <c r="Y413" s="12">
        <f t="shared" si="652"/>
        <v>-45.240999999999985</v>
      </c>
      <c r="Z413" s="12">
        <f t="shared" si="652"/>
        <v>-50.051415999999996</v>
      </c>
      <c r="AA413" s="12">
        <f t="shared" si="652"/>
        <v>-56.921000000000014</v>
      </c>
      <c r="AB413" s="12">
        <f t="shared" si="652"/>
        <v>-58.92</v>
      </c>
      <c r="AC413" s="12">
        <f t="shared" si="652"/>
        <v>-69.705999999999989</v>
      </c>
      <c r="AD413" s="12">
        <f t="shared" si="652"/>
        <v>-70.965300000000013</v>
      </c>
      <c r="AE413" s="12">
        <f t="shared" si="652"/>
        <v>-74.400999999999996</v>
      </c>
      <c r="AF413" s="12">
        <f t="shared" si="652"/>
        <v>-80.269000000000005</v>
      </c>
      <c r="AG413" s="12">
        <f t="shared" si="652"/>
        <v>-90.981000000000009</v>
      </c>
      <c r="AH413" s="12">
        <f t="shared" si="652"/>
        <v>-102.875</v>
      </c>
      <c r="AI413" s="12">
        <f t="shared" si="652"/>
        <v>-126.77000000000001</v>
      </c>
      <c r="AJ413" s="12">
        <f t="shared" si="652"/>
        <v>-132.41699999999997</v>
      </c>
      <c r="AK413" s="12">
        <f t="shared" si="652"/>
        <v>-149.69700000000003</v>
      </c>
      <c r="AL413" s="12">
        <f t="shared" si="652"/>
        <v>-157.69900000000001</v>
      </c>
      <c r="AM413" s="12">
        <f t="shared" si="652"/>
        <v>-138.65299999999996</v>
      </c>
      <c r="AN413" s="12">
        <f t="shared" si="652"/>
        <v>-117.2</v>
      </c>
      <c r="AO413" s="12">
        <f t="shared" si="652"/>
        <v>-122.59899999999999</v>
      </c>
      <c r="AP413" s="12">
        <f t="shared" si="652"/>
        <v>-116.61399999999999</v>
      </c>
      <c r="AQ413" s="12">
        <f t="shared" si="652"/>
        <v>-106.75099999999999</v>
      </c>
      <c r="AR413" s="12">
        <f t="shared" si="652"/>
        <v>-102.70699999999999</v>
      </c>
      <c r="AS413" s="12">
        <f t="shared" si="652"/>
        <v>-119.42599999999999</v>
      </c>
      <c r="AT413" s="12">
        <f t="shared" si="652"/>
        <v>-148.411</v>
      </c>
      <c r="AU413" s="12">
        <f t="shared" si="652"/>
        <v>-187.47499999999999</v>
      </c>
      <c r="AV413" s="12">
        <f t="shared" si="652"/>
        <v>-197.41100000000006</v>
      </c>
      <c r="AW413" s="12">
        <f t="shared" si="652"/>
        <v>-227.92300000000003</v>
      </c>
      <c r="AX413" s="12">
        <f t="shared" si="652"/>
        <v>-249.20599999999996</v>
      </c>
      <c r="AY413" s="12">
        <f t="shared" si="652"/>
        <v>-265.14366000000001</v>
      </c>
      <c r="AZ413" s="12">
        <f t="shared" si="652"/>
        <v>-279.30844999999999</v>
      </c>
      <c r="BA413" s="12">
        <f t="shared" si="652"/>
        <v>-358.31427999999994</v>
      </c>
      <c r="BB413" s="12">
        <f t="shared" si="652"/>
        <v>-374.96556000000004</v>
      </c>
      <c r="BC413" s="12">
        <f t="shared" si="652"/>
        <v>-383.4246548000001</v>
      </c>
      <c r="BD413" s="12">
        <f t="shared" si="652"/>
        <v>-389.66192574999997</v>
      </c>
      <c r="BE413" s="12">
        <f t="shared" si="652"/>
        <v>-397.16076839999999</v>
      </c>
      <c r="BF413" s="12">
        <f t="shared" si="652"/>
        <v>-401.26877430000002</v>
      </c>
      <c r="BG413" s="12">
        <f t="shared" si="652"/>
        <v>-406.22166569399997</v>
      </c>
      <c r="BH413" s="12">
        <f t="shared" si="652"/>
        <v>-409.85960188500007</v>
      </c>
      <c r="BI413" s="12">
        <f t="shared" si="652"/>
        <v>-412.17990145200002</v>
      </c>
      <c r="BJ413" s="12">
        <f t="shared" si="652"/>
        <v>-410.99969502900001</v>
      </c>
      <c r="BK413" s="1"/>
      <c r="BL413" s="12"/>
      <c r="BM413" s="23">
        <f t="shared" si="619"/>
        <v>407</v>
      </c>
    </row>
    <row r="414" spans="1:65" ht="12.75" hidden="1" customHeight="1" outlineLevel="2">
      <c r="A414" s="118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5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2"/>
      <c r="BM414" s="23">
        <f t="shared" si="619"/>
        <v>408</v>
      </c>
    </row>
    <row r="415" spans="1:65" ht="12.75" customHeight="1" outlineLevel="1" collapsed="1">
      <c r="A415" s="118" t="s">
        <v>29</v>
      </c>
      <c r="B415" s="19" t="s">
        <v>135</v>
      </c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5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2"/>
      <c r="BM415" s="23">
        <f t="shared" si="619"/>
        <v>409</v>
      </c>
    </row>
    <row r="416" spans="1:65" ht="12.75" hidden="1" customHeight="1" outlineLevel="2">
      <c r="A416" s="118"/>
      <c r="B416" s="16" t="s">
        <v>2</v>
      </c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5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2"/>
      <c r="BM416" s="23">
        <f t="shared" si="619"/>
        <v>410</v>
      </c>
    </row>
    <row r="417" spans="1:65" ht="12.75" hidden="1" customHeight="1" outlineLevel="2">
      <c r="A417" s="118"/>
      <c r="B417" s="54" t="s">
        <v>136</v>
      </c>
      <c r="C417" s="1"/>
      <c r="D417" s="1"/>
      <c r="E417" s="1"/>
      <c r="F417" s="1"/>
      <c r="G417" s="191">
        <f>F284</f>
        <v>0</v>
      </c>
      <c r="H417" s="191">
        <f>G284</f>
        <v>97.564000000000007</v>
      </c>
      <c r="I417" s="191">
        <f t="shared" ref="I417" si="653">H423</f>
        <v>121.93400000000003</v>
      </c>
      <c r="J417" s="191">
        <f t="shared" ref="J417:P417" si="654">I284</f>
        <v>231.69399999999999</v>
      </c>
      <c r="K417" s="191">
        <f t="shared" si="654"/>
        <v>309.29400000000004</v>
      </c>
      <c r="L417" s="191">
        <f t="shared" si="654"/>
        <v>403.81600000000003</v>
      </c>
      <c r="M417" s="191">
        <f t="shared" si="654"/>
        <v>384.16699999999997</v>
      </c>
      <c r="N417" s="191">
        <f t="shared" si="654"/>
        <v>1273.29</v>
      </c>
      <c r="O417" s="191">
        <f t="shared" si="654"/>
        <v>1396.5060000000001</v>
      </c>
      <c r="P417" s="191">
        <f t="shared" si="654"/>
        <v>1636.3085980312383</v>
      </c>
      <c r="Q417" s="191">
        <f>P284</f>
        <v>1926.5528204754189</v>
      </c>
      <c r="R417" s="227"/>
      <c r="S417" s="179"/>
      <c r="T417" s="179"/>
      <c r="U417" s="191"/>
      <c r="V417" s="191"/>
      <c r="W417" s="191">
        <f t="shared" ref="W417:AX417" si="655">V284</f>
        <v>97.564000000000007</v>
      </c>
      <c r="X417" s="191">
        <f t="shared" si="655"/>
        <v>97.564000000000007</v>
      </c>
      <c r="Y417" s="191">
        <f t="shared" si="655"/>
        <v>97.564000000000007</v>
      </c>
      <c r="Z417" s="191">
        <f t="shared" si="655"/>
        <v>118.45199999999998</v>
      </c>
      <c r="AA417" s="191">
        <f t="shared" si="655"/>
        <v>121.93400000000001</v>
      </c>
      <c r="AB417" s="191">
        <f t="shared" si="655"/>
        <v>199.41200000000001</v>
      </c>
      <c r="AC417" s="191">
        <f t="shared" si="655"/>
        <v>219.262</v>
      </c>
      <c r="AD417" s="191">
        <f t="shared" si="655"/>
        <v>238.18799999999999</v>
      </c>
      <c r="AE417" s="191">
        <f t="shared" si="655"/>
        <v>231.69399999999999</v>
      </c>
      <c r="AF417" s="191">
        <f t="shared" si="655"/>
        <v>250.95500000000001</v>
      </c>
      <c r="AG417" s="191">
        <f t="shared" si="655"/>
        <v>267.036</v>
      </c>
      <c r="AH417" s="191">
        <f t="shared" si="655"/>
        <v>287.64599999999996</v>
      </c>
      <c r="AI417" s="191">
        <f t="shared" si="655"/>
        <v>309.29400000000004</v>
      </c>
      <c r="AJ417" s="191">
        <f t="shared" si="655"/>
        <v>326.64799999999997</v>
      </c>
      <c r="AK417" s="191">
        <f t="shared" si="655"/>
        <v>353.48399999999998</v>
      </c>
      <c r="AL417" s="191">
        <f t="shared" si="655"/>
        <v>391.14300000000003</v>
      </c>
      <c r="AM417" s="191">
        <f t="shared" si="655"/>
        <v>403.81600000000003</v>
      </c>
      <c r="AN417" s="191">
        <f t="shared" si="655"/>
        <v>398.04799999999994</v>
      </c>
      <c r="AO417" s="191">
        <f t="shared" si="655"/>
        <v>403.99899999999997</v>
      </c>
      <c r="AP417" s="191">
        <f t="shared" si="655"/>
        <v>397.66699999999997</v>
      </c>
      <c r="AQ417" s="191">
        <f t="shared" si="655"/>
        <v>384.16699999999997</v>
      </c>
      <c r="AR417" s="191">
        <f t="shared" si="655"/>
        <v>554.99300000000005</v>
      </c>
      <c r="AS417" s="191">
        <f t="shared" si="655"/>
        <v>541.346</v>
      </c>
      <c r="AT417" s="191">
        <f t="shared" si="655"/>
        <v>810.79499999999996</v>
      </c>
      <c r="AU417" s="191">
        <f t="shared" si="655"/>
        <v>1273.29</v>
      </c>
      <c r="AV417" s="191">
        <f t="shared" si="655"/>
        <v>1273.8959999999997</v>
      </c>
      <c r="AW417" s="191">
        <f t="shared" si="655"/>
        <v>1302.2079999999999</v>
      </c>
      <c r="AX417" s="191">
        <f t="shared" si="655"/>
        <v>1348.7950000000001</v>
      </c>
      <c r="AY417" s="191">
        <f>AX423</f>
        <v>1396.5060000000001</v>
      </c>
      <c r="AZ417" s="191">
        <f>AY423</f>
        <v>1425.8018929145001</v>
      </c>
      <c r="BA417" s="191">
        <f>AZ423</f>
        <v>1481.5907912829891</v>
      </c>
      <c r="BB417" s="191">
        <f>BA423</f>
        <v>1555.6406408662974</v>
      </c>
      <c r="BC417" s="191">
        <f t="shared" ref="BC417:BJ417" si="656">BB423</f>
        <v>1636.3085980312378</v>
      </c>
      <c r="BD417" s="191">
        <f t="shared" si="656"/>
        <v>1712.6894642335767</v>
      </c>
      <c r="BE417" s="191">
        <f t="shared" si="656"/>
        <v>1787.1654104901015</v>
      </c>
      <c r="BF417" s="191">
        <f t="shared" si="656"/>
        <v>1859.3997618829817</v>
      </c>
      <c r="BG417" s="191">
        <f t="shared" si="656"/>
        <v>1926.5528204754185</v>
      </c>
      <c r="BH417" s="191">
        <f t="shared" si="656"/>
        <v>1993.6813369493057</v>
      </c>
      <c r="BI417" s="191">
        <f t="shared" si="656"/>
        <v>2064.1332542422178</v>
      </c>
      <c r="BJ417" s="191">
        <f t="shared" si="656"/>
        <v>2134.9246143829932</v>
      </c>
      <c r="BK417" s="1"/>
      <c r="BL417" s="12"/>
      <c r="BM417" s="23">
        <f t="shared" si="619"/>
        <v>411</v>
      </c>
    </row>
    <row r="418" spans="1:65" ht="12.75" hidden="1" customHeight="1" outlineLevel="2">
      <c r="A418" s="118"/>
      <c r="B418" s="53" t="s">
        <v>137</v>
      </c>
      <c r="C418" s="1"/>
      <c r="D418" s="1"/>
      <c r="E418" s="1"/>
      <c r="F418" s="1"/>
      <c r="G418" s="191">
        <f>G32</f>
        <v>11.437000000000005</v>
      </c>
      <c r="H418" s="191">
        <f>H32</f>
        <v>28.346200000000017</v>
      </c>
      <c r="I418" s="191">
        <f>I32</f>
        <v>79.131699999999995</v>
      </c>
      <c r="J418" s="191">
        <f t="shared" ref="J418:P418" si="657">J32</f>
        <v>75.249999999999972</v>
      </c>
      <c r="K418" s="191">
        <f t="shared" si="657"/>
        <v>122.84000000000003</v>
      </c>
      <c r="L418" s="191">
        <f t="shared" si="657"/>
        <v>11.868000000000006</v>
      </c>
      <c r="M418" s="191">
        <f t="shared" si="657"/>
        <v>-40.932000000000009</v>
      </c>
      <c r="N418" s="191">
        <f t="shared" si="657"/>
        <v>145.20600000000005</v>
      </c>
      <c r="O418" s="191">
        <f t="shared" si="657"/>
        <v>234.06999278366123</v>
      </c>
      <c r="P418" s="191">
        <f t="shared" si="657"/>
        <v>284.48066544741209</v>
      </c>
      <c r="Q418" s="191">
        <f>Q32</f>
        <v>270.73651395483381</v>
      </c>
      <c r="R418" s="227"/>
      <c r="S418" s="179"/>
      <c r="T418" s="179"/>
      <c r="U418" s="191"/>
      <c r="V418" s="191"/>
      <c r="W418" s="191">
        <f t="shared" ref="W418:BJ418" si="658">W32</f>
        <v>3.5100000000000042</v>
      </c>
      <c r="X418" s="191">
        <f t="shared" si="658"/>
        <v>4.4492000000000029</v>
      </c>
      <c r="Y418" s="191">
        <f t="shared" si="658"/>
        <v>10.341999999999999</v>
      </c>
      <c r="Z418" s="191">
        <f t="shared" si="658"/>
        <v>10.045000000000002</v>
      </c>
      <c r="AA418" s="191">
        <f t="shared" si="658"/>
        <v>19.112999999999989</v>
      </c>
      <c r="AB418" s="191">
        <f t="shared" si="658"/>
        <v>19.451999999999988</v>
      </c>
      <c r="AC418" s="191">
        <f t="shared" si="658"/>
        <v>18.795999999999996</v>
      </c>
      <c r="AD418" s="191">
        <f t="shared" si="658"/>
        <v>21.770700000000005</v>
      </c>
      <c r="AE418" s="191">
        <f t="shared" si="658"/>
        <v>17.277000000000005</v>
      </c>
      <c r="AF418" s="191">
        <f t="shared" si="658"/>
        <v>20.192</v>
      </c>
      <c r="AG418" s="191">
        <f t="shared" si="658"/>
        <v>21.327999999999996</v>
      </c>
      <c r="AH418" s="191">
        <f t="shared" si="658"/>
        <v>16.453000000000003</v>
      </c>
      <c r="AI418" s="191">
        <f t="shared" si="658"/>
        <v>18.370999999999995</v>
      </c>
      <c r="AJ418" s="191">
        <f t="shared" si="658"/>
        <v>28.654000000000003</v>
      </c>
      <c r="AK418" s="191">
        <f t="shared" si="658"/>
        <v>42.576999999999998</v>
      </c>
      <c r="AL418" s="191">
        <f t="shared" si="658"/>
        <v>33.238</v>
      </c>
      <c r="AM418" s="191">
        <f t="shared" si="658"/>
        <v>14.822999999999993</v>
      </c>
      <c r="AN418" s="191">
        <f t="shared" si="658"/>
        <v>9.9529999999999959</v>
      </c>
      <c r="AO418" s="191">
        <f t="shared" si="658"/>
        <v>2.4120000000000004</v>
      </c>
      <c r="AP418" s="191">
        <f t="shared" si="658"/>
        <v>-15.32</v>
      </c>
      <c r="AQ418" s="191">
        <f t="shared" si="658"/>
        <v>-10.659999999999998</v>
      </c>
      <c r="AR418" s="191">
        <f t="shared" si="658"/>
        <v>-11.991000000000001</v>
      </c>
      <c r="AS418" s="191">
        <f t="shared" si="658"/>
        <v>-11.339000000000002</v>
      </c>
      <c r="AT418" s="191">
        <f t="shared" si="658"/>
        <v>-6.9419999999999957</v>
      </c>
      <c r="AU418" s="191">
        <f t="shared" si="658"/>
        <v>2.522000000000002</v>
      </c>
      <c r="AV418" s="191">
        <f t="shared" si="658"/>
        <v>29.458999999999982</v>
      </c>
      <c r="AW418" s="191">
        <f t="shared" si="658"/>
        <v>41.272999999999989</v>
      </c>
      <c r="AX418" s="191">
        <f t="shared" si="658"/>
        <v>71.951999999999998</v>
      </c>
      <c r="AY418" s="191">
        <f t="shared" si="658"/>
        <v>27.88595541450001</v>
      </c>
      <c r="AZ418" s="191">
        <f t="shared" si="658"/>
        <v>54.348009119296876</v>
      </c>
      <c r="BA418" s="191">
        <f t="shared" si="658"/>
        <v>72.608960334116077</v>
      </c>
      <c r="BB418" s="191">
        <f t="shared" si="658"/>
        <v>79.227067915748307</v>
      </c>
      <c r="BC418" s="191">
        <f t="shared" si="658"/>
        <v>74.93997695314674</v>
      </c>
      <c r="BD418" s="191">
        <f t="shared" si="658"/>
        <v>73.035057007332711</v>
      </c>
      <c r="BE418" s="191">
        <f t="shared" si="658"/>
        <v>70.793462143687947</v>
      </c>
      <c r="BF418" s="191">
        <f t="shared" si="658"/>
        <v>65.712169343244597</v>
      </c>
      <c r="BG418" s="191">
        <f t="shared" si="658"/>
        <v>65.687627224695049</v>
      </c>
      <c r="BH418" s="191">
        <f t="shared" si="658"/>
        <v>69.011028043720046</v>
      </c>
      <c r="BI418" s="191">
        <f t="shared" si="658"/>
        <v>69.350470891583583</v>
      </c>
      <c r="BJ418" s="191">
        <f t="shared" si="658"/>
        <v>66.68738779483499</v>
      </c>
      <c r="BK418" s="1"/>
      <c r="BL418" s="12"/>
      <c r="BM418" s="23">
        <f t="shared" si="619"/>
        <v>412</v>
      </c>
    </row>
    <row r="419" spans="1:65" ht="12.75" hidden="1" customHeight="1" outlineLevel="2">
      <c r="A419" s="118"/>
      <c r="B419" s="53" t="s">
        <v>138</v>
      </c>
      <c r="C419" s="1"/>
      <c r="D419" s="1"/>
      <c r="E419" s="1"/>
      <c r="F419" s="1"/>
      <c r="G419" s="191">
        <f>SUM(INDEX($S419:$AH419,G$5):INDEX($S419:$AH419,G$6))</f>
        <v>0</v>
      </c>
      <c r="H419" s="191">
        <f>SUM(INDEX($S419:$AH419,H$5):INDEX($S419:$AH419,H$6))</f>
        <v>0</v>
      </c>
      <c r="I419" s="191">
        <f>SUM(INDEX($S419:$AH419,I$5):INDEX($S419:$AH419,I$6))</f>
        <v>-26.460999999999999</v>
      </c>
      <c r="J419" s="215">
        <f t="shared" ref="J419:P419" si="659">J240</f>
        <v>-13.3</v>
      </c>
      <c r="K419" s="215">
        <f t="shared" si="659"/>
        <v>-26.871000000000002</v>
      </c>
      <c r="L419" s="215">
        <f t="shared" si="659"/>
        <v>-26.797000000000001</v>
      </c>
      <c r="M419" s="215">
        <f t="shared" si="659"/>
        <v>-15.125</v>
      </c>
      <c r="N419" s="215">
        <f t="shared" si="659"/>
        <v>-20.376999999999999</v>
      </c>
      <c r="O419" s="215">
        <f t="shared" si="659"/>
        <v>-20.387394752423194</v>
      </c>
      <c r="P419" s="215">
        <f t="shared" si="659"/>
        <v>-20.356443003230925</v>
      </c>
      <c r="Q419" s="215">
        <f>Q240</f>
        <v>-20.356443003230925</v>
      </c>
      <c r="R419" s="227"/>
      <c r="S419" s="179"/>
      <c r="T419" s="179"/>
      <c r="U419" s="215"/>
      <c r="V419" s="215"/>
      <c r="W419" s="215">
        <f t="shared" ref="W419:BJ419" si="660">W240</f>
        <v>0</v>
      </c>
      <c r="X419" s="215">
        <f t="shared" si="660"/>
        <v>0</v>
      </c>
      <c r="Y419" s="215">
        <f t="shared" si="660"/>
        <v>0</v>
      </c>
      <c r="Z419" s="215">
        <f t="shared" si="660"/>
        <v>0</v>
      </c>
      <c r="AA419" s="215">
        <f t="shared" si="660"/>
        <v>0</v>
      </c>
      <c r="AB419" s="215">
        <f t="shared" si="660"/>
        <v>0</v>
      </c>
      <c r="AC419" s="215">
        <f t="shared" si="660"/>
        <v>0</v>
      </c>
      <c r="AD419" s="215">
        <f t="shared" si="660"/>
        <v>-26.460999999999999</v>
      </c>
      <c r="AE419" s="215">
        <f t="shared" si="660"/>
        <v>0</v>
      </c>
      <c r="AF419" s="215">
        <f t="shared" si="660"/>
        <v>0</v>
      </c>
      <c r="AG419" s="215">
        <f t="shared" si="660"/>
        <v>-6.6340000000000003</v>
      </c>
      <c r="AH419" s="215">
        <f t="shared" si="660"/>
        <v>-6.6660000000000004</v>
      </c>
      <c r="AI419" s="215">
        <f t="shared" si="660"/>
        <v>-13.401999999999999</v>
      </c>
      <c r="AJ419" s="215">
        <f t="shared" si="660"/>
        <v>0</v>
      </c>
      <c r="AK419" s="215">
        <f t="shared" si="660"/>
        <v>-6.7300000000000022</v>
      </c>
      <c r="AL419" s="215">
        <f t="shared" si="660"/>
        <v>-6.738999999999999</v>
      </c>
      <c r="AM419" s="215">
        <f t="shared" si="660"/>
        <v>-6.758</v>
      </c>
      <c r="AN419" s="215">
        <f t="shared" si="660"/>
        <v>-6.6860000000000008</v>
      </c>
      <c r="AO419" s="215">
        <f t="shared" si="660"/>
        <v>-6.6730000000000009</v>
      </c>
      <c r="AP419" s="215">
        <f t="shared" si="660"/>
        <v>-6.6799999999999988</v>
      </c>
      <c r="AQ419" s="215">
        <f t="shared" si="660"/>
        <v>-3.3879999999999999</v>
      </c>
      <c r="AR419" s="215">
        <f t="shared" si="660"/>
        <v>-3.3440000000000003</v>
      </c>
      <c r="AS419" s="215">
        <f t="shared" si="660"/>
        <v>-3.9739999999999993</v>
      </c>
      <c r="AT419" s="215">
        <f t="shared" si="660"/>
        <v>-4.4189999999999996</v>
      </c>
      <c r="AU419" s="215">
        <f t="shared" si="660"/>
        <v>-5.0919999999999996</v>
      </c>
      <c r="AV419" s="215">
        <f t="shared" si="660"/>
        <v>-5.0949999999999998</v>
      </c>
      <c r="AW419" s="215">
        <f t="shared" si="660"/>
        <v>-5.0980000000000016</v>
      </c>
      <c r="AX419" s="215">
        <f t="shared" si="660"/>
        <v>-5.0919999999999979</v>
      </c>
      <c r="AY419" s="215">
        <f t="shared" si="660"/>
        <v>-5.1200625000000004</v>
      </c>
      <c r="AZ419" s="215">
        <f t="shared" si="660"/>
        <v>-5.0891107508077313</v>
      </c>
      <c r="BA419" s="215">
        <f t="shared" si="660"/>
        <v>-5.0891107508077313</v>
      </c>
      <c r="BB419" s="215">
        <f t="shared" si="660"/>
        <v>-5.0891107508077313</v>
      </c>
      <c r="BC419" s="215">
        <f t="shared" si="660"/>
        <v>-5.0891107508077313</v>
      </c>
      <c r="BD419" s="215">
        <f t="shared" si="660"/>
        <v>-5.0891107508077313</v>
      </c>
      <c r="BE419" s="215">
        <f t="shared" si="660"/>
        <v>-5.0891107508077313</v>
      </c>
      <c r="BF419" s="215">
        <f t="shared" si="660"/>
        <v>-5.0891107508077313</v>
      </c>
      <c r="BG419" s="215">
        <f t="shared" si="660"/>
        <v>-5.0891107508077313</v>
      </c>
      <c r="BH419" s="215">
        <f t="shared" si="660"/>
        <v>-5.0891107508077313</v>
      </c>
      <c r="BI419" s="215">
        <f t="shared" si="660"/>
        <v>-5.0891107508077313</v>
      </c>
      <c r="BJ419" s="215">
        <f t="shared" si="660"/>
        <v>-5.0891107508077313</v>
      </c>
      <c r="BK419" s="1"/>
      <c r="BL419" s="12"/>
      <c r="BM419" s="23">
        <f t="shared" si="619"/>
        <v>413</v>
      </c>
    </row>
    <row r="420" spans="1:65" ht="12.75" hidden="1" customHeight="1" outlineLevel="2">
      <c r="A420" s="118"/>
      <c r="B420" s="53" t="s">
        <v>139</v>
      </c>
      <c r="C420" s="1"/>
      <c r="D420" s="1"/>
      <c r="E420" s="1"/>
      <c r="F420" s="1"/>
      <c r="G420" s="191">
        <f>G279+G280-F279-F280</f>
        <v>103.01900000000001</v>
      </c>
      <c r="H420" s="191">
        <f>H279+H280-G279-G280</f>
        <v>1.2379999999999995</v>
      </c>
      <c r="I420" s="191">
        <f>I279+I280-H279-H280</f>
        <v>59.850999999999999</v>
      </c>
      <c r="J420" s="191">
        <f t="shared" ref="J420:P420" si="661">SUM(J279:J280,J282)-SUM(I279:I280,I282)</f>
        <v>11.224999999999994</v>
      </c>
      <c r="K420" s="191">
        <f t="shared" si="661"/>
        <v>15.75</v>
      </c>
      <c r="L420" s="191">
        <f t="shared" si="661"/>
        <v>-11.719000000000023</v>
      </c>
      <c r="M420" s="191">
        <f t="shared" si="661"/>
        <v>946.62899999999991</v>
      </c>
      <c r="N420" s="191">
        <f t="shared" si="661"/>
        <v>-3.5529999999998836</v>
      </c>
      <c r="O420" s="191">
        <f t="shared" si="661"/>
        <v>26.119999999999891</v>
      </c>
      <c r="P420" s="191">
        <f t="shared" si="661"/>
        <v>26.119999999999891</v>
      </c>
      <c r="Q420" s="191">
        <f>SUM(Q279:Q280,Q282)-SUM(P279:P280,P282)</f>
        <v>26.119999999999891</v>
      </c>
      <c r="R420" s="227"/>
      <c r="S420" s="179"/>
      <c r="T420" s="179"/>
      <c r="U420" s="191"/>
      <c r="V420" s="191"/>
      <c r="W420" s="191">
        <f t="shared" ref="W420:BJ420" si="662">SUM(W279:W280,W282)-SUM(V279:V280,V282)</f>
        <v>0</v>
      </c>
      <c r="X420" s="191">
        <f t="shared" si="662"/>
        <v>0</v>
      </c>
      <c r="Y420" s="191">
        <f t="shared" si="662"/>
        <v>0.68199999999998795</v>
      </c>
      <c r="Z420" s="191">
        <f t="shared" si="662"/>
        <v>0.5560000000000116</v>
      </c>
      <c r="AA420" s="191">
        <f t="shared" si="662"/>
        <v>58.371999999999986</v>
      </c>
      <c r="AB420" s="191">
        <f t="shared" si="662"/>
        <v>-1.4999999999986358E-2</v>
      </c>
      <c r="AC420" s="191">
        <f t="shared" si="662"/>
        <v>0.82599999999999341</v>
      </c>
      <c r="AD420" s="191">
        <f t="shared" si="662"/>
        <v>0.66800000000000637</v>
      </c>
      <c r="AE420" s="191">
        <f t="shared" si="662"/>
        <v>0.95599999999998886</v>
      </c>
      <c r="AF420" s="191">
        <f t="shared" si="662"/>
        <v>1.6610000000000014</v>
      </c>
      <c r="AG420" s="191">
        <f t="shared" si="662"/>
        <v>5.8319999999999936</v>
      </c>
      <c r="AH420" s="191">
        <f t="shared" si="662"/>
        <v>2.7760000000000105</v>
      </c>
      <c r="AI420" s="191">
        <f t="shared" si="662"/>
        <v>5.5430000000000064</v>
      </c>
      <c r="AJ420" s="191">
        <f t="shared" si="662"/>
        <v>4.8170000000000073</v>
      </c>
      <c r="AK420" s="191">
        <f t="shared" si="662"/>
        <v>2.9809999999999945</v>
      </c>
      <c r="AL420" s="191">
        <f t="shared" si="662"/>
        <v>2.4089999999999918</v>
      </c>
      <c r="AM420" s="191">
        <f t="shared" si="662"/>
        <v>-13.559000000000026</v>
      </c>
      <c r="AN420" s="191">
        <f t="shared" si="662"/>
        <v>-1.8799999999999955</v>
      </c>
      <c r="AO420" s="191">
        <f t="shared" si="662"/>
        <v>-1.671999999999997</v>
      </c>
      <c r="AP420" s="191">
        <f t="shared" si="662"/>
        <v>5.3919999999999959</v>
      </c>
      <c r="AQ420" s="191">
        <f t="shared" si="662"/>
        <v>187.28800000000007</v>
      </c>
      <c r="AR420" s="191">
        <f t="shared" si="662"/>
        <v>4.4859999999999332</v>
      </c>
      <c r="AS420" s="191">
        <f t="shared" si="662"/>
        <v>284.91299999999995</v>
      </c>
      <c r="AT420" s="191">
        <f t="shared" si="662"/>
        <v>469.94200000000001</v>
      </c>
      <c r="AU420" s="191">
        <f t="shared" si="662"/>
        <v>2.6499999999998636</v>
      </c>
      <c r="AV420" s="191">
        <f t="shared" si="662"/>
        <v>5.9230000000000018</v>
      </c>
      <c r="AW420" s="191">
        <f t="shared" si="662"/>
        <v>6.8000000000001819</v>
      </c>
      <c r="AX420" s="191">
        <f t="shared" si="662"/>
        <v>-18.925999999999931</v>
      </c>
      <c r="AY420" s="191">
        <f t="shared" si="662"/>
        <v>6.5299999999999727</v>
      </c>
      <c r="AZ420" s="191">
        <f t="shared" si="662"/>
        <v>6.5299999999999727</v>
      </c>
      <c r="BA420" s="191">
        <f t="shared" si="662"/>
        <v>6.5299999999999727</v>
      </c>
      <c r="BB420" s="191">
        <f t="shared" si="662"/>
        <v>6.5299999999999727</v>
      </c>
      <c r="BC420" s="191">
        <f t="shared" si="662"/>
        <v>6.5299999999999727</v>
      </c>
      <c r="BD420" s="191">
        <f t="shared" si="662"/>
        <v>6.5299999999999727</v>
      </c>
      <c r="BE420" s="191">
        <f t="shared" si="662"/>
        <v>6.5299999999999727</v>
      </c>
      <c r="BF420" s="191">
        <f t="shared" si="662"/>
        <v>6.5299999999999727</v>
      </c>
      <c r="BG420" s="191">
        <f t="shared" si="662"/>
        <v>6.5299999999999727</v>
      </c>
      <c r="BH420" s="191">
        <f t="shared" si="662"/>
        <v>6.5299999999999727</v>
      </c>
      <c r="BI420" s="191">
        <f t="shared" si="662"/>
        <v>6.5299999999999727</v>
      </c>
      <c r="BJ420" s="191">
        <f t="shared" si="662"/>
        <v>6.5299999999999727</v>
      </c>
      <c r="BK420" s="1"/>
      <c r="BL420" s="12"/>
      <c r="BM420" s="23">
        <f t="shared" si="619"/>
        <v>414</v>
      </c>
    </row>
    <row r="421" spans="1:65" ht="12.75" hidden="1" customHeight="1" outlineLevel="2">
      <c r="A421" s="118"/>
      <c r="B421" s="53" t="s">
        <v>140</v>
      </c>
      <c r="C421" s="1"/>
      <c r="D421" s="1"/>
      <c r="E421" s="1"/>
      <c r="F421" s="1"/>
      <c r="G421" s="191">
        <f>G283-F283</f>
        <v>-5.24</v>
      </c>
      <c r="H421" s="191">
        <f>H283-G283</f>
        <v>-7.1210000000000004</v>
      </c>
      <c r="I421" s="191">
        <f>I283-H283</f>
        <v>-2.7840000000000007</v>
      </c>
      <c r="J421" s="191">
        <f t="shared" ref="J421:P421" si="663">J283-I283</f>
        <v>11.128</v>
      </c>
      <c r="K421" s="191">
        <f t="shared" si="663"/>
        <v>-15.801000000000002</v>
      </c>
      <c r="L421" s="191">
        <f t="shared" si="663"/>
        <v>3.647000000000002</v>
      </c>
      <c r="M421" s="191">
        <f t="shared" si="663"/>
        <v>0.29499999999999993</v>
      </c>
      <c r="N421" s="191">
        <f t="shared" si="663"/>
        <v>1.9499999999999993</v>
      </c>
      <c r="O421" s="191">
        <f t="shared" si="663"/>
        <v>0</v>
      </c>
      <c r="P421" s="191">
        <f t="shared" si="663"/>
        <v>0</v>
      </c>
      <c r="Q421" s="191">
        <f>Q283-P283</f>
        <v>0</v>
      </c>
      <c r="R421" s="227"/>
      <c r="S421" s="179"/>
      <c r="T421" s="179"/>
      <c r="U421" s="191"/>
      <c r="V421" s="191"/>
      <c r="W421" s="191">
        <f t="shared" ref="W421:BJ421" si="664">W283-V283</f>
        <v>0</v>
      </c>
      <c r="X421" s="191">
        <f t="shared" si="664"/>
        <v>0</v>
      </c>
      <c r="Y421" s="191">
        <f t="shared" si="664"/>
        <v>-1.9999999999997797E-3</v>
      </c>
      <c r="Z421" s="191">
        <f t="shared" si="664"/>
        <v>-7.1190000000000007</v>
      </c>
      <c r="AA421" s="191">
        <f t="shared" si="664"/>
        <v>-6.9999999999996732E-3</v>
      </c>
      <c r="AB421" s="191">
        <f t="shared" si="664"/>
        <v>0.4139999999999997</v>
      </c>
      <c r="AC421" s="191">
        <f t="shared" si="664"/>
        <v>-0.69599999999999973</v>
      </c>
      <c r="AD421" s="191">
        <f t="shared" si="664"/>
        <v>-2.495000000000001</v>
      </c>
      <c r="AE421" s="191">
        <f t="shared" si="664"/>
        <v>1.0280000000000005</v>
      </c>
      <c r="AF421" s="191">
        <f t="shared" si="664"/>
        <v>0.8620000000000001</v>
      </c>
      <c r="AG421" s="191">
        <f t="shared" si="664"/>
        <v>0.125</v>
      </c>
      <c r="AH421" s="191">
        <f t="shared" si="664"/>
        <v>9.1129999999999995</v>
      </c>
      <c r="AI421" s="191">
        <f t="shared" si="664"/>
        <v>0.15900000000000025</v>
      </c>
      <c r="AJ421" s="191">
        <f t="shared" si="664"/>
        <v>0.10899999999999999</v>
      </c>
      <c r="AK421" s="191">
        <f t="shared" si="664"/>
        <v>0.15200000000000014</v>
      </c>
      <c r="AL421" s="191">
        <f t="shared" si="664"/>
        <v>-16.221</v>
      </c>
      <c r="AM421" s="191">
        <f t="shared" si="664"/>
        <v>-0.34099999999999753</v>
      </c>
      <c r="AN421" s="191">
        <f t="shared" si="664"/>
        <v>4.5799999999999983</v>
      </c>
      <c r="AO421" s="191">
        <f t="shared" si="664"/>
        <v>-0.38100000000000023</v>
      </c>
      <c r="AP421" s="191">
        <f t="shared" si="664"/>
        <v>-0.21099999999999852</v>
      </c>
      <c r="AQ421" s="191">
        <f t="shared" si="664"/>
        <v>-2.5280000000000022</v>
      </c>
      <c r="AR421" s="191">
        <f t="shared" si="664"/>
        <v>-2.0569999999999986</v>
      </c>
      <c r="AS421" s="191">
        <f t="shared" si="664"/>
        <v>0.28999999999999915</v>
      </c>
      <c r="AT421" s="191">
        <f t="shared" si="664"/>
        <v>4.5900000000000016</v>
      </c>
      <c r="AU421" s="191">
        <f t="shared" si="664"/>
        <v>0.52899999999999991</v>
      </c>
      <c r="AV421" s="191">
        <f t="shared" si="664"/>
        <v>-1.9700000000000006</v>
      </c>
      <c r="AW421" s="191">
        <f t="shared" si="664"/>
        <v>3.6140000000000008</v>
      </c>
      <c r="AX421" s="191">
        <f t="shared" si="664"/>
        <v>-0.22300000000000075</v>
      </c>
      <c r="AY421" s="191">
        <f t="shared" si="664"/>
        <v>0</v>
      </c>
      <c r="AZ421" s="191">
        <f t="shared" si="664"/>
        <v>0</v>
      </c>
      <c r="BA421" s="191">
        <f t="shared" si="664"/>
        <v>0</v>
      </c>
      <c r="BB421" s="191">
        <f t="shared" si="664"/>
        <v>0</v>
      </c>
      <c r="BC421" s="191">
        <f t="shared" si="664"/>
        <v>0</v>
      </c>
      <c r="BD421" s="191">
        <f t="shared" si="664"/>
        <v>0</v>
      </c>
      <c r="BE421" s="191">
        <f t="shared" si="664"/>
        <v>0</v>
      </c>
      <c r="BF421" s="191">
        <f t="shared" si="664"/>
        <v>0</v>
      </c>
      <c r="BG421" s="191">
        <f t="shared" si="664"/>
        <v>0</v>
      </c>
      <c r="BH421" s="191">
        <f t="shared" si="664"/>
        <v>0</v>
      </c>
      <c r="BI421" s="191">
        <f t="shared" si="664"/>
        <v>0</v>
      </c>
      <c r="BJ421" s="191">
        <f t="shared" si="664"/>
        <v>0</v>
      </c>
      <c r="BK421" s="1"/>
      <c r="BL421" s="12"/>
      <c r="BM421" s="23">
        <f t="shared" si="619"/>
        <v>415</v>
      </c>
    </row>
    <row r="422" spans="1:65" ht="12.75" hidden="1" customHeight="1" outlineLevel="2">
      <c r="A422" s="118"/>
      <c r="B422" s="54" t="s">
        <v>141</v>
      </c>
      <c r="C422" s="1"/>
      <c r="D422" s="1"/>
      <c r="E422" s="1"/>
      <c r="F422" s="1"/>
      <c r="G422" s="191">
        <f>G281-F281-G418-G419</f>
        <v>-11.652000000000005</v>
      </c>
      <c r="H422" s="191">
        <f>H281-G281-H418-H419</f>
        <v>1.9067999999999827</v>
      </c>
      <c r="I422" s="191">
        <f>I281-H281-I418-I419</f>
        <v>2.2300000000001319E-2</v>
      </c>
      <c r="J422" s="191">
        <f t="shared" ref="J422:P422" si="665">J281-I281-J418-J419</f>
        <v>-6.7029999999999568</v>
      </c>
      <c r="K422" s="191">
        <f t="shared" si="665"/>
        <v>-1.3960000000000505</v>
      </c>
      <c r="L422" s="191">
        <f t="shared" si="665"/>
        <v>3.3519999999999968</v>
      </c>
      <c r="M422" s="191">
        <f t="shared" si="665"/>
        <v>-1.7439999999999785</v>
      </c>
      <c r="N422" s="191">
        <f t="shared" si="665"/>
        <v>-1.0000000000029985E-2</v>
      </c>
      <c r="O422" s="191">
        <f t="shared" si="665"/>
        <v>7.460698725481052E-14</v>
      </c>
      <c r="P422" s="191">
        <f t="shared" si="665"/>
        <v>-2.9487523534044158E-13</v>
      </c>
      <c r="Q422" s="191">
        <f>Q281-P281-Q418-Q419</f>
        <v>-4.6540549192286562E-13</v>
      </c>
      <c r="R422" s="227"/>
      <c r="S422" s="179"/>
      <c r="T422" s="179"/>
      <c r="U422" s="191"/>
      <c r="V422" s="191"/>
      <c r="W422" s="191">
        <f t="shared" ref="W422:BJ422" si="666">W281-V281-W418-W419</f>
        <v>-3.5100000000000042</v>
      </c>
      <c r="X422" s="191">
        <f t="shared" si="666"/>
        <v>-4.4492000000000029</v>
      </c>
      <c r="Y422" s="191">
        <f t="shared" si="666"/>
        <v>9.8659999999999997</v>
      </c>
      <c r="Z422" s="191">
        <f t="shared" si="666"/>
        <v>0</v>
      </c>
      <c r="AA422" s="191">
        <f t="shared" si="666"/>
        <v>1.4210854715202004E-14</v>
      </c>
      <c r="AB422" s="191">
        <f t="shared" si="666"/>
        <v>-9.9999999998701128E-4</v>
      </c>
      <c r="AC422" s="191">
        <f t="shared" si="666"/>
        <v>-3.5527136788005009E-15</v>
      </c>
      <c r="AD422" s="191">
        <f t="shared" si="666"/>
        <v>2.3299999999991883E-2</v>
      </c>
      <c r="AE422" s="191">
        <f t="shared" si="666"/>
        <v>-3.5527136788005009E-15</v>
      </c>
      <c r="AF422" s="191">
        <f t="shared" si="666"/>
        <v>-6.6339999999999932</v>
      </c>
      <c r="AG422" s="191">
        <f t="shared" si="666"/>
        <v>-4.1000000000003922E-2</v>
      </c>
      <c r="AH422" s="191">
        <f t="shared" si="666"/>
        <v>-2.7999999999988034E-2</v>
      </c>
      <c r="AI422" s="191">
        <f t="shared" si="666"/>
        <v>6.6829999999999909</v>
      </c>
      <c r="AJ422" s="191">
        <f t="shared" si="666"/>
        <v>-6.7440000000000069</v>
      </c>
      <c r="AK422" s="191">
        <f t="shared" si="666"/>
        <v>-1.3209999999999855</v>
      </c>
      <c r="AL422" s="191">
        <f t="shared" si="666"/>
        <v>-1.4000000000015334E-2</v>
      </c>
      <c r="AM422" s="191">
        <f t="shared" si="666"/>
        <v>6.7000000000011717E-2</v>
      </c>
      <c r="AN422" s="191">
        <f t="shared" si="666"/>
        <v>-1.5999999999990244E-2</v>
      </c>
      <c r="AO422" s="191">
        <f t="shared" si="666"/>
        <v>-1.7999999999996241E-2</v>
      </c>
      <c r="AP422" s="191">
        <f t="shared" si="666"/>
        <v>3.3189999999999875</v>
      </c>
      <c r="AQ422" s="191">
        <f t="shared" si="666"/>
        <v>0.11400000000000077</v>
      </c>
      <c r="AR422" s="191">
        <f t="shared" si="666"/>
        <v>-0.74099999999999167</v>
      </c>
      <c r="AS422" s="191">
        <f t="shared" si="666"/>
        <v>-0.44099999999998918</v>
      </c>
      <c r="AT422" s="191">
        <f t="shared" si="666"/>
        <v>-0.67600000000001081</v>
      </c>
      <c r="AU422" s="191">
        <f t="shared" si="666"/>
        <v>-3.0000000000098836E-3</v>
      </c>
      <c r="AV422" s="191">
        <f t="shared" si="666"/>
        <v>-4.9999999999732481E-3</v>
      </c>
      <c r="AW422" s="191">
        <f t="shared" si="666"/>
        <v>-1.9999999999855689E-3</v>
      </c>
      <c r="AX422" s="191">
        <f t="shared" si="666"/>
        <v>1.3322676295501878E-14</v>
      </c>
      <c r="AY422" s="191">
        <f t="shared" si="666"/>
        <v>-9.7699626167013776E-15</v>
      </c>
      <c r="AZ422" s="191">
        <f t="shared" si="666"/>
        <v>1.1546319456101628E-14</v>
      </c>
      <c r="BA422" s="191">
        <f t="shared" si="666"/>
        <v>2.5757174171303632E-14</v>
      </c>
      <c r="BB422" s="191">
        <f t="shared" si="666"/>
        <v>1.1546319456101628E-14</v>
      </c>
      <c r="BC422" s="191">
        <f t="shared" si="666"/>
        <v>-8.7929663550312398E-14</v>
      </c>
      <c r="BD422" s="191">
        <f t="shared" si="666"/>
        <v>-1.6875389974302379E-14</v>
      </c>
      <c r="BE422" s="191">
        <f t="shared" si="666"/>
        <v>-1.6875389974302379E-14</v>
      </c>
      <c r="BF422" s="191">
        <f t="shared" si="666"/>
        <v>-7.3718808835110394E-14</v>
      </c>
      <c r="BG422" s="191">
        <f t="shared" si="666"/>
        <v>-8.7929663550312398E-14</v>
      </c>
      <c r="BH422" s="191">
        <f t="shared" si="666"/>
        <v>-1.021405182655144E-13</v>
      </c>
      <c r="BI422" s="191">
        <f t="shared" si="666"/>
        <v>-8.7929663550312398E-14</v>
      </c>
      <c r="BJ422" s="191">
        <f t="shared" si="666"/>
        <v>-4.5297099404706387E-14</v>
      </c>
      <c r="BK422" s="1"/>
      <c r="BL422" s="12"/>
      <c r="BM422" s="23">
        <f t="shared" si="619"/>
        <v>416</v>
      </c>
    </row>
    <row r="423" spans="1:65" ht="12.75" hidden="1" customHeight="1" outlineLevel="2">
      <c r="A423" s="118"/>
      <c r="B423" s="55" t="s">
        <v>142</v>
      </c>
      <c r="C423" s="1"/>
      <c r="D423" s="1"/>
      <c r="E423" s="1"/>
      <c r="F423" s="1"/>
      <c r="G423" s="216">
        <f t="shared" ref="G423:I423" si="667">SUM(G417:G422)</f>
        <v>97.564000000000021</v>
      </c>
      <c r="H423" s="216">
        <f t="shared" si="667"/>
        <v>121.93400000000003</v>
      </c>
      <c r="I423" s="216">
        <f t="shared" si="667"/>
        <v>231.69400000000005</v>
      </c>
      <c r="J423" s="216">
        <f t="shared" ref="J423:P423" si="668">SUM(J417:J422)</f>
        <v>309.29399999999993</v>
      </c>
      <c r="K423" s="216">
        <f t="shared" si="668"/>
        <v>403.81600000000003</v>
      </c>
      <c r="L423" s="216">
        <f t="shared" si="668"/>
        <v>384.16699999999997</v>
      </c>
      <c r="M423" s="216">
        <f t="shared" si="668"/>
        <v>1273.29</v>
      </c>
      <c r="N423" s="216">
        <f t="shared" si="668"/>
        <v>1396.5060000000003</v>
      </c>
      <c r="O423" s="216">
        <f t="shared" si="668"/>
        <v>1636.308598031238</v>
      </c>
      <c r="P423" s="216">
        <f t="shared" si="668"/>
        <v>1926.5528204754191</v>
      </c>
      <c r="Q423" s="216">
        <f t="shared" ref="Q423" si="669">SUM(Q417:Q422)</f>
        <v>2203.0528914270212</v>
      </c>
      <c r="R423" s="227"/>
      <c r="S423" s="179"/>
      <c r="T423" s="179"/>
      <c r="U423" s="216"/>
      <c r="V423" s="216"/>
      <c r="W423" s="216">
        <f t="shared" ref="W423:AI423" si="670">SUM(W417:W422)</f>
        <v>97.564000000000007</v>
      </c>
      <c r="X423" s="216">
        <f t="shared" si="670"/>
        <v>97.564000000000007</v>
      </c>
      <c r="Y423" s="216">
        <f t="shared" si="670"/>
        <v>118.452</v>
      </c>
      <c r="Z423" s="216">
        <f t="shared" si="670"/>
        <v>121.934</v>
      </c>
      <c r="AA423" s="216">
        <f t="shared" si="670"/>
        <v>199.41199999999998</v>
      </c>
      <c r="AB423" s="216">
        <f t="shared" si="670"/>
        <v>219.26200000000003</v>
      </c>
      <c r="AC423" s="216">
        <f t="shared" si="670"/>
        <v>238.18799999999999</v>
      </c>
      <c r="AD423" s="216">
        <f t="shared" si="670"/>
        <v>231.69400000000002</v>
      </c>
      <c r="AE423" s="216">
        <f t="shared" si="670"/>
        <v>250.95499999999998</v>
      </c>
      <c r="AF423" s="216">
        <f t="shared" si="670"/>
        <v>267.036</v>
      </c>
      <c r="AG423" s="216">
        <f t="shared" si="670"/>
        <v>287.64599999999996</v>
      </c>
      <c r="AH423" s="216">
        <f t="shared" si="670"/>
        <v>309.29399999999998</v>
      </c>
      <c r="AI423" s="216">
        <f t="shared" si="670"/>
        <v>326.64800000000002</v>
      </c>
      <c r="AJ423" s="216">
        <f>SUM(AJ417:AJ422)</f>
        <v>353.48399999999992</v>
      </c>
      <c r="AK423" s="216">
        <f>SUM(AK417:AK422)</f>
        <v>391.14299999999997</v>
      </c>
      <c r="AL423" s="216">
        <f t="shared" ref="AL423:AQ423" si="671">SUM(AL417:AL422)</f>
        <v>403.81600000000003</v>
      </c>
      <c r="AM423" s="216">
        <f t="shared" si="671"/>
        <v>398.048</v>
      </c>
      <c r="AN423" s="216">
        <f t="shared" si="671"/>
        <v>403.99899999999997</v>
      </c>
      <c r="AO423" s="216">
        <f t="shared" si="671"/>
        <v>397.66699999999997</v>
      </c>
      <c r="AP423" s="216">
        <f t="shared" si="671"/>
        <v>384.16699999999992</v>
      </c>
      <c r="AQ423" s="216">
        <f t="shared" si="671"/>
        <v>554.99300000000005</v>
      </c>
      <c r="AR423" s="216">
        <f t="shared" ref="AR423:AW423" si="672">SUM(AR417:AR422)</f>
        <v>541.346</v>
      </c>
      <c r="AS423" s="216">
        <f t="shared" si="672"/>
        <v>810.79499999999985</v>
      </c>
      <c r="AT423" s="216">
        <f t="shared" si="672"/>
        <v>1273.29</v>
      </c>
      <c r="AU423" s="216">
        <f t="shared" si="672"/>
        <v>1273.8959999999997</v>
      </c>
      <c r="AV423" s="216">
        <f t="shared" si="672"/>
        <v>1302.2079999999999</v>
      </c>
      <c r="AW423" s="216">
        <f t="shared" si="672"/>
        <v>1348.7950000000001</v>
      </c>
      <c r="AX423" s="216">
        <f>SUM(AX417:AX422)</f>
        <v>1396.5060000000001</v>
      </c>
      <c r="AY423" s="216">
        <f>SUM(AY417:AY422)</f>
        <v>1425.8018929145001</v>
      </c>
      <c r="AZ423" s="216">
        <f>SUM(AZ417:AZ422)</f>
        <v>1481.5907912829891</v>
      </c>
      <c r="BA423" s="216">
        <f>SUM(BA417:BA422)</f>
        <v>1555.6406408662974</v>
      </c>
      <c r="BB423" s="216">
        <f>SUM(BB417:BB422)</f>
        <v>1636.3085980312378</v>
      </c>
      <c r="BC423" s="216">
        <f t="shared" ref="BC423:BJ423" si="673">SUM(BC417:BC422)</f>
        <v>1712.6894642335767</v>
      </c>
      <c r="BD423" s="216">
        <f t="shared" si="673"/>
        <v>1787.1654104901015</v>
      </c>
      <c r="BE423" s="216">
        <f t="shared" si="673"/>
        <v>1859.3997618829817</v>
      </c>
      <c r="BF423" s="216">
        <f t="shared" si="673"/>
        <v>1926.5528204754185</v>
      </c>
      <c r="BG423" s="216">
        <f t="shared" si="673"/>
        <v>1993.6813369493057</v>
      </c>
      <c r="BH423" s="216">
        <f t="shared" si="673"/>
        <v>2064.1332542422178</v>
      </c>
      <c r="BI423" s="216">
        <f t="shared" si="673"/>
        <v>2134.9246143829932</v>
      </c>
      <c r="BJ423" s="216">
        <f t="shared" si="673"/>
        <v>2203.0528914270208</v>
      </c>
      <c r="BK423" s="1"/>
      <c r="BL423" s="12"/>
      <c r="BM423" s="23">
        <f t="shared" si="619"/>
        <v>417</v>
      </c>
    </row>
    <row r="424" spans="1:65" ht="12.75" hidden="1" customHeight="1" outlineLevel="2">
      <c r="A424" s="118"/>
      <c r="B424" s="55"/>
      <c r="C424" s="1"/>
      <c r="D424" s="1"/>
      <c r="E424" s="1"/>
      <c r="F424" s="1"/>
      <c r="G424" s="57">
        <f>ROUND(G423-G284,6)</f>
        <v>0</v>
      </c>
      <c r="H424" s="57">
        <f>ROUND(H423-H284,6)</f>
        <v>0</v>
      </c>
      <c r="I424" s="57">
        <f>ROUND(I423-I284,6)</f>
        <v>0</v>
      </c>
      <c r="J424" s="57">
        <f t="shared" ref="J424:P424" si="674">ROUND(J423-J284,6)</f>
        <v>0</v>
      </c>
      <c r="K424" s="57">
        <f t="shared" si="674"/>
        <v>0</v>
      </c>
      <c r="L424" s="57">
        <f t="shared" si="674"/>
        <v>0</v>
      </c>
      <c r="M424" s="57">
        <f t="shared" si="674"/>
        <v>0</v>
      </c>
      <c r="N424" s="57">
        <f t="shared" si="674"/>
        <v>0</v>
      </c>
      <c r="O424" s="57">
        <f t="shared" si="674"/>
        <v>0</v>
      </c>
      <c r="P424" s="57">
        <f t="shared" si="674"/>
        <v>0</v>
      </c>
      <c r="Q424" s="57">
        <f>ROUND(Q423-Q284,6)</f>
        <v>0</v>
      </c>
      <c r="R424" s="51"/>
      <c r="S424" s="1"/>
      <c r="T424" s="1"/>
      <c r="U424" s="57"/>
      <c r="V424" s="57"/>
      <c r="W424" s="57">
        <f t="shared" ref="W424:BJ424" si="675">ROUND(W423-W284,6)</f>
        <v>0</v>
      </c>
      <c r="X424" s="57">
        <f t="shared" si="675"/>
        <v>0</v>
      </c>
      <c r="Y424" s="57">
        <f t="shared" si="675"/>
        <v>0</v>
      </c>
      <c r="Z424" s="57">
        <f t="shared" si="675"/>
        <v>0</v>
      </c>
      <c r="AA424" s="57">
        <f t="shared" si="675"/>
        <v>0</v>
      </c>
      <c r="AB424" s="57">
        <f t="shared" si="675"/>
        <v>0</v>
      </c>
      <c r="AC424" s="57">
        <f t="shared" si="675"/>
        <v>0</v>
      </c>
      <c r="AD424" s="57">
        <f t="shared" si="675"/>
        <v>0</v>
      </c>
      <c r="AE424" s="57">
        <f t="shared" si="675"/>
        <v>0</v>
      </c>
      <c r="AF424" s="57">
        <f t="shared" si="675"/>
        <v>0</v>
      </c>
      <c r="AG424" s="57">
        <f t="shared" si="675"/>
        <v>0</v>
      </c>
      <c r="AH424" s="57">
        <f t="shared" si="675"/>
        <v>0</v>
      </c>
      <c r="AI424" s="57">
        <f t="shared" si="675"/>
        <v>0</v>
      </c>
      <c r="AJ424" s="57">
        <f t="shared" si="675"/>
        <v>0</v>
      </c>
      <c r="AK424" s="57">
        <f t="shared" si="675"/>
        <v>0</v>
      </c>
      <c r="AL424" s="57">
        <f t="shared" si="675"/>
        <v>0</v>
      </c>
      <c r="AM424" s="57">
        <f t="shared" si="675"/>
        <v>0</v>
      </c>
      <c r="AN424" s="57">
        <f t="shared" si="675"/>
        <v>0</v>
      </c>
      <c r="AO424" s="57">
        <f t="shared" si="675"/>
        <v>0</v>
      </c>
      <c r="AP424" s="57">
        <f t="shared" si="675"/>
        <v>0</v>
      </c>
      <c r="AQ424" s="57">
        <f t="shared" si="675"/>
        <v>0</v>
      </c>
      <c r="AR424" s="57">
        <f t="shared" si="675"/>
        <v>0</v>
      </c>
      <c r="AS424" s="57">
        <f t="shared" si="675"/>
        <v>0</v>
      </c>
      <c r="AT424" s="57">
        <f t="shared" si="675"/>
        <v>0</v>
      </c>
      <c r="AU424" s="57">
        <f t="shared" si="675"/>
        <v>0</v>
      </c>
      <c r="AV424" s="57">
        <f t="shared" si="675"/>
        <v>0</v>
      </c>
      <c r="AW424" s="57">
        <f t="shared" si="675"/>
        <v>0</v>
      </c>
      <c r="AX424" s="57">
        <f t="shared" si="675"/>
        <v>0</v>
      </c>
      <c r="AY424" s="57">
        <f t="shared" si="675"/>
        <v>0</v>
      </c>
      <c r="AZ424" s="57">
        <f t="shared" si="675"/>
        <v>0</v>
      </c>
      <c r="BA424" s="57">
        <f t="shared" si="675"/>
        <v>0</v>
      </c>
      <c r="BB424" s="57">
        <f t="shared" si="675"/>
        <v>0</v>
      </c>
      <c r="BC424" s="57">
        <f t="shared" si="675"/>
        <v>0</v>
      </c>
      <c r="BD424" s="57">
        <f t="shared" si="675"/>
        <v>0</v>
      </c>
      <c r="BE424" s="57">
        <f t="shared" si="675"/>
        <v>0</v>
      </c>
      <c r="BF424" s="57">
        <f t="shared" si="675"/>
        <v>0</v>
      </c>
      <c r="BG424" s="57">
        <f t="shared" si="675"/>
        <v>0</v>
      </c>
      <c r="BH424" s="57">
        <f t="shared" si="675"/>
        <v>0</v>
      </c>
      <c r="BI424" s="57">
        <f t="shared" si="675"/>
        <v>0</v>
      </c>
      <c r="BJ424" s="57">
        <f t="shared" si="675"/>
        <v>0</v>
      </c>
      <c r="BK424" s="1"/>
      <c r="BL424" s="12"/>
      <c r="BM424" s="23">
        <f t="shared" si="619"/>
        <v>418</v>
      </c>
    </row>
    <row r="425" spans="1:65" ht="12.75" customHeight="1" outlineLevel="1" collapsed="1">
      <c r="A425" s="118"/>
      <c r="B425" s="55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5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23">
        <f t="shared" si="619"/>
        <v>419</v>
      </c>
    </row>
    <row r="426" spans="1:65" ht="11.25" customHeight="1">
      <c r="A426"/>
      <c r="R426"/>
      <c r="BM426"/>
    </row>
    <row r="432" spans="1:65">
      <c r="J432" s="175"/>
    </row>
  </sheetData>
  <phoneticPr fontId="3" type="noConversion"/>
  <conditionalFormatting sqref="A247:BL247 BT247:IV247">
    <cfRule type="cellIs" dxfId="2" priority="3" stopIfTrue="1" operator="equal">
      <formula>0</formula>
    </cfRule>
  </conditionalFormatting>
  <conditionalFormatting sqref="A286:BL286 BT286:IV286">
    <cfRule type="cellIs" dxfId="1" priority="2" stopIfTrue="1" operator="equal">
      <formula>0</formula>
    </cfRule>
  </conditionalFormatting>
  <conditionalFormatting sqref="C2:BJ2">
    <cfRule type="cellIs" dxfId="0" priority="1" stopIfTrue="1" operator="equal">
      <formula>0</formula>
    </cfRule>
  </conditionalFormatting>
  <pageMargins left="0" right="0" top="0" bottom="0" header="0" footer="0"/>
  <pageSetup paperSize="5" orientation="landscape" r:id="rId1"/>
  <headerFooter alignWithMargins="0">
    <oddHeader>&amp;LMorgan Stanley
&amp;8U.S. Silica (SLCA) Earnings Model</oddHeader>
  </headerFooter>
  <rowBreaks count="1" manualBreakCount="1">
    <brk id="40" max="16383" man="1"/>
  </rowBreaks>
  <colBreaks count="2" manualBreakCount="2">
    <brk id="18" max="1048575" man="1"/>
    <brk id="38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3"/>
  <sheetViews>
    <sheetView workbookViewId="0">
      <selection activeCell="B42" sqref="B42"/>
    </sheetView>
  </sheetViews>
  <sheetFormatPr defaultRowHeight="12.75"/>
  <cols>
    <col min="1" max="1" width="29.5703125" style="317" bestFit="1" customWidth="1"/>
    <col min="2" max="2" width="19.85546875" style="339" customWidth="1"/>
    <col min="3" max="3" width="12" style="317" bestFit="1" customWidth="1"/>
    <col min="4" max="256" width="9.140625" style="317"/>
    <col min="257" max="257" width="29.5703125" style="317" bestFit="1" customWidth="1"/>
    <col min="258" max="258" width="19.85546875" style="317" customWidth="1"/>
    <col min="259" max="259" width="12" style="317" bestFit="1" customWidth="1"/>
    <col min="260" max="512" width="9.140625" style="317"/>
    <col min="513" max="513" width="29.5703125" style="317" bestFit="1" customWidth="1"/>
    <col min="514" max="514" width="19.85546875" style="317" customWidth="1"/>
    <col min="515" max="515" width="12" style="317" bestFit="1" customWidth="1"/>
    <col min="516" max="768" width="9.140625" style="317"/>
    <col min="769" max="769" width="29.5703125" style="317" bestFit="1" customWidth="1"/>
    <col min="770" max="770" width="19.85546875" style="317" customWidth="1"/>
    <col min="771" max="771" width="12" style="317" bestFit="1" customWidth="1"/>
    <col min="772" max="1024" width="9.140625" style="317"/>
    <col min="1025" max="1025" width="29.5703125" style="317" bestFit="1" customWidth="1"/>
    <col min="1026" max="1026" width="19.85546875" style="317" customWidth="1"/>
    <col min="1027" max="1027" width="12" style="317" bestFit="1" customWidth="1"/>
    <col min="1028" max="1280" width="9.140625" style="317"/>
    <col min="1281" max="1281" width="29.5703125" style="317" bestFit="1" customWidth="1"/>
    <col min="1282" max="1282" width="19.85546875" style="317" customWidth="1"/>
    <col min="1283" max="1283" width="12" style="317" bestFit="1" customWidth="1"/>
    <col min="1284" max="1536" width="9.140625" style="317"/>
    <col min="1537" max="1537" width="29.5703125" style="317" bestFit="1" customWidth="1"/>
    <col min="1538" max="1538" width="19.85546875" style="317" customWidth="1"/>
    <col min="1539" max="1539" width="12" style="317" bestFit="1" customWidth="1"/>
    <col min="1540" max="1792" width="9.140625" style="317"/>
    <col min="1793" max="1793" width="29.5703125" style="317" bestFit="1" customWidth="1"/>
    <col min="1794" max="1794" width="19.85546875" style="317" customWidth="1"/>
    <col min="1795" max="1795" width="12" style="317" bestFit="1" customWidth="1"/>
    <col min="1796" max="2048" width="9.140625" style="317"/>
    <col min="2049" max="2049" width="29.5703125" style="317" bestFit="1" customWidth="1"/>
    <col min="2050" max="2050" width="19.85546875" style="317" customWidth="1"/>
    <col min="2051" max="2051" width="12" style="317" bestFit="1" customWidth="1"/>
    <col min="2052" max="2304" width="9.140625" style="317"/>
    <col min="2305" max="2305" width="29.5703125" style="317" bestFit="1" customWidth="1"/>
    <col min="2306" max="2306" width="19.85546875" style="317" customWidth="1"/>
    <col min="2307" max="2307" width="12" style="317" bestFit="1" customWidth="1"/>
    <col min="2308" max="2560" width="9.140625" style="317"/>
    <col min="2561" max="2561" width="29.5703125" style="317" bestFit="1" customWidth="1"/>
    <col min="2562" max="2562" width="19.85546875" style="317" customWidth="1"/>
    <col min="2563" max="2563" width="12" style="317" bestFit="1" customWidth="1"/>
    <col min="2564" max="2816" width="9.140625" style="317"/>
    <col min="2817" max="2817" width="29.5703125" style="317" bestFit="1" customWidth="1"/>
    <col min="2818" max="2818" width="19.85546875" style="317" customWidth="1"/>
    <col min="2819" max="2819" width="12" style="317" bestFit="1" customWidth="1"/>
    <col min="2820" max="3072" width="9.140625" style="317"/>
    <col min="3073" max="3073" width="29.5703125" style="317" bestFit="1" customWidth="1"/>
    <col min="3074" max="3074" width="19.85546875" style="317" customWidth="1"/>
    <col min="3075" max="3075" width="12" style="317" bestFit="1" customWidth="1"/>
    <col min="3076" max="3328" width="9.140625" style="317"/>
    <col min="3329" max="3329" width="29.5703125" style="317" bestFit="1" customWidth="1"/>
    <col min="3330" max="3330" width="19.85546875" style="317" customWidth="1"/>
    <col min="3331" max="3331" width="12" style="317" bestFit="1" customWidth="1"/>
    <col min="3332" max="3584" width="9.140625" style="317"/>
    <col min="3585" max="3585" width="29.5703125" style="317" bestFit="1" customWidth="1"/>
    <col min="3586" max="3586" width="19.85546875" style="317" customWidth="1"/>
    <col min="3587" max="3587" width="12" style="317" bestFit="1" customWidth="1"/>
    <col min="3588" max="3840" width="9.140625" style="317"/>
    <col min="3841" max="3841" width="29.5703125" style="317" bestFit="1" customWidth="1"/>
    <col min="3842" max="3842" width="19.85546875" style="317" customWidth="1"/>
    <col min="3843" max="3843" width="12" style="317" bestFit="1" customWidth="1"/>
    <col min="3844" max="4096" width="9.140625" style="317"/>
    <col min="4097" max="4097" width="29.5703125" style="317" bestFit="1" customWidth="1"/>
    <col min="4098" max="4098" width="19.85546875" style="317" customWidth="1"/>
    <col min="4099" max="4099" width="12" style="317" bestFit="1" customWidth="1"/>
    <col min="4100" max="4352" width="9.140625" style="317"/>
    <col min="4353" max="4353" width="29.5703125" style="317" bestFit="1" customWidth="1"/>
    <col min="4354" max="4354" width="19.85546875" style="317" customWidth="1"/>
    <col min="4355" max="4355" width="12" style="317" bestFit="1" customWidth="1"/>
    <col min="4356" max="4608" width="9.140625" style="317"/>
    <col min="4609" max="4609" width="29.5703125" style="317" bestFit="1" customWidth="1"/>
    <col min="4610" max="4610" width="19.85546875" style="317" customWidth="1"/>
    <col min="4611" max="4611" width="12" style="317" bestFit="1" customWidth="1"/>
    <col min="4612" max="4864" width="9.140625" style="317"/>
    <col min="4865" max="4865" width="29.5703125" style="317" bestFit="1" customWidth="1"/>
    <col min="4866" max="4866" width="19.85546875" style="317" customWidth="1"/>
    <col min="4867" max="4867" width="12" style="317" bestFit="1" customWidth="1"/>
    <col min="4868" max="5120" width="9.140625" style="317"/>
    <col min="5121" max="5121" width="29.5703125" style="317" bestFit="1" customWidth="1"/>
    <col min="5122" max="5122" width="19.85546875" style="317" customWidth="1"/>
    <col min="5123" max="5123" width="12" style="317" bestFit="1" customWidth="1"/>
    <col min="5124" max="5376" width="9.140625" style="317"/>
    <col min="5377" max="5377" width="29.5703125" style="317" bestFit="1" customWidth="1"/>
    <col min="5378" max="5378" width="19.85546875" style="317" customWidth="1"/>
    <col min="5379" max="5379" width="12" style="317" bestFit="1" customWidth="1"/>
    <col min="5380" max="5632" width="9.140625" style="317"/>
    <col min="5633" max="5633" width="29.5703125" style="317" bestFit="1" customWidth="1"/>
    <col min="5634" max="5634" width="19.85546875" style="317" customWidth="1"/>
    <col min="5635" max="5635" width="12" style="317" bestFit="1" customWidth="1"/>
    <col min="5636" max="5888" width="9.140625" style="317"/>
    <col min="5889" max="5889" width="29.5703125" style="317" bestFit="1" customWidth="1"/>
    <col min="5890" max="5890" width="19.85546875" style="317" customWidth="1"/>
    <col min="5891" max="5891" width="12" style="317" bestFit="1" customWidth="1"/>
    <col min="5892" max="6144" width="9.140625" style="317"/>
    <col min="6145" max="6145" width="29.5703125" style="317" bestFit="1" customWidth="1"/>
    <col min="6146" max="6146" width="19.85546875" style="317" customWidth="1"/>
    <col min="6147" max="6147" width="12" style="317" bestFit="1" customWidth="1"/>
    <col min="6148" max="6400" width="9.140625" style="317"/>
    <col min="6401" max="6401" width="29.5703125" style="317" bestFit="1" customWidth="1"/>
    <col min="6402" max="6402" width="19.85546875" style="317" customWidth="1"/>
    <col min="6403" max="6403" width="12" style="317" bestFit="1" customWidth="1"/>
    <col min="6404" max="6656" width="9.140625" style="317"/>
    <col min="6657" max="6657" width="29.5703125" style="317" bestFit="1" customWidth="1"/>
    <col min="6658" max="6658" width="19.85546875" style="317" customWidth="1"/>
    <col min="6659" max="6659" width="12" style="317" bestFit="1" customWidth="1"/>
    <col min="6660" max="6912" width="9.140625" style="317"/>
    <col min="6913" max="6913" width="29.5703125" style="317" bestFit="1" customWidth="1"/>
    <col min="6914" max="6914" width="19.85546875" style="317" customWidth="1"/>
    <col min="6915" max="6915" width="12" style="317" bestFit="1" customWidth="1"/>
    <col min="6916" max="7168" width="9.140625" style="317"/>
    <col min="7169" max="7169" width="29.5703125" style="317" bestFit="1" customWidth="1"/>
    <col min="7170" max="7170" width="19.85546875" style="317" customWidth="1"/>
    <col min="7171" max="7171" width="12" style="317" bestFit="1" customWidth="1"/>
    <col min="7172" max="7424" width="9.140625" style="317"/>
    <col min="7425" max="7425" width="29.5703125" style="317" bestFit="1" customWidth="1"/>
    <col min="7426" max="7426" width="19.85546875" style="317" customWidth="1"/>
    <col min="7427" max="7427" width="12" style="317" bestFit="1" customWidth="1"/>
    <col min="7428" max="7680" width="9.140625" style="317"/>
    <col min="7681" max="7681" width="29.5703125" style="317" bestFit="1" customWidth="1"/>
    <col min="7682" max="7682" width="19.85546875" style="317" customWidth="1"/>
    <col min="7683" max="7683" width="12" style="317" bestFit="1" customWidth="1"/>
    <col min="7684" max="7936" width="9.140625" style="317"/>
    <col min="7937" max="7937" width="29.5703125" style="317" bestFit="1" customWidth="1"/>
    <col min="7938" max="7938" width="19.85546875" style="317" customWidth="1"/>
    <col min="7939" max="7939" width="12" style="317" bestFit="1" customWidth="1"/>
    <col min="7940" max="8192" width="9.140625" style="317"/>
    <col min="8193" max="8193" width="29.5703125" style="317" bestFit="1" customWidth="1"/>
    <col min="8194" max="8194" width="19.85546875" style="317" customWidth="1"/>
    <col min="8195" max="8195" width="12" style="317" bestFit="1" customWidth="1"/>
    <col min="8196" max="8448" width="9.140625" style="317"/>
    <col min="8449" max="8449" width="29.5703125" style="317" bestFit="1" customWidth="1"/>
    <col min="8450" max="8450" width="19.85546875" style="317" customWidth="1"/>
    <col min="8451" max="8451" width="12" style="317" bestFit="1" customWidth="1"/>
    <col min="8452" max="8704" width="9.140625" style="317"/>
    <col min="8705" max="8705" width="29.5703125" style="317" bestFit="1" customWidth="1"/>
    <col min="8706" max="8706" width="19.85546875" style="317" customWidth="1"/>
    <col min="8707" max="8707" width="12" style="317" bestFit="1" customWidth="1"/>
    <col min="8708" max="8960" width="9.140625" style="317"/>
    <col min="8961" max="8961" width="29.5703125" style="317" bestFit="1" customWidth="1"/>
    <col min="8962" max="8962" width="19.85546875" style="317" customWidth="1"/>
    <col min="8963" max="8963" width="12" style="317" bestFit="1" customWidth="1"/>
    <col min="8964" max="9216" width="9.140625" style="317"/>
    <col min="9217" max="9217" width="29.5703125" style="317" bestFit="1" customWidth="1"/>
    <col min="9218" max="9218" width="19.85546875" style="317" customWidth="1"/>
    <col min="9219" max="9219" width="12" style="317" bestFit="1" customWidth="1"/>
    <col min="9220" max="9472" width="9.140625" style="317"/>
    <col min="9473" max="9473" width="29.5703125" style="317" bestFit="1" customWidth="1"/>
    <col min="9474" max="9474" width="19.85546875" style="317" customWidth="1"/>
    <col min="9475" max="9475" width="12" style="317" bestFit="1" customWidth="1"/>
    <col min="9476" max="9728" width="9.140625" style="317"/>
    <col min="9729" max="9729" width="29.5703125" style="317" bestFit="1" customWidth="1"/>
    <col min="9730" max="9730" width="19.85546875" style="317" customWidth="1"/>
    <col min="9731" max="9731" width="12" style="317" bestFit="1" customWidth="1"/>
    <col min="9732" max="9984" width="9.140625" style="317"/>
    <col min="9985" max="9985" width="29.5703125" style="317" bestFit="1" customWidth="1"/>
    <col min="9986" max="9986" width="19.85546875" style="317" customWidth="1"/>
    <col min="9987" max="9987" width="12" style="317" bestFit="1" customWidth="1"/>
    <col min="9988" max="10240" width="9.140625" style="317"/>
    <col min="10241" max="10241" width="29.5703125" style="317" bestFit="1" customWidth="1"/>
    <col min="10242" max="10242" width="19.85546875" style="317" customWidth="1"/>
    <col min="10243" max="10243" width="12" style="317" bestFit="1" customWidth="1"/>
    <col min="10244" max="10496" width="9.140625" style="317"/>
    <col min="10497" max="10497" width="29.5703125" style="317" bestFit="1" customWidth="1"/>
    <col min="10498" max="10498" width="19.85546875" style="317" customWidth="1"/>
    <col min="10499" max="10499" width="12" style="317" bestFit="1" customWidth="1"/>
    <col min="10500" max="10752" width="9.140625" style="317"/>
    <col min="10753" max="10753" width="29.5703125" style="317" bestFit="1" customWidth="1"/>
    <col min="10754" max="10754" width="19.85546875" style="317" customWidth="1"/>
    <col min="10755" max="10755" width="12" style="317" bestFit="1" customWidth="1"/>
    <col min="10756" max="11008" width="9.140625" style="317"/>
    <col min="11009" max="11009" width="29.5703125" style="317" bestFit="1" customWidth="1"/>
    <col min="11010" max="11010" width="19.85546875" style="317" customWidth="1"/>
    <col min="11011" max="11011" width="12" style="317" bestFit="1" customWidth="1"/>
    <col min="11012" max="11264" width="9.140625" style="317"/>
    <col min="11265" max="11265" width="29.5703125" style="317" bestFit="1" customWidth="1"/>
    <col min="11266" max="11266" width="19.85546875" style="317" customWidth="1"/>
    <col min="11267" max="11267" width="12" style="317" bestFit="1" customWidth="1"/>
    <col min="11268" max="11520" width="9.140625" style="317"/>
    <col min="11521" max="11521" width="29.5703125" style="317" bestFit="1" customWidth="1"/>
    <col min="11522" max="11522" width="19.85546875" style="317" customWidth="1"/>
    <col min="11523" max="11523" width="12" style="317" bestFit="1" customWidth="1"/>
    <col min="11524" max="11776" width="9.140625" style="317"/>
    <col min="11777" max="11777" width="29.5703125" style="317" bestFit="1" customWidth="1"/>
    <col min="11778" max="11778" width="19.85546875" style="317" customWidth="1"/>
    <col min="11779" max="11779" width="12" style="317" bestFit="1" customWidth="1"/>
    <col min="11780" max="12032" width="9.140625" style="317"/>
    <col min="12033" max="12033" width="29.5703125" style="317" bestFit="1" customWidth="1"/>
    <col min="12034" max="12034" width="19.85546875" style="317" customWidth="1"/>
    <col min="12035" max="12035" width="12" style="317" bestFit="1" customWidth="1"/>
    <col min="12036" max="12288" width="9.140625" style="317"/>
    <col min="12289" max="12289" width="29.5703125" style="317" bestFit="1" customWidth="1"/>
    <col min="12290" max="12290" width="19.85546875" style="317" customWidth="1"/>
    <col min="12291" max="12291" width="12" style="317" bestFit="1" customWidth="1"/>
    <col min="12292" max="12544" width="9.140625" style="317"/>
    <col min="12545" max="12545" width="29.5703125" style="317" bestFit="1" customWidth="1"/>
    <col min="12546" max="12546" width="19.85546875" style="317" customWidth="1"/>
    <col min="12547" max="12547" width="12" style="317" bestFit="1" customWidth="1"/>
    <col min="12548" max="12800" width="9.140625" style="317"/>
    <col min="12801" max="12801" width="29.5703125" style="317" bestFit="1" customWidth="1"/>
    <col min="12802" max="12802" width="19.85546875" style="317" customWidth="1"/>
    <col min="12803" max="12803" width="12" style="317" bestFit="1" customWidth="1"/>
    <col min="12804" max="13056" width="9.140625" style="317"/>
    <col min="13057" max="13057" width="29.5703125" style="317" bestFit="1" customWidth="1"/>
    <col min="13058" max="13058" width="19.85546875" style="317" customWidth="1"/>
    <col min="13059" max="13059" width="12" style="317" bestFit="1" customWidth="1"/>
    <col min="13060" max="13312" width="9.140625" style="317"/>
    <col min="13313" max="13313" width="29.5703125" style="317" bestFit="1" customWidth="1"/>
    <col min="13314" max="13314" width="19.85546875" style="317" customWidth="1"/>
    <col min="13315" max="13315" width="12" style="317" bestFit="1" customWidth="1"/>
    <col min="13316" max="13568" width="9.140625" style="317"/>
    <col min="13569" max="13569" width="29.5703125" style="317" bestFit="1" customWidth="1"/>
    <col min="13570" max="13570" width="19.85546875" style="317" customWidth="1"/>
    <col min="13571" max="13571" width="12" style="317" bestFit="1" customWidth="1"/>
    <col min="13572" max="13824" width="9.140625" style="317"/>
    <col min="13825" max="13825" width="29.5703125" style="317" bestFit="1" customWidth="1"/>
    <col min="13826" max="13826" width="19.85546875" style="317" customWidth="1"/>
    <col min="13827" max="13827" width="12" style="317" bestFit="1" customWidth="1"/>
    <col min="13828" max="14080" width="9.140625" style="317"/>
    <col min="14081" max="14081" width="29.5703125" style="317" bestFit="1" customWidth="1"/>
    <col min="14082" max="14082" width="19.85546875" style="317" customWidth="1"/>
    <col min="14083" max="14083" width="12" style="317" bestFit="1" customWidth="1"/>
    <col min="14084" max="14336" width="9.140625" style="317"/>
    <col min="14337" max="14337" width="29.5703125" style="317" bestFit="1" customWidth="1"/>
    <col min="14338" max="14338" width="19.85546875" style="317" customWidth="1"/>
    <col min="14339" max="14339" width="12" style="317" bestFit="1" customWidth="1"/>
    <col min="14340" max="14592" width="9.140625" style="317"/>
    <col min="14593" max="14593" width="29.5703125" style="317" bestFit="1" customWidth="1"/>
    <col min="14594" max="14594" width="19.85546875" style="317" customWidth="1"/>
    <col min="14595" max="14595" width="12" style="317" bestFit="1" customWidth="1"/>
    <col min="14596" max="14848" width="9.140625" style="317"/>
    <col min="14849" max="14849" width="29.5703125" style="317" bestFit="1" customWidth="1"/>
    <col min="14850" max="14850" width="19.85546875" style="317" customWidth="1"/>
    <col min="14851" max="14851" width="12" style="317" bestFit="1" customWidth="1"/>
    <col min="14852" max="15104" width="9.140625" style="317"/>
    <col min="15105" max="15105" width="29.5703125" style="317" bestFit="1" customWidth="1"/>
    <col min="15106" max="15106" width="19.85546875" style="317" customWidth="1"/>
    <col min="15107" max="15107" width="12" style="317" bestFit="1" customWidth="1"/>
    <col min="15108" max="15360" width="9.140625" style="317"/>
    <col min="15361" max="15361" width="29.5703125" style="317" bestFit="1" customWidth="1"/>
    <col min="15362" max="15362" width="19.85546875" style="317" customWidth="1"/>
    <col min="15363" max="15363" width="12" style="317" bestFit="1" customWidth="1"/>
    <col min="15364" max="15616" width="9.140625" style="317"/>
    <col min="15617" max="15617" width="29.5703125" style="317" bestFit="1" customWidth="1"/>
    <col min="15618" max="15618" width="19.85546875" style="317" customWidth="1"/>
    <col min="15619" max="15619" width="12" style="317" bestFit="1" customWidth="1"/>
    <col min="15620" max="15872" width="9.140625" style="317"/>
    <col min="15873" max="15873" width="29.5703125" style="317" bestFit="1" customWidth="1"/>
    <col min="15874" max="15874" width="19.85546875" style="317" customWidth="1"/>
    <col min="15875" max="15875" width="12" style="317" bestFit="1" customWidth="1"/>
    <col min="15876" max="16128" width="9.140625" style="317"/>
    <col min="16129" max="16129" width="29.5703125" style="317" bestFit="1" customWidth="1"/>
    <col min="16130" max="16130" width="19.85546875" style="317" customWidth="1"/>
    <col min="16131" max="16131" width="12" style="317" bestFit="1" customWidth="1"/>
    <col min="16132" max="16384" width="9.140625" style="317"/>
  </cols>
  <sheetData>
    <row r="1" spans="1:2">
      <c r="A1" s="317" t="s">
        <v>785</v>
      </c>
      <c r="B1" s="338">
        <v>6.1</v>
      </c>
    </row>
    <row r="2" spans="1:2">
      <c r="A2" s="317" t="s">
        <v>786</v>
      </c>
      <c r="B2" s="342">
        <v>43201.482581018521</v>
      </c>
    </row>
    <row r="3" spans="1:2">
      <c r="A3" s="317" t="s">
        <v>787</v>
      </c>
      <c r="B3" s="339" t="s">
        <v>483</v>
      </c>
    </row>
    <row r="4" spans="1:2">
      <c r="A4" s="317" t="s">
        <v>788</v>
      </c>
      <c r="B4" s="339" t="s">
        <v>789</v>
      </c>
    </row>
    <row r="5" spans="1:2">
      <c r="A5" s="317" t="s">
        <v>790</v>
      </c>
      <c r="B5" s="339" t="s">
        <v>791</v>
      </c>
    </row>
    <row r="6" spans="1:2">
      <c r="A6" s="317" t="s">
        <v>792</v>
      </c>
    </row>
    <row r="7" spans="1:2">
      <c r="A7" s="317" t="s">
        <v>793</v>
      </c>
      <c r="B7" s="339" t="s">
        <v>131</v>
      </c>
    </row>
    <row r="8" spans="1:2">
      <c r="A8" s="317" t="s">
        <v>794</v>
      </c>
      <c r="B8" s="339" t="s">
        <v>795</v>
      </c>
    </row>
    <row r="9" spans="1:2">
      <c r="A9" s="317" t="s">
        <v>796</v>
      </c>
      <c r="B9" s="339" t="s">
        <v>834</v>
      </c>
    </row>
    <row r="10" spans="1:2">
      <c r="A10" s="317" t="s">
        <v>797</v>
      </c>
    </row>
    <row r="11" spans="1:2">
      <c r="A11" s="317" t="s">
        <v>798</v>
      </c>
    </row>
    <row r="12" spans="1:2">
      <c r="A12" s="317" t="s">
        <v>799</v>
      </c>
    </row>
    <row r="13" spans="1:2">
      <c r="A13" s="317" t="s">
        <v>800</v>
      </c>
    </row>
    <row r="14" spans="1:2">
      <c r="A14" s="317" t="s">
        <v>801</v>
      </c>
    </row>
    <row r="15" spans="1:2">
      <c r="A15" s="317" t="s">
        <v>802</v>
      </c>
    </row>
    <row r="16" spans="1:2">
      <c r="A16" s="317" t="s">
        <v>803</v>
      </c>
    </row>
    <row r="17" spans="1:4">
      <c r="A17" s="317" t="s">
        <v>804</v>
      </c>
      <c r="B17" s="339" t="s">
        <v>835</v>
      </c>
    </row>
    <row r="18" spans="1:4">
      <c r="A18" s="317" t="s">
        <v>805</v>
      </c>
      <c r="B18" s="339" t="s">
        <v>484</v>
      </c>
    </row>
    <row r="19" spans="1:4">
      <c r="A19" s="317" t="s">
        <v>806</v>
      </c>
      <c r="B19" s="339" t="s">
        <v>130</v>
      </c>
    </row>
    <row r="20" spans="1:4">
      <c r="A20" s="317" t="s">
        <v>807</v>
      </c>
      <c r="B20" s="340">
        <v>9.0346000000000003E+107</v>
      </c>
    </row>
    <row r="21" spans="1:4">
      <c r="A21" s="317" t="s">
        <v>808</v>
      </c>
      <c r="B21" s="339" t="s">
        <v>130</v>
      </c>
    </row>
    <row r="22" spans="1:4">
      <c r="A22" s="317" t="s">
        <v>809</v>
      </c>
      <c r="B22" s="340" t="s">
        <v>262</v>
      </c>
    </row>
    <row r="23" spans="1:4">
      <c r="A23" s="317" t="s">
        <v>250</v>
      </c>
      <c r="B23" s="338">
        <v>27.48</v>
      </c>
    </row>
    <row r="24" spans="1:4">
      <c r="A24" s="317" t="s">
        <v>249</v>
      </c>
      <c r="B24" s="339" t="s">
        <v>129</v>
      </c>
      <c r="D24" s="317" t="s">
        <v>810</v>
      </c>
    </row>
    <row r="25" spans="1:4">
      <c r="A25" s="317" t="s">
        <v>811</v>
      </c>
      <c r="B25" s="339" t="s">
        <v>838</v>
      </c>
    </row>
    <row r="26" spans="1:4">
      <c r="A26" s="317" t="s">
        <v>812</v>
      </c>
      <c r="B26" s="339">
        <v>0</v>
      </c>
    </row>
    <row r="27" spans="1:4">
      <c r="A27" s="317" t="s">
        <v>813</v>
      </c>
      <c r="B27" s="339" t="s">
        <v>814</v>
      </c>
    </row>
    <row r="28" spans="1:4">
      <c r="A28" s="317" t="s">
        <v>815</v>
      </c>
      <c r="B28" s="339" t="s">
        <v>816</v>
      </c>
    </row>
    <row r="29" spans="1:4">
      <c r="A29" s="317" t="s">
        <v>817</v>
      </c>
    </row>
    <row r="30" spans="1:4">
      <c r="A30" s="317" t="s">
        <v>818</v>
      </c>
    </row>
    <row r="31" spans="1:4">
      <c r="A31" s="317" t="s">
        <v>819</v>
      </c>
    </row>
    <row r="32" spans="1:4">
      <c r="A32" s="317" t="s">
        <v>820</v>
      </c>
      <c r="B32" s="338"/>
    </row>
    <row r="33" spans="1:2">
      <c r="A33" s="317" t="s">
        <v>821</v>
      </c>
      <c r="B33" s="338"/>
    </row>
    <row r="34" spans="1:2">
      <c r="A34" s="317" t="s">
        <v>822</v>
      </c>
      <c r="B34" s="338"/>
    </row>
    <row r="35" spans="1:2">
      <c r="A35" s="317" t="s">
        <v>823</v>
      </c>
      <c r="B35" s="339">
        <v>1000000</v>
      </c>
    </row>
    <row r="36" spans="1:2">
      <c r="A36" s="317" t="s">
        <v>824</v>
      </c>
      <c r="B36" s="339" t="s">
        <v>836</v>
      </c>
    </row>
    <row r="37" spans="1:2">
      <c r="A37" s="317" t="s">
        <v>825</v>
      </c>
      <c r="B37" s="339" t="s">
        <v>826</v>
      </c>
    </row>
    <row r="38" spans="1:2">
      <c r="A38" s="317" t="s">
        <v>827</v>
      </c>
      <c r="B38" s="339" t="s">
        <v>828</v>
      </c>
    </row>
    <row r="39" spans="1:2">
      <c r="A39" s="317" t="s">
        <v>829</v>
      </c>
      <c r="B39" s="339" t="s">
        <v>837</v>
      </c>
    </row>
    <row r="40" spans="1:2">
      <c r="A40" s="317" t="s">
        <v>830</v>
      </c>
      <c r="B40" s="339">
        <v>1500000135</v>
      </c>
    </row>
    <row r="41" spans="1:2">
      <c r="A41" s="317" t="s">
        <v>831</v>
      </c>
      <c r="B41" s="339">
        <v>1</v>
      </c>
    </row>
    <row r="42" spans="1:2">
      <c r="A42" s="341" t="s">
        <v>832</v>
      </c>
    </row>
    <row r="43" spans="1:2">
      <c r="A43" s="317" t="s">
        <v>833</v>
      </c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3"/>
  <sheetViews>
    <sheetView workbookViewId="0">
      <selection activeCell="E11" sqref="E11"/>
    </sheetView>
  </sheetViews>
  <sheetFormatPr defaultRowHeight="12.75"/>
  <cols>
    <col min="1" max="1" width="28.5703125" style="317" bestFit="1" customWidth="1"/>
    <col min="2" max="256" width="9.140625" style="317"/>
    <col min="257" max="257" width="28.5703125" style="317" bestFit="1" customWidth="1"/>
    <col min="258" max="512" width="9.140625" style="317"/>
    <col min="513" max="513" width="28.5703125" style="317" bestFit="1" customWidth="1"/>
    <col min="514" max="768" width="9.140625" style="317"/>
    <col min="769" max="769" width="28.5703125" style="317" bestFit="1" customWidth="1"/>
    <col min="770" max="1024" width="9.140625" style="317"/>
    <col min="1025" max="1025" width="28.5703125" style="317" bestFit="1" customWidth="1"/>
    <col min="1026" max="1280" width="9.140625" style="317"/>
    <col min="1281" max="1281" width="28.5703125" style="317" bestFit="1" customWidth="1"/>
    <col min="1282" max="1536" width="9.140625" style="317"/>
    <col min="1537" max="1537" width="28.5703125" style="317" bestFit="1" customWidth="1"/>
    <col min="1538" max="1792" width="9.140625" style="317"/>
    <col min="1793" max="1793" width="28.5703125" style="317" bestFit="1" customWidth="1"/>
    <col min="1794" max="2048" width="9.140625" style="317"/>
    <col min="2049" max="2049" width="28.5703125" style="317" bestFit="1" customWidth="1"/>
    <col min="2050" max="2304" width="9.140625" style="317"/>
    <col min="2305" max="2305" width="28.5703125" style="317" bestFit="1" customWidth="1"/>
    <col min="2306" max="2560" width="9.140625" style="317"/>
    <col min="2561" max="2561" width="28.5703125" style="317" bestFit="1" customWidth="1"/>
    <col min="2562" max="2816" width="9.140625" style="317"/>
    <col min="2817" max="2817" width="28.5703125" style="317" bestFit="1" customWidth="1"/>
    <col min="2818" max="3072" width="9.140625" style="317"/>
    <col min="3073" max="3073" width="28.5703125" style="317" bestFit="1" customWidth="1"/>
    <col min="3074" max="3328" width="9.140625" style="317"/>
    <col min="3329" max="3329" width="28.5703125" style="317" bestFit="1" customWidth="1"/>
    <col min="3330" max="3584" width="9.140625" style="317"/>
    <col min="3585" max="3585" width="28.5703125" style="317" bestFit="1" customWidth="1"/>
    <col min="3586" max="3840" width="9.140625" style="317"/>
    <col min="3841" max="3841" width="28.5703125" style="317" bestFit="1" customWidth="1"/>
    <col min="3842" max="4096" width="9.140625" style="317"/>
    <col min="4097" max="4097" width="28.5703125" style="317" bestFit="1" customWidth="1"/>
    <col min="4098" max="4352" width="9.140625" style="317"/>
    <col min="4353" max="4353" width="28.5703125" style="317" bestFit="1" customWidth="1"/>
    <col min="4354" max="4608" width="9.140625" style="317"/>
    <col min="4609" max="4609" width="28.5703125" style="317" bestFit="1" customWidth="1"/>
    <col min="4610" max="4864" width="9.140625" style="317"/>
    <col min="4865" max="4865" width="28.5703125" style="317" bestFit="1" customWidth="1"/>
    <col min="4866" max="5120" width="9.140625" style="317"/>
    <col min="5121" max="5121" width="28.5703125" style="317" bestFit="1" customWidth="1"/>
    <col min="5122" max="5376" width="9.140625" style="317"/>
    <col min="5377" max="5377" width="28.5703125" style="317" bestFit="1" customWidth="1"/>
    <col min="5378" max="5632" width="9.140625" style="317"/>
    <col min="5633" max="5633" width="28.5703125" style="317" bestFit="1" customWidth="1"/>
    <col min="5634" max="5888" width="9.140625" style="317"/>
    <col min="5889" max="5889" width="28.5703125" style="317" bestFit="1" customWidth="1"/>
    <col min="5890" max="6144" width="9.140625" style="317"/>
    <col min="6145" max="6145" width="28.5703125" style="317" bestFit="1" customWidth="1"/>
    <col min="6146" max="6400" width="9.140625" style="317"/>
    <col min="6401" max="6401" width="28.5703125" style="317" bestFit="1" customWidth="1"/>
    <col min="6402" max="6656" width="9.140625" style="317"/>
    <col min="6657" max="6657" width="28.5703125" style="317" bestFit="1" customWidth="1"/>
    <col min="6658" max="6912" width="9.140625" style="317"/>
    <col min="6913" max="6913" width="28.5703125" style="317" bestFit="1" customWidth="1"/>
    <col min="6914" max="7168" width="9.140625" style="317"/>
    <col min="7169" max="7169" width="28.5703125" style="317" bestFit="1" customWidth="1"/>
    <col min="7170" max="7424" width="9.140625" style="317"/>
    <col min="7425" max="7425" width="28.5703125" style="317" bestFit="1" customWidth="1"/>
    <col min="7426" max="7680" width="9.140625" style="317"/>
    <col min="7681" max="7681" width="28.5703125" style="317" bestFit="1" customWidth="1"/>
    <col min="7682" max="7936" width="9.140625" style="317"/>
    <col min="7937" max="7937" width="28.5703125" style="317" bestFit="1" customWidth="1"/>
    <col min="7938" max="8192" width="9.140625" style="317"/>
    <col min="8193" max="8193" width="28.5703125" style="317" bestFit="1" customWidth="1"/>
    <col min="8194" max="8448" width="9.140625" style="317"/>
    <col min="8449" max="8449" width="28.5703125" style="317" bestFit="1" customWidth="1"/>
    <col min="8450" max="8704" width="9.140625" style="317"/>
    <col min="8705" max="8705" width="28.5703125" style="317" bestFit="1" customWidth="1"/>
    <col min="8706" max="8960" width="9.140625" style="317"/>
    <col min="8961" max="8961" width="28.5703125" style="317" bestFit="1" customWidth="1"/>
    <col min="8962" max="9216" width="9.140625" style="317"/>
    <col min="9217" max="9217" width="28.5703125" style="317" bestFit="1" customWidth="1"/>
    <col min="9218" max="9472" width="9.140625" style="317"/>
    <col min="9473" max="9473" width="28.5703125" style="317" bestFit="1" customWidth="1"/>
    <col min="9474" max="9728" width="9.140625" style="317"/>
    <col min="9729" max="9729" width="28.5703125" style="317" bestFit="1" customWidth="1"/>
    <col min="9730" max="9984" width="9.140625" style="317"/>
    <col min="9985" max="9985" width="28.5703125" style="317" bestFit="1" customWidth="1"/>
    <col min="9986" max="10240" width="9.140625" style="317"/>
    <col min="10241" max="10241" width="28.5703125" style="317" bestFit="1" customWidth="1"/>
    <col min="10242" max="10496" width="9.140625" style="317"/>
    <col min="10497" max="10497" width="28.5703125" style="317" bestFit="1" customWidth="1"/>
    <col min="10498" max="10752" width="9.140625" style="317"/>
    <col min="10753" max="10753" width="28.5703125" style="317" bestFit="1" customWidth="1"/>
    <col min="10754" max="11008" width="9.140625" style="317"/>
    <col min="11009" max="11009" width="28.5703125" style="317" bestFit="1" customWidth="1"/>
    <col min="11010" max="11264" width="9.140625" style="317"/>
    <col min="11265" max="11265" width="28.5703125" style="317" bestFit="1" customWidth="1"/>
    <col min="11266" max="11520" width="9.140625" style="317"/>
    <col min="11521" max="11521" width="28.5703125" style="317" bestFit="1" customWidth="1"/>
    <col min="11522" max="11776" width="9.140625" style="317"/>
    <col min="11777" max="11777" width="28.5703125" style="317" bestFit="1" customWidth="1"/>
    <col min="11778" max="12032" width="9.140625" style="317"/>
    <col min="12033" max="12033" width="28.5703125" style="317" bestFit="1" customWidth="1"/>
    <col min="12034" max="12288" width="9.140625" style="317"/>
    <col min="12289" max="12289" width="28.5703125" style="317" bestFit="1" customWidth="1"/>
    <col min="12290" max="12544" width="9.140625" style="317"/>
    <col min="12545" max="12545" width="28.5703125" style="317" bestFit="1" customWidth="1"/>
    <col min="12546" max="12800" width="9.140625" style="317"/>
    <col min="12801" max="12801" width="28.5703125" style="317" bestFit="1" customWidth="1"/>
    <col min="12802" max="13056" width="9.140625" style="317"/>
    <col min="13057" max="13057" width="28.5703125" style="317" bestFit="1" customWidth="1"/>
    <col min="13058" max="13312" width="9.140625" style="317"/>
    <col min="13313" max="13313" width="28.5703125" style="317" bestFit="1" customWidth="1"/>
    <col min="13314" max="13568" width="9.140625" style="317"/>
    <col min="13569" max="13569" width="28.5703125" style="317" bestFit="1" customWidth="1"/>
    <col min="13570" max="13824" width="9.140625" style="317"/>
    <col min="13825" max="13825" width="28.5703125" style="317" bestFit="1" customWidth="1"/>
    <col min="13826" max="14080" width="9.140625" style="317"/>
    <col min="14081" max="14081" width="28.5703125" style="317" bestFit="1" customWidth="1"/>
    <col min="14082" max="14336" width="9.140625" style="317"/>
    <col min="14337" max="14337" width="28.5703125" style="317" bestFit="1" customWidth="1"/>
    <col min="14338" max="14592" width="9.140625" style="317"/>
    <col min="14593" max="14593" width="28.5703125" style="317" bestFit="1" customWidth="1"/>
    <col min="14594" max="14848" width="9.140625" style="317"/>
    <col min="14849" max="14849" width="28.5703125" style="317" bestFit="1" customWidth="1"/>
    <col min="14850" max="15104" width="9.140625" style="317"/>
    <col min="15105" max="15105" width="28.5703125" style="317" bestFit="1" customWidth="1"/>
    <col min="15106" max="15360" width="9.140625" style="317"/>
    <col min="15361" max="15361" width="28.5703125" style="317" bestFit="1" customWidth="1"/>
    <col min="15362" max="15616" width="9.140625" style="317"/>
    <col min="15617" max="15617" width="28.5703125" style="317" bestFit="1" customWidth="1"/>
    <col min="15618" max="15872" width="9.140625" style="317"/>
    <col min="15873" max="15873" width="28.5703125" style="317" bestFit="1" customWidth="1"/>
    <col min="15874" max="16128" width="9.140625" style="317"/>
    <col min="16129" max="16129" width="28.5703125" style="317" bestFit="1" customWidth="1"/>
    <col min="16130" max="16384" width="9.140625" style="317"/>
  </cols>
  <sheetData>
    <row r="1" spans="1:1">
      <c r="A1" s="343" t="s">
        <v>839</v>
      </c>
    </row>
    <row r="2" spans="1:1">
      <c r="A2" s="343" t="s">
        <v>844</v>
      </c>
    </row>
    <row r="3" spans="1:1">
      <c r="A3" s="343" t="s">
        <v>845</v>
      </c>
    </row>
    <row r="4" spans="1:1">
      <c r="A4" s="343" t="s">
        <v>846</v>
      </c>
    </row>
    <row r="5" spans="1:1">
      <c r="A5" s="343" t="s">
        <v>847</v>
      </c>
    </row>
    <row r="6" spans="1:1">
      <c r="A6" s="343" t="s">
        <v>840</v>
      </c>
    </row>
    <row r="7" spans="1:1">
      <c r="A7" s="343" t="s">
        <v>848</v>
      </c>
    </row>
    <row r="8" spans="1:1">
      <c r="A8" s="343" t="s">
        <v>849</v>
      </c>
    </row>
    <row r="9" spans="1:1">
      <c r="A9" s="343" t="s">
        <v>850</v>
      </c>
    </row>
    <row r="10" spans="1:1">
      <c r="A10" s="343" t="s">
        <v>841</v>
      </c>
    </row>
    <row r="11" spans="1:1">
      <c r="A11" s="343" t="s">
        <v>851</v>
      </c>
    </row>
    <row r="12" spans="1:1">
      <c r="A12" s="343" t="s">
        <v>842</v>
      </c>
    </row>
    <row r="13" spans="1:1">
      <c r="A13" s="343" t="s">
        <v>843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R2"/>
  <sheetViews>
    <sheetView workbookViewId="0"/>
  </sheetViews>
  <sheetFormatPr defaultRowHeight="12.75"/>
  <sheetData>
    <row r="1" spans="1:226">
      <c r="A1" t="s">
        <v>261</v>
      </c>
    </row>
    <row r="2" spans="1:226">
      <c r="A2" s="58" t="s">
        <v>174</v>
      </c>
      <c r="B2" s="58" t="s">
        <v>144</v>
      </c>
      <c r="C2" s="58" t="s">
        <v>234</v>
      </c>
      <c r="D2" s="58" t="s">
        <v>144</v>
      </c>
      <c r="E2" s="58" t="s">
        <v>219</v>
      </c>
      <c r="F2" s="58" t="s">
        <v>144</v>
      </c>
      <c r="G2" s="58" t="s">
        <v>188</v>
      </c>
      <c r="H2" s="58" t="s">
        <v>144</v>
      </c>
      <c r="I2" s="58" t="s">
        <v>184</v>
      </c>
      <c r="J2" s="58" t="s">
        <v>144</v>
      </c>
      <c r="K2" s="58" t="s">
        <v>197</v>
      </c>
      <c r="L2" s="58" t="s">
        <v>144</v>
      </c>
      <c r="M2" s="58" t="s">
        <v>213</v>
      </c>
      <c r="N2" s="58" t="s">
        <v>144</v>
      </c>
      <c r="O2" s="58" t="s">
        <v>190</v>
      </c>
      <c r="P2" s="58" t="s">
        <v>144</v>
      </c>
      <c r="Q2" s="58" t="s">
        <v>179</v>
      </c>
      <c r="R2" s="58" t="s">
        <v>144</v>
      </c>
      <c r="S2" s="58" t="s">
        <v>191</v>
      </c>
      <c r="T2" s="58" t="s">
        <v>144</v>
      </c>
      <c r="U2" s="58" t="s">
        <v>203</v>
      </c>
      <c r="V2" s="58" t="s">
        <v>144</v>
      </c>
      <c r="W2" s="58" t="s">
        <v>162</v>
      </c>
      <c r="X2" s="58" t="s">
        <v>144</v>
      </c>
      <c r="Y2" s="58" t="s">
        <v>200</v>
      </c>
      <c r="Z2" s="58" t="s">
        <v>129</v>
      </c>
      <c r="AA2" s="58" t="s">
        <v>153</v>
      </c>
      <c r="AB2" s="58" t="s">
        <v>144</v>
      </c>
      <c r="AC2" s="58" t="s">
        <v>242</v>
      </c>
      <c r="AD2" s="58" t="s">
        <v>144</v>
      </c>
      <c r="AE2" s="58" t="s">
        <v>224</v>
      </c>
      <c r="AF2" s="58" t="s">
        <v>144</v>
      </c>
      <c r="AG2" s="58" t="s">
        <v>186</v>
      </c>
      <c r="AH2" s="58" t="s">
        <v>144</v>
      </c>
      <c r="AI2" s="58" t="s">
        <v>239</v>
      </c>
      <c r="AJ2" s="58" t="s">
        <v>144</v>
      </c>
      <c r="AK2" s="58" t="s">
        <v>170</v>
      </c>
      <c r="AL2" s="58" t="s">
        <v>144</v>
      </c>
      <c r="AM2" s="58" t="s">
        <v>225</v>
      </c>
      <c r="AN2" s="58" t="s">
        <v>144</v>
      </c>
      <c r="AO2" s="58" t="s">
        <v>202</v>
      </c>
      <c r="AP2" s="58" t="s">
        <v>144</v>
      </c>
      <c r="AQ2" s="58" t="s">
        <v>217</v>
      </c>
      <c r="AR2" s="58" t="s">
        <v>144</v>
      </c>
      <c r="AS2" s="58" t="s">
        <v>218</v>
      </c>
      <c r="AT2" s="58" t="s">
        <v>144</v>
      </c>
      <c r="AU2" s="58" t="s">
        <v>178</v>
      </c>
      <c r="AV2" s="58" t="s">
        <v>144</v>
      </c>
      <c r="AW2" s="58" t="s">
        <v>260</v>
      </c>
      <c r="AX2" s="58" t="s">
        <v>144</v>
      </c>
      <c r="AY2" s="58" t="s">
        <v>189</v>
      </c>
      <c r="AZ2" s="58" t="s">
        <v>144</v>
      </c>
      <c r="BA2" s="58" t="s">
        <v>215</v>
      </c>
      <c r="BB2" s="58" t="s">
        <v>144</v>
      </c>
      <c r="BC2" s="58" t="s">
        <v>222</v>
      </c>
      <c r="BD2" s="58" t="s">
        <v>144</v>
      </c>
      <c r="BE2" s="58" t="s">
        <v>209</v>
      </c>
      <c r="BF2" s="58" t="s">
        <v>144</v>
      </c>
      <c r="BG2" s="58" t="s">
        <v>161</v>
      </c>
      <c r="BH2" s="58" t="s">
        <v>144</v>
      </c>
      <c r="BI2" s="58" t="s">
        <v>233</v>
      </c>
      <c r="BJ2" s="58" t="s">
        <v>144</v>
      </c>
      <c r="BK2" s="58" t="s">
        <v>151</v>
      </c>
      <c r="BL2" s="58" t="s">
        <v>144</v>
      </c>
      <c r="BM2" s="58" t="s">
        <v>232</v>
      </c>
      <c r="BN2" s="58" t="s">
        <v>144</v>
      </c>
      <c r="BO2" s="58" t="s">
        <v>145</v>
      </c>
      <c r="BP2" s="58" t="s">
        <v>144</v>
      </c>
      <c r="BQ2" s="58" t="s">
        <v>164</v>
      </c>
      <c r="BR2" s="58" t="s">
        <v>144</v>
      </c>
      <c r="BS2" s="58" t="s">
        <v>208</v>
      </c>
      <c r="BT2" s="58" t="s">
        <v>144</v>
      </c>
      <c r="BU2" s="58" t="s">
        <v>244</v>
      </c>
      <c r="BV2" s="58" t="s">
        <v>144</v>
      </c>
      <c r="BW2" s="58" t="s">
        <v>155</v>
      </c>
      <c r="BX2" s="58" t="s">
        <v>144</v>
      </c>
      <c r="BY2" s="58" t="s">
        <v>248</v>
      </c>
      <c r="BZ2" s="58" t="s">
        <v>144</v>
      </c>
      <c r="CA2" s="58" t="s">
        <v>254</v>
      </c>
      <c r="CB2" s="58" t="s">
        <v>144</v>
      </c>
      <c r="CC2" s="58" t="s">
        <v>231</v>
      </c>
      <c r="CD2" s="58" t="s">
        <v>144</v>
      </c>
      <c r="CE2" s="58" t="s">
        <v>187</v>
      </c>
      <c r="CF2" s="58" t="s">
        <v>144</v>
      </c>
      <c r="CG2" s="58" t="s">
        <v>228</v>
      </c>
      <c r="CH2" s="58" t="s">
        <v>144</v>
      </c>
      <c r="CI2" s="58" t="s">
        <v>180</v>
      </c>
      <c r="CJ2" s="58" t="s">
        <v>144</v>
      </c>
      <c r="CK2" s="58" t="s">
        <v>156</v>
      </c>
      <c r="CL2" s="58" t="s">
        <v>144</v>
      </c>
      <c r="CM2" s="58" t="s">
        <v>230</v>
      </c>
      <c r="CN2" s="58" t="s">
        <v>144</v>
      </c>
      <c r="CO2" s="58" t="s">
        <v>181</v>
      </c>
      <c r="CP2" s="58" t="s">
        <v>144</v>
      </c>
      <c r="CQ2" s="58" t="s">
        <v>252</v>
      </c>
      <c r="CR2" s="58" t="s">
        <v>144</v>
      </c>
      <c r="CS2" s="58" t="s">
        <v>194</v>
      </c>
      <c r="CT2" s="58" t="s">
        <v>144</v>
      </c>
      <c r="CU2" s="58" t="s">
        <v>192</v>
      </c>
      <c r="CV2" s="58" t="s">
        <v>144</v>
      </c>
      <c r="CW2" s="58" t="s">
        <v>196</v>
      </c>
      <c r="CX2" s="58" t="s">
        <v>144</v>
      </c>
      <c r="CY2" s="58" t="s">
        <v>223</v>
      </c>
      <c r="CZ2" s="58" t="s">
        <v>144</v>
      </c>
      <c r="DA2" s="58" t="s">
        <v>169</v>
      </c>
      <c r="DB2" s="58" t="s">
        <v>144</v>
      </c>
      <c r="DC2" s="58" t="s">
        <v>172</v>
      </c>
      <c r="DD2" s="58" t="s">
        <v>144</v>
      </c>
      <c r="DE2" s="58" t="s">
        <v>175</v>
      </c>
      <c r="DF2" s="58" t="s">
        <v>144</v>
      </c>
      <c r="DG2" s="58" t="s">
        <v>143</v>
      </c>
      <c r="DH2" s="58" t="s">
        <v>144</v>
      </c>
      <c r="DI2" s="58" t="s">
        <v>173</v>
      </c>
      <c r="DJ2" s="58" t="s">
        <v>144</v>
      </c>
      <c r="DK2" s="58" t="s">
        <v>185</v>
      </c>
      <c r="DL2" s="58" t="s">
        <v>144</v>
      </c>
      <c r="DM2" s="58" t="s">
        <v>238</v>
      </c>
      <c r="DN2" s="58" t="s">
        <v>144</v>
      </c>
      <c r="DO2" s="58" t="s">
        <v>211</v>
      </c>
      <c r="DP2" s="58" t="s">
        <v>144</v>
      </c>
      <c r="DQ2" s="58" t="s">
        <v>247</v>
      </c>
      <c r="DR2" s="58" t="s">
        <v>144</v>
      </c>
      <c r="DS2" s="58" t="s">
        <v>241</v>
      </c>
      <c r="DT2" s="58" t="s">
        <v>144</v>
      </c>
      <c r="DU2" s="58" t="s">
        <v>182</v>
      </c>
      <c r="DV2" s="58" t="s">
        <v>144</v>
      </c>
      <c r="DW2" s="58" t="s">
        <v>150</v>
      </c>
      <c r="DX2" s="58" t="s">
        <v>144</v>
      </c>
      <c r="DY2" s="58" t="s">
        <v>240</v>
      </c>
      <c r="DZ2" s="58" t="s">
        <v>144</v>
      </c>
      <c r="EA2" s="58" t="s">
        <v>237</v>
      </c>
      <c r="EB2" s="58" t="s">
        <v>144</v>
      </c>
      <c r="EC2" s="58" t="s">
        <v>193</v>
      </c>
      <c r="ED2" s="58" t="s">
        <v>144</v>
      </c>
      <c r="EE2" s="58" t="s">
        <v>176</v>
      </c>
      <c r="EF2" s="58" t="s">
        <v>481</v>
      </c>
      <c r="EG2" s="58" t="s">
        <v>253</v>
      </c>
      <c r="EH2" s="58" t="s">
        <v>144</v>
      </c>
      <c r="EI2" s="58" t="s">
        <v>259</v>
      </c>
      <c r="EJ2" s="58" t="s">
        <v>144</v>
      </c>
      <c r="EK2" s="58" t="s">
        <v>198</v>
      </c>
      <c r="EL2" s="58" t="s">
        <v>144</v>
      </c>
      <c r="EM2" s="58" t="s">
        <v>207</v>
      </c>
      <c r="EN2" s="58" t="s">
        <v>144</v>
      </c>
      <c r="EO2" s="58" t="s">
        <v>245</v>
      </c>
      <c r="EP2" s="58" t="s">
        <v>144</v>
      </c>
      <c r="EQ2" s="58" t="s">
        <v>204</v>
      </c>
      <c r="ER2" s="58" t="s">
        <v>144</v>
      </c>
      <c r="ES2" s="58" t="s">
        <v>227</v>
      </c>
      <c r="ET2" s="58" t="s">
        <v>144</v>
      </c>
      <c r="EU2" s="58" t="s">
        <v>210</v>
      </c>
      <c r="EV2" s="58" t="s">
        <v>144</v>
      </c>
      <c r="EW2" s="58" t="s">
        <v>246</v>
      </c>
      <c r="EX2" s="58" t="s">
        <v>144</v>
      </c>
      <c r="EY2" s="58" t="s">
        <v>255</v>
      </c>
      <c r="EZ2" s="58" t="s">
        <v>144</v>
      </c>
      <c r="FA2" s="58" t="s">
        <v>235</v>
      </c>
      <c r="FB2" s="58" t="s">
        <v>144</v>
      </c>
      <c r="FC2" s="58" t="s">
        <v>212</v>
      </c>
      <c r="FD2" s="58" t="s">
        <v>144</v>
      </c>
      <c r="FE2" s="58" t="s">
        <v>214</v>
      </c>
      <c r="FF2" s="58" t="s">
        <v>144</v>
      </c>
      <c r="FG2" s="58" t="s">
        <v>257</v>
      </c>
      <c r="FH2" s="58" t="s">
        <v>144</v>
      </c>
      <c r="FI2" s="58" t="s">
        <v>216</v>
      </c>
      <c r="FJ2" s="58" t="s">
        <v>144</v>
      </c>
      <c r="FK2" s="58" t="s">
        <v>158</v>
      </c>
      <c r="FL2" s="58" t="s">
        <v>144</v>
      </c>
      <c r="FM2" s="58" t="s">
        <v>147</v>
      </c>
      <c r="FN2" s="58" t="s">
        <v>144</v>
      </c>
      <c r="FO2" s="58" t="s">
        <v>236</v>
      </c>
      <c r="FP2" s="58" t="s">
        <v>144</v>
      </c>
      <c r="FQ2" s="58" t="s">
        <v>160</v>
      </c>
      <c r="FR2" s="58" t="s">
        <v>144</v>
      </c>
      <c r="FS2" s="58" t="s">
        <v>148</v>
      </c>
      <c r="FT2" s="58" t="s">
        <v>144</v>
      </c>
      <c r="FU2" s="58" t="s">
        <v>168</v>
      </c>
      <c r="FV2" s="58" t="s">
        <v>144</v>
      </c>
      <c r="FW2" s="58" t="s">
        <v>154</v>
      </c>
      <c r="FX2" s="58" t="s">
        <v>144</v>
      </c>
      <c r="FY2" s="58" t="s">
        <v>149</v>
      </c>
      <c r="FZ2" s="58" t="s">
        <v>144</v>
      </c>
      <c r="GA2" s="58" t="s">
        <v>195</v>
      </c>
      <c r="GB2" s="58" t="s">
        <v>144</v>
      </c>
      <c r="GC2" s="58" t="s">
        <v>205</v>
      </c>
      <c r="GD2" s="58" t="s">
        <v>144</v>
      </c>
      <c r="GE2" s="58" t="s">
        <v>159</v>
      </c>
      <c r="GF2" s="58" t="s">
        <v>144</v>
      </c>
      <c r="GG2" s="58" t="s">
        <v>221</v>
      </c>
      <c r="GH2" s="58" t="s">
        <v>144</v>
      </c>
      <c r="GI2" s="58" t="s">
        <v>183</v>
      </c>
      <c r="GJ2" s="58" t="s">
        <v>144</v>
      </c>
      <c r="GK2" s="58" t="s">
        <v>258</v>
      </c>
      <c r="GL2" s="58" t="s">
        <v>144</v>
      </c>
      <c r="GM2" s="58" t="s">
        <v>229</v>
      </c>
      <c r="GN2" s="58" t="s">
        <v>144</v>
      </c>
      <c r="GO2" s="58" t="s">
        <v>165</v>
      </c>
      <c r="GP2" s="58" t="s">
        <v>144</v>
      </c>
      <c r="GQ2" s="58" t="s">
        <v>177</v>
      </c>
      <c r="GR2" s="58" t="s">
        <v>144</v>
      </c>
      <c r="GS2" s="58" t="s">
        <v>199</v>
      </c>
      <c r="GT2" s="58" t="s">
        <v>144</v>
      </c>
      <c r="GU2" s="58" t="s">
        <v>152</v>
      </c>
      <c r="GV2" s="58" t="s">
        <v>144</v>
      </c>
      <c r="GW2" s="58" t="s">
        <v>206</v>
      </c>
      <c r="GX2" s="58" t="s">
        <v>144</v>
      </c>
      <c r="GY2" s="58" t="s">
        <v>163</v>
      </c>
      <c r="GZ2" s="58" t="s">
        <v>262</v>
      </c>
      <c r="HA2" s="58" t="s">
        <v>243</v>
      </c>
      <c r="HB2" s="58" t="s">
        <v>144</v>
      </c>
      <c r="HC2" s="58" t="s">
        <v>166</v>
      </c>
      <c r="HD2" s="58" t="s">
        <v>144</v>
      </c>
      <c r="HE2" s="58" t="s">
        <v>167</v>
      </c>
      <c r="HF2" s="58" t="s">
        <v>144</v>
      </c>
      <c r="HG2" s="58" t="s">
        <v>171</v>
      </c>
      <c r="HH2" s="58" t="s">
        <v>144</v>
      </c>
      <c r="HI2" s="58" t="s">
        <v>146</v>
      </c>
      <c r="HJ2" s="58" t="s">
        <v>144</v>
      </c>
      <c r="HK2" s="58" t="s">
        <v>157</v>
      </c>
      <c r="HL2" s="58" t="s">
        <v>144</v>
      </c>
      <c r="HM2" s="58" t="s">
        <v>220</v>
      </c>
      <c r="HN2" s="58" t="s">
        <v>144</v>
      </c>
      <c r="HO2" s="58" t="s">
        <v>201</v>
      </c>
      <c r="HP2" s="58" t="s">
        <v>144</v>
      </c>
      <c r="HQ2" s="58" t="s">
        <v>226</v>
      </c>
      <c r="HR2" s="58" t="s">
        <v>144</v>
      </c>
    </row>
  </sheetData>
  <phoneticPr fontId="3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mtd:Metadata xmlns:lkmtd="thomsonreuters.linking.metadatachange">
  <MetadataChanged>0</MetadataChanged>
</lkmtd:Metadata>
</file>

<file path=customXml/item2.xml><?xml version="1.0" encoding="utf-8"?>
<lk:Links xmlns:lk="thomsonreuters.linking.metadata">
  <Link>
    <GUID>96be263a-75fe-445f-aa7d-297cb553f4db</GUID>
    <SOURCE_ALTADDRESS>$B$4:$J$53</SOURCE_ALTADDRESS>
    <SOURCETYPE>Table</SOURCETYPE>
    <SOURCE_OBJECTNAME>Linking_Range_23</SOURCE_OBJECTNAME>
    <OBJECTTYPE>Native</OBJECTTYPE>
    <SOURCE_SHEETCODE>Sheet7</SOURCE_SHEETCODE>
    <SOURCE_SHEETNAME>Q's</SOURCE_SHEETNAME>
    <SOURCEAPPLICATION>EXCEL_SOURCE</SOURCEAPPLICATION>
    <UPDATEDAT>4/29/2015 4:37:02 PM</UPDATEDAT>
    <SOURCE_ISOUTOFDATE>False</SOURCE_ISOUTOFDATE>
    <SOURCE_WORKBOOKNAME>SLCA_MW.xls</SOURCE_WORKBOOKNAME>
    <SOURCE_WORKBOOKPATH>\\MSAD\ROOT\NA\NY\LIB\ER\ENERGY\SLORER\Models\Services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/MSResearch/Content/ExternalAssets/2015-02/Images/xX8M9f-JkeSzMEjeg4rA--.png</TARGET_BINARYFULLNAME>
    <TARGET_STORYFULLNAME>/MSResearch/Content/ExternalAssets/2015-02/Sections/20150224_043841_Linking_Range_23.xml</TARGET_STORYFULLNAME>
    <TARGET_UUID>805872f4-bc6d-11e4-a5e9-e3b3f180109b</TARGET_UUID>
    <LINKSTATUS>Unknown</LINKSTATUS>
  </Link>
  <Link>
    <GUID>2873c9a2-145b-4e2d-9134-aa1268b4b610</GUID>
    <SOURCE_ALTADDRESS>$B$10:$N$67</SOURCE_ALTADDRESS>
    <SOURCETYPE>Table</SOURCETYPE>
    <SOURCE_OBJECTNAME>Linking_Range_46</SOURCE_OBJECTNAME>
    <OBJECTTYPE>Native</OBJECTTYPE>
    <SOURCE_SHEETCODE>Sheet3</SOURCE_SHEETCODE>
    <SOURCE_SHEETNAME>Model</SOURCE_SHEETNAME>
    <SOURCEAPPLICATION>EXCEL_SOURCE</SOURCEAPPLICATION>
    <UPDATEDAT>4/29/2015 4:37:05 PM</UPDATEDAT>
    <SOURCE_ISOUTOFDATE>False</SOURCE_ISOUTOFDATE>
    <SOURCE_WORKBOOKNAME>SLCA_MW.xls</SOURCE_WORKBOOKNAME>
    <SOURCE_WORKBOOKPATH>\\MSAD\ROOT\NA\NY\LIB\ER\ENERGY\SLORER\Models\Services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/MSResearch/Content/ExternalAssets/2015-02/Images/NElzr6S9Ik_-UCmISQKtQw--.png</TARGET_BINARYFULLNAME>
    <TARGET_STORYFULLNAME>/MSResearch/Content/ExternalAssets/2015-02/Sections/20150224_044152_Linking_Range_46.xml</TARGET_STORYFULLNAME>
    <TARGET_UUID>f2188082-bc6d-11e4-a5e9-e3b3f180109b</TARGET_UUID>
    <LINKSTATUS>Unknown</LINKSTATUS>
  </Link>
  <Link>
    <GUID>ec4c9cfc-9498-488e-9fe8-d4f888e0175b</GUID>
    <SOURCE_ALTADDRESS>$B$69:$N$112</SOURCE_ALTADDRESS>
    <SOURCETYPE>Table</SOURCETYPE>
    <SOURCE_OBJECTNAME>Linking_Range_47</SOURCE_OBJECTNAME>
    <OBJECTTYPE>Native</OBJECTTYPE>
    <SOURCE_SHEETCODE>Sheet3</SOURCE_SHEETCODE>
    <SOURCE_SHEETNAME>Model</SOURCE_SHEETNAME>
    <SOURCEAPPLICATION>EXCEL_SOURCE</SOURCEAPPLICATION>
    <UPDATEDAT>4/29/2015 4:37:07 PM</UPDATEDAT>
    <SOURCE_ISOUTOFDATE>False</SOURCE_ISOUTOFDATE>
    <SOURCE_WORKBOOKNAME>SLCA_MW.xls</SOURCE_WORKBOOKNAME>
    <SOURCE_WORKBOOKPATH>\\MSAD\ROOT\NA\NY\LIB\ER\ENERGY\SLORER\Models\Services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/MSResearch/Content/ExternalAssets/2015-02/Images/bf_MUqo7hUOB7E1jW9Pm2g--.png</TARGET_BINARYFULLNAME>
    <TARGET_STORYFULLNAME>/MSResearch/Content/ExternalAssets/2015-02/Sections/20150224_044304_Linking_Range_47.xml</TARGET_STORYFULLNAME>
    <TARGET_UUID>1cad828e-bc6e-11e4-a5e9-e3b3f180109b</TARGET_UUID>
    <LINKSTATUS>Unknown</LINKSTATUS>
  </Link>
  <Link>
    <GUID>ab5256e8-46dc-47ff-928d-a3b695da66ab</GUID>
    <SOURCE_ALTADDRESS>$B$115:$N$145</SOURCE_ALTADDRESS>
    <SOURCETYPE>Table</SOURCETYPE>
    <SOURCE_OBJECTNAME>Linking_Range_48</SOURCE_OBJECTNAME>
    <OBJECTTYPE>Native</OBJECTTYPE>
    <SOURCE_SHEETCODE>Sheet3</SOURCE_SHEETCODE>
    <SOURCE_SHEETNAME>Model</SOURCE_SHEETNAME>
    <SOURCEAPPLICATION>EXCEL_SOURCE</SOURCEAPPLICATION>
    <UPDATEDAT>4/29/2015 4:37:09 PM</UPDATEDAT>
    <SOURCE_ISOUTOFDATE>False</SOURCE_ISOUTOFDATE>
    <SOURCE_WORKBOOKNAME>SLCA_MW.xls</SOURCE_WORKBOOKNAME>
    <SOURCE_WORKBOOKPATH>\\MSAD\ROOT\NA\NY\LIB\ER\ENERGY\SLORER\Models\Services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/MSResearch/Content/ExternalAssets/2015-02/Images/6AiVKwJI5eweua6FHs8Q--.png</TARGET_BINARYFULLNAME>
    <TARGET_STORYFULLNAME>/MSResearch/Content/ExternalAssets/2015-02/Sections/20150224_044544_Linking_Range_48.xml</TARGET_STORYFULLNAME>
    <TARGET_UUID>7c20525a-bc6e-11e4-a5e9-e3b3f180109b</TARGET_UUID>
    <LINKSTATUS>Unknown</LINKSTATUS>
  </Link>
  <Link>
    <GUID>a2ca24eb-1dc3-4502-bee8-fca572951c75</GUID>
    <SOURCE_ALTADDRESS>$B$150:$N$204</SOURCE_ALTADDRESS>
    <SOURCETYPE>Table</SOURCETYPE>
    <SOURCE_OBJECTNAME>Linking_Range_49</SOURCE_OBJECTNAME>
    <OBJECTTYPE>Native</OBJECTTYPE>
    <SOURCE_SHEETCODE>Sheet3</SOURCE_SHEETCODE>
    <SOURCE_SHEETNAME>Model</SOURCE_SHEETNAME>
    <SOURCEAPPLICATION>EXCEL_SOURCE</SOURCEAPPLICATION>
    <UPDATEDAT>4/29/2015 4:37:11 PM</UPDATEDAT>
    <SOURCE_ISOUTOFDATE>False</SOURCE_ISOUTOFDATE>
    <SOURCE_WORKBOOKNAME>SLCA_MW.xls</SOURCE_WORKBOOKNAME>
    <SOURCE_WORKBOOKPATH>\\MSAD\ROOT\NA\NY\LIB\ER\ENERGY\SLORER\Models\Services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/MSResearch/Content/ExternalAssets/2015-02/Images/GLKEbSMyxkupbzuttqS93w--.png</TARGET_BINARYFULLNAME>
    <TARGET_STORYFULLNAME>/MSResearch/Content/ExternalAssets/2015-02/Sections/20150224_044631_Linking_Range_49.xml</TARGET_STORYFULLNAME>
    <TARGET_UUID>984360b2-bc6e-11e4-a5e9-e3b3f180109b</TARGET_UUID>
    <LINKSTATUS>Unknown</LINKSTATUS>
  </Link>
  <Link>
    <GUID>f468b855-f134-49c7-b503-c916fcb1290f</GUID>
    <SOURCETYPE>Chart</SOURCETYPE>
    <SOURCE_OBJECTNAME>MWA_Risk_Reward</SOURCE_OBJECTNAME>
    <SOURCE_SHEETCODE>MWRSSData</SOURCE_SHEETCODE>
    <SOURCE_SHEETNAME>MWA RR</SOURCE_SHEETNAME>
    <OBJECTTYPE>Native</OBJECTTYPE>
    <SOURCEAPPLICATION>EXCEL_SOURCE</SOURCEAPPLICATION>
    <UPDATEDAT>4/29/2015 4:37:17 PM</UPDATEDAT>
    <SOURCE_ISOUTOFDATE>False</SOURCE_ISOUTOFDATE>
    <SOURCE_WORKBOOKNAME>SLCA_MW.xls</SOURCE_WORKBOOKNAME>
    <SOURCE_WORKBOOKPATH>\\MSAD\ROOT\NA\NY\LIB\ER\ENERGY\SLORER\Models\Services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/MSResearch/Content/ExternalAssets/2015-02/Images/QgmJRizOkekrEwuQ5dyuA--.png</TARGET_BINARYFULLNAME>
    <TARGET_STORYFULLNAME>/MSResearch/Content/ExternalAssets/2015-02/Sections/20150224_040847_MWA_Risk_Reward.xml</TARGET_STORYFULLNAME>
    <TARGET_UUID>52ac0dce-bc69-11e4-a5e9-e3b3f180109b</TARGET_UUID>
    <LINKSTATUS>Unknown</LINKSTATUS>
    <HIDEGRIDLINES>False</HIDEGRIDLINES>
  </Link>
  <Link>
    <GUID>0c4e85ba-f922-4bcb-bf64-fdaabba8f582</GUID>
    <SOURCE_ALTADDRESS>$B$2:$Q$38</SOURCE_ALTADDRESS>
    <SOURCETYPE>Table</SOURCETYPE>
    <SOURCE_OBJECTNAME>Linking_Range_50</SOURCE_OBJECTNAME>
    <OBJECTTYPE>Native</OBJECTTYPE>
    <SOURCE_SHEETCODE>Sheet1</SOURCE_SHEETCODE>
    <SOURCE_SHEETNAME>DCF_New</SOURCE_SHEETNAME>
    <SOURCEAPPLICATION>EXCEL_SOURCE</SOURCEAPPLICATION>
    <UPDATEDAT>4/29/2015 4:37:19 PM</UPDATEDAT>
    <SOURCE_ISOUTOFDATE>False</SOURCE_ISOUTOFDATE>
    <SOURCE_WORKBOOKNAME>SLCA_MW.xls</SOURCE_WORKBOOKNAME>
    <SOURCE_WORKBOOKPATH>\\MSAD\ROOT\NA\NY\LIB\ER\ENERGY\SLORER\Models\Services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/MSResearch/Content/ExternalAssets/2015-02/Images/cPLy2iQEukqg8iaE5Hp3-w--.png</TARGET_BINARYFULLNAME>
    <TARGET_STORYFULLNAME>/MSResearch/Content/ExternalAssets/2015-02/Sections/20150224_044805_Linking_Range_5.xml</TARGET_STORYFULLNAME>
    <TARGET_UUID>d018cb6c-bc6e-11e4-a5e9-e3b3f180109b</TARGET_UUID>
    <LINKSTATUS>Unknown</LINKSTATUS>
  </Link>
</lk:Links>
</file>

<file path=customXml/itemProps1.xml><?xml version="1.0" encoding="utf-8"?>
<ds:datastoreItem xmlns:ds="http://schemas.openxmlformats.org/officeDocument/2006/customXml" ds:itemID="{7CE12E95-0221-4229-9B76-6C38C9B1C91C}">
  <ds:schemaRefs>
    <ds:schemaRef ds:uri="thomsonreuters.linking.metadatachange"/>
  </ds:schemaRefs>
</ds:datastoreItem>
</file>

<file path=customXml/itemProps2.xml><?xml version="1.0" encoding="utf-8"?>
<ds:datastoreItem xmlns:ds="http://schemas.openxmlformats.org/officeDocument/2006/customXml" ds:itemID="{4CDA17CE-33DB-4776-AA8C-C5C7D4B8D856}">
  <ds:schemaRefs>
    <ds:schemaRef ds:uri="thomsonreuters.linking.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76</vt:i4>
      </vt:variant>
    </vt:vector>
  </HeadingPairs>
  <TitlesOfParts>
    <vt:vector size="80" baseType="lpstr">
      <vt:lpstr>ImportantDisclosures</vt:lpstr>
      <vt:lpstr>Model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</vt:lpstr>
      <vt:lpstr>Linking_2</vt:lpstr>
      <vt:lpstr>Linking_3</vt:lpstr>
      <vt:lpstr>Linking_4</vt:lpstr>
      <vt:lpstr>IndexInformation!MacroVersion</vt:lpstr>
      <vt:lpstr>model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Model!Print_Area</vt:lpstr>
      <vt:lpstr>Model!Print_Titles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2011-11-05T22:56:11Z</dcterms:created>
  <dc:creator>Ben Swomley</dc:creator>
  <cp:lastModifiedBy>Ozier, Alex (Research)</cp:lastModifiedBy>
  <cp:lastPrinted>2018-02-23T15:03:56Z</cp:lastPrinted>
  <dcterms:modified xsi:type="dcterms:W3CDTF">2018-04-11T15:34:56Z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Range_" pid="2">
    <vt:lpwstr>50</vt:lpwstr>
  </property>
  <property fmtid="{D5CDD505-2E9C-101B-9397-08002B2CF9AE}" name="ERModPubTicket" pid="3">
    <vt:lpwstr>NA</vt:lpwstr>
  </property>
  <property fmtid="{D5CDD505-2E9C-101B-9397-08002B2CF9AE}" name="ERCompanyUploadState" pid="4">
    <vt:lpwstr>P</vt:lpwstr>
  </property>
  <property fmtid="{D5CDD505-2E9C-101B-9397-08002B2CF9AE}" name="ModelId" pid="5">
    <vt:lpwstr>761010</vt:lpwstr>
  </property>
  <property fmtid="{D5CDD505-2E9C-101B-9397-08002B2CF9AE}" name="ERModPubCompanyName" pid="6">
    <vt:lpwstr>U.S. Silica Holdings, Inc.</vt:lpwstr>
  </property>
  <property fmtid="{D5CDD505-2E9C-101B-9397-08002B2CF9AE}" name="MSDH34TAG" pid="7">
    <vt:lpwstr>.TEZUF76X5TAHATHESADREYAK-00-INB160+*94600-06=e6f3a2f4/-3d9d/-11e8/-b3f7/-7a79cfe26848,MD=20180411113611/-0400,ZZ=000Z-9a3a.</vt:lpwstr>
  </property>
</Properties>
</file>